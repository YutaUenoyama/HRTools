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130.0.20.1\share\総務部\33 従業員管理　 全社組織図\【立花】従業員人数　202408～\"/>
    </mc:Choice>
  </mc:AlternateContent>
  <bookViews>
    <workbookView xWindow="0" yWindow="0" windowWidth="23040" windowHeight="8976" firstSheet="6" activeTab="12"/>
  </bookViews>
  <sheets>
    <sheet name="従業員情報" sheetId="67" state="hidden" r:id="rId1"/>
    <sheet name="202008" sheetId="18" state="hidden" r:id="rId2"/>
    <sheet name="正社員" sheetId="1" state="hidden" r:id="rId3"/>
    <sheet name="7月" sheetId="2" state="hidden" r:id="rId4"/>
    <sheet name="参考" sheetId="7" state="hidden" r:id="rId5"/>
    <sheet name="Sheet3" sheetId="68" state="hidden" r:id="rId6"/>
    <sheet name="202408" sheetId="76" r:id="rId7"/>
    <sheet name="202407" sheetId="74" r:id="rId8"/>
    <sheet name="正式前１" sheetId="11" r:id="rId9"/>
    <sheet name="参考1男性" sheetId="8" r:id="rId10"/>
    <sheet name="参考3パート嘱託" sheetId="10" r:id="rId11"/>
    <sheet name="参考2女性" sheetId="9" r:id="rId12"/>
    <sheet name="部門ｺｰﾄﾞﾃｰﾌﾞﾙ201601" sheetId="75" r:id="rId13"/>
    <sheet name="202406" sheetId="73" state="hidden" r:id="rId14"/>
    <sheet name="202405" sheetId="72" state="hidden" r:id="rId15"/>
    <sheet name="202404" sheetId="71" state="hidden" r:id="rId16"/>
    <sheet name="2024.03" sheetId="70" state="hidden" r:id="rId17"/>
    <sheet name="202402" sheetId="69" state="hidden" r:id="rId18"/>
    <sheet name="2024.1" sheetId="66" state="hidden" r:id="rId19"/>
    <sheet name="2023.12" sheetId="65" state="hidden" r:id="rId20"/>
    <sheet name="2023.11" sheetId="64" state="hidden" r:id="rId21"/>
    <sheet name="2023.10" sheetId="60" state="hidden" r:id="rId22"/>
    <sheet name="202309" sheetId="61" state="hidden" r:id="rId23"/>
    <sheet name="2023.8" sheetId="58" state="hidden" r:id="rId24"/>
    <sheet name="2023.7" sheetId="57" state="hidden" r:id="rId25"/>
    <sheet name="2023.6" sheetId="56" state="hidden" r:id="rId26"/>
    <sheet name="2023.5" sheetId="55" state="hidden" r:id="rId27"/>
    <sheet name="2023.4" sheetId="54" state="hidden" r:id="rId28"/>
    <sheet name="2023.3" sheetId="53" state="hidden" r:id="rId29"/>
    <sheet name="2023.1" sheetId="52" state="hidden" r:id="rId30"/>
    <sheet name="2022.12" sheetId="51" state="hidden" r:id="rId31"/>
    <sheet name="2022.11" sheetId="49" state="hidden" r:id="rId32"/>
    <sheet name="2022.10" sheetId="48" state="hidden" r:id="rId33"/>
    <sheet name="2022.9" sheetId="47" state="hidden" r:id="rId34"/>
    <sheet name="2022.8" sheetId="46" state="hidden" r:id="rId35"/>
    <sheet name="2022.7" sheetId="45" state="hidden" r:id="rId36"/>
    <sheet name="2022.6" sheetId="44" state="hidden" r:id="rId37"/>
    <sheet name="2022.5" sheetId="41" state="hidden" r:id="rId38"/>
    <sheet name="2022.4" sheetId="40" state="hidden" r:id="rId39"/>
    <sheet name="2022.3.1" sheetId="39" state="hidden" r:id="rId40"/>
    <sheet name="2022.2.1" sheetId="34" state="hidden" r:id="rId41"/>
    <sheet name="2022.1.1" sheetId="27" state="hidden" r:id="rId42"/>
    <sheet name="2021.12.1" sheetId="26" state="hidden" r:id="rId43"/>
    <sheet name="2021.11.1" sheetId="23" state="hidden" r:id="rId44"/>
    <sheet name="2021.10.1" sheetId="22" state="hidden" r:id="rId45"/>
    <sheet name="2021.9.1" sheetId="20" state="hidden" r:id="rId46"/>
    <sheet name="2021.8.1" sheetId="15" state="hidden" r:id="rId47"/>
    <sheet name="比較表７．８" sheetId="17" state="hidden" r:id="rId48"/>
  </sheets>
  <definedNames>
    <definedName name="_xlnm._FilterDatabase" localSheetId="1" hidden="1">'202008'!$A$330:$U$458</definedName>
    <definedName name="_xlnm._FilterDatabase" localSheetId="9" hidden="1">参考1男性!$A$260:$W$367</definedName>
    <definedName name="_xlnm._FilterDatabase" localSheetId="11" hidden="1">参考2女性!#REF!</definedName>
    <definedName name="_xlnm._FilterDatabase" localSheetId="10" hidden="1">参考3パート嘱託!#REF!</definedName>
    <definedName name="_xlnm._FilterDatabase" localSheetId="2" hidden="1">正社員!$A$332:$W$460</definedName>
    <definedName name="_xlnm.Print_Area" localSheetId="44">'2021.10.1'!$C$3:$K$83</definedName>
    <definedName name="_xlnm.Print_Area" localSheetId="43">'2021.11.1'!$C$3:$K$83</definedName>
    <definedName name="_xlnm.Print_Area" localSheetId="42">'2021.12.1'!$C$3:$K$83</definedName>
    <definedName name="_xlnm.Print_Area" localSheetId="46">'2021.8.1'!$C$3:$K$83</definedName>
    <definedName name="_xlnm.Print_Area" localSheetId="45">'2021.9.1'!$C$3:$K$83</definedName>
    <definedName name="_xlnm.Print_Area" localSheetId="41">'2022.1.1'!$C$3:$K$83</definedName>
    <definedName name="_xlnm.Print_Area" localSheetId="32">'2022.10'!$C$3:$K$83</definedName>
    <definedName name="_xlnm.Print_Area" localSheetId="31">'2022.11'!$C$3:$K$83</definedName>
    <definedName name="_xlnm.Print_Area" localSheetId="30">'2022.12'!$C$3:$K$83</definedName>
    <definedName name="_xlnm.Print_Area" localSheetId="40">'2022.2.1'!$C$3:$K$83</definedName>
    <definedName name="_xlnm.Print_Area" localSheetId="35">'2022.7'!$C$3:$K$83</definedName>
    <definedName name="_xlnm.Print_Area" localSheetId="33">'2022.9'!$C$3:$K$83</definedName>
    <definedName name="_xlnm.Print_Area" localSheetId="29">'2023.1'!$C$3:$K$83</definedName>
    <definedName name="_xlnm.Print_Area" localSheetId="21">'2023.10'!$C$3:$K$83</definedName>
    <definedName name="_xlnm.Print_Area" localSheetId="20">'2023.11'!$C$3:$K$83</definedName>
    <definedName name="_xlnm.Print_Area" localSheetId="19">'2023.12'!$C$3:$K$83</definedName>
    <definedName name="_xlnm.Print_Area" localSheetId="28">'2023.3'!$C$3:$K$83</definedName>
    <definedName name="_xlnm.Print_Area" localSheetId="27">'2023.4'!$C$3:$K$83</definedName>
    <definedName name="_xlnm.Print_Area" localSheetId="26">'2023.5'!$C$3:$K$83</definedName>
    <definedName name="_xlnm.Print_Area" localSheetId="25">'2023.6'!$C$3:$K$83</definedName>
    <definedName name="_xlnm.Print_Area" localSheetId="24">'2023.7'!$C$3:$K$83</definedName>
    <definedName name="_xlnm.Print_Area" localSheetId="23">'2023.8'!$C$3:$K$83</definedName>
    <definedName name="_xlnm.Print_Area" localSheetId="22">'202309'!$C$3:$K$83</definedName>
    <definedName name="_xlnm.Print_Area" localSheetId="16">'2024.03'!$C$3:$K$84</definedName>
    <definedName name="_xlnm.Print_Area" localSheetId="18">'2024.1'!$C$3:$K$84</definedName>
    <definedName name="_xlnm.Print_Area" localSheetId="17">'202402'!$C$3:$K$84</definedName>
    <definedName name="_xlnm.Print_Area" localSheetId="15">'202404'!$C$3:$K$84</definedName>
    <definedName name="_xlnm.Print_Area" localSheetId="14">'202405'!$C$3:$K$84</definedName>
    <definedName name="_xlnm.Print_Area" localSheetId="13">'202406'!$C$3:$K$84</definedName>
    <definedName name="_xlnm.Print_Area" localSheetId="7">'202407'!$C$3:$K$84</definedName>
    <definedName name="_xlnm.Print_Area" localSheetId="6">'202408'!$C$3:$K$84</definedName>
    <definedName name="_xlnm.Print_Area" localSheetId="10">参考3パート嘱託!$C$36:$D$39</definedName>
    <definedName name="_xlnm.Print_Area" localSheetId="8">正式前１!$C$3:$K$84</definedName>
    <definedName name="_xlnm.Print_Area" localSheetId="47">'比較表７．８'!$D$3:$AF$85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76" l="1"/>
  <c r="D6" i="76"/>
  <c r="P22" i="8" l="1"/>
  <c r="Q102" i="10" l="1"/>
  <c r="M102" i="10"/>
  <c r="K102" i="10"/>
  <c r="L102" i="10" s="1"/>
  <c r="G102" i="10"/>
  <c r="H102" i="10" s="1"/>
  <c r="Q92" i="10" l="1"/>
  <c r="M92" i="10"/>
  <c r="K92" i="10"/>
  <c r="L92" i="10" s="1"/>
  <c r="G92" i="10"/>
  <c r="H92" i="10" s="1"/>
  <c r="Q10" i="10" l="1"/>
  <c r="P10" i="10"/>
  <c r="P91" i="10"/>
  <c r="Q91" i="10"/>
  <c r="P6" i="9"/>
  <c r="Q6" i="9"/>
  <c r="P7" i="9"/>
  <c r="Q7" i="9"/>
  <c r="P8" i="9"/>
  <c r="Q8" i="9"/>
  <c r="P9" i="9"/>
  <c r="Q9" i="9"/>
  <c r="P10" i="9"/>
  <c r="Q10" i="9"/>
  <c r="P11" i="9"/>
  <c r="Q11" i="9"/>
  <c r="P12" i="9"/>
  <c r="Q12" i="9"/>
  <c r="P13" i="9"/>
  <c r="Q13" i="9"/>
  <c r="P15" i="9"/>
  <c r="Q15" i="9"/>
  <c r="P16" i="9"/>
  <c r="Q16" i="9"/>
  <c r="P17" i="9"/>
  <c r="Q17" i="9"/>
  <c r="P18" i="9"/>
  <c r="Q18" i="9"/>
  <c r="P19" i="9"/>
  <c r="Q19" i="9"/>
  <c r="P20" i="9"/>
  <c r="Q20" i="9"/>
  <c r="P21" i="9"/>
  <c r="Q21" i="9"/>
  <c r="P22" i="9"/>
  <c r="Q22" i="9"/>
  <c r="P23" i="9"/>
  <c r="Q23" i="9"/>
  <c r="P24" i="9"/>
  <c r="Q24" i="9"/>
  <c r="P25" i="9"/>
  <c r="Q25" i="9"/>
  <c r="P26" i="9"/>
  <c r="Q26" i="9"/>
  <c r="P27" i="9"/>
  <c r="Q27" i="9"/>
  <c r="P28" i="9"/>
  <c r="Q28" i="9"/>
  <c r="P29" i="9"/>
  <c r="Q29" i="9"/>
  <c r="P30" i="9"/>
  <c r="Q30" i="9"/>
  <c r="P31" i="9"/>
  <c r="Q31" i="9"/>
  <c r="P32" i="9"/>
  <c r="Q32" i="9"/>
  <c r="P33" i="9"/>
  <c r="Q33" i="9"/>
  <c r="P34" i="9"/>
  <c r="Q34" i="9"/>
  <c r="P35" i="9"/>
  <c r="Q35" i="9"/>
  <c r="P36" i="9"/>
  <c r="Q36" i="9"/>
  <c r="P37" i="9"/>
  <c r="Q37" i="9"/>
  <c r="P38" i="9"/>
  <c r="Q38" i="9"/>
  <c r="P39" i="9"/>
  <c r="Q39" i="9"/>
  <c r="P40" i="9"/>
  <c r="Q40" i="9"/>
  <c r="P41" i="9"/>
  <c r="Q41" i="9"/>
  <c r="P42" i="9"/>
  <c r="Q42" i="9"/>
  <c r="P43" i="9"/>
  <c r="Q43" i="9"/>
  <c r="P44" i="9"/>
  <c r="Q44" i="9"/>
  <c r="P45" i="9"/>
  <c r="Q45" i="9"/>
  <c r="P46" i="9"/>
  <c r="Q46" i="9"/>
  <c r="P47" i="9"/>
  <c r="Q47" i="9"/>
  <c r="P48" i="9"/>
  <c r="Q48" i="9"/>
  <c r="P49" i="9"/>
  <c r="Q49" i="9"/>
  <c r="P50" i="9"/>
  <c r="Q50" i="9"/>
  <c r="P51" i="9"/>
  <c r="Q51" i="9"/>
  <c r="P52" i="9"/>
  <c r="Q52" i="9"/>
  <c r="Q53" i="9"/>
  <c r="P54" i="9"/>
  <c r="Q54" i="9"/>
  <c r="P55" i="9"/>
  <c r="Q55" i="9"/>
  <c r="P56" i="9"/>
  <c r="Q56" i="9"/>
  <c r="P57" i="9"/>
  <c r="Q57" i="9"/>
  <c r="Q5" i="9"/>
  <c r="P5" i="9"/>
  <c r="F7" i="76" l="1"/>
  <c r="F6" i="76"/>
  <c r="H79" i="11"/>
  <c r="H7" i="76"/>
  <c r="H6" i="76"/>
  <c r="M91" i="10"/>
  <c r="P340" i="8"/>
  <c r="Q340" i="8"/>
  <c r="P341" i="8"/>
  <c r="Q341" i="8"/>
  <c r="P19" i="8"/>
  <c r="Q19" i="8"/>
  <c r="P342" i="8"/>
  <c r="Q342" i="8"/>
  <c r="P343" i="8"/>
  <c r="Q343" i="8"/>
  <c r="P344" i="8"/>
  <c r="Q344" i="8"/>
  <c r="P345" i="8"/>
  <c r="Q345" i="8"/>
  <c r="P346" i="8"/>
  <c r="Q346" i="8"/>
  <c r="P347" i="8"/>
  <c r="Q347" i="8"/>
  <c r="P348" i="8"/>
  <c r="Q348" i="8"/>
  <c r="P349" i="8"/>
  <c r="Q349" i="8"/>
  <c r="P350" i="8"/>
  <c r="Q350" i="8"/>
  <c r="P351" i="8"/>
  <c r="Q351" i="8"/>
  <c r="P352" i="8"/>
  <c r="Q352" i="8"/>
  <c r="P353" i="8"/>
  <c r="Q353" i="8"/>
  <c r="P354" i="8"/>
  <c r="Q354" i="8"/>
  <c r="P355" i="8"/>
  <c r="Q355" i="8"/>
  <c r="P356" i="8"/>
  <c r="Q356" i="8"/>
  <c r="P357" i="8"/>
  <c r="Q357" i="8"/>
  <c r="P358" i="8"/>
  <c r="Q358" i="8"/>
  <c r="P359" i="8"/>
  <c r="Q359" i="8"/>
  <c r="P360" i="8"/>
  <c r="Q360" i="8"/>
  <c r="P361" i="8"/>
  <c r="Q361" i="8"/>
  <c r="P362" i="8"/>
  <c r="Q362" i="8"/>
  <c r="P363" i="8"/>
  <c r="Q363" i="8"/>
  <c r="P364" i="8"/>
  <c r="Q364" i="8"/>
  <c r="P365" i="8"/>
  <c r="Q365" i="8"/>
  <c r="P366" i="8"/>
  <c r="Q366" i="8"/>
  <c r="P367" i="8"/>
  <c r="Q367" i="8"/>
  <c r="P368" i="8"/>
  <c r="Q368" i="8"/>
  <c r="P369" i="8"/>
  <c r="Q369" i="8"/>
  <c r="P159" i="8"/>
  <c r="Q159" i="8"/>
  <c r="P370" i="8"/>
  <c r="Q370" i="8"/>
  <c r="P371" i="8"/>
  <c r="Q371" i="8"/>
  <c r="P372" i="8"/>
  <c r="Q372" i="8"/>
  <c r="P373" i="8"/>
  <c r="Q373" i="8"/>
  <c r="P374" i="8"/>
  <c r="Q374" i="8"/>
  <c r="P375" i="8"/>
  <c r="Q375" i="8"/>
  <c r="P376" i="8"/>
  <c r="Q376" i="8"/>
  <c r="P377" i="8"/>
  <c r="Q377" i="8"/>
  <c r="P378" i="8"/>
  <c r="Q378" i="8"/>
  <c r="P379" i="8"/>
  <c r="Q379" i="8"/>
  <c r="P12" i="8"/>
  <c r="Q12" i="8"/>
  <c r="P329" i="8"/>
  <c r="Q329" i="8"/>
  <c r="P90" i="8"/>
  <c r="Q90" i="8"/>
  <c r="P137" i="8"/>
  <c r="Q137" i="8"/>
  <c r="P338" i="8"/>
  <c r="Q338" i="8"/>
  <c r="P336" i="8"/>
  <c r="Q336" i="8"/>
  <c r="P337" i="8"/>
  <c r="Q337" i="8"/>
  <c r="P166" i="8"/>
  <c r="Q166" i="8"/>
  <c r="P167" i="8"/>
  <c r="Q167" i="8"/>
  <c r="P168" i="8"/>
  <c r="Q168" i="8"/>
  <c r="P169" i="8"/>
  <c r="Q169" i="8"/>
  <c r="P170" i="8"/>
  <c r="Q170" i="8"/>
  <c r="P171" i="8"/>
  <c r="Q171" i="8"/>
  <c r="P172" i="8"/>
  <c r="Q172" i="8"/>
  <c r="P183" i="8"/>
  <c r="Q183" i="8"/>
  <c r="P173" i="8"/>
  <c r="Q173" i="8"/>
  <c r="P174" i="8"/>
  <c r="Q174" i="8"/>
  <c r="P175" i="8"/>
  <c r="Q175" i="8"/>
  <c r="P176" i="8"/>
  <c r="Q176" i="8"/>
  <c r="P177" i="8"/>
  <c r="Q177" i="8"/>
  <c r="P189" i="8"/>
  <c r="Q189" i="8"/>
  <c r="P178" i="8"/>
  <c r="Q178" i="8"/>
  <c r="P61" i="8"/>
  <c r="Q61" i="8"/>
  <c r="P180" i="8"/>
  <c r="Q180" i="8"/>
  <c r="P181" i="8"/>
  <c r="Q181" i="8"/>
  <c r="P190" i="8"/>
  <c r="Q190" i="8"/>
  <c r="P185" i="8"/>
  <c r="Q185" i="8"/>
  <c r="P186" i="8"/>
  <c r="Q186" i="8"/>
  <c r="P187" i="8"/>
  <c r="Q187" i="8"/>
  <c r="P191" i="8"/>
  <c r="Q191" i="8"/>
  <c r="P192" i="8"/>
  <c r="Q192" i="8"/>
  <c r="P193" i="8"/>
  <c r="Q193" i="8"/>
  <c r="P194" i="8"/>
  <c r="Q194" i="8"/>
  <c r="P195" i="8"/>
  <c r="Q195" i="8"/>
  <c r="P196" i="8"/>
  <c r="Q196" i="8"/>
  <c r="P197" i="8"/>
  <c r="Q197" i="8"/>
  <c r="P198" i="8"/>
  <c r="Q198" i="8"/>
  <c r="P200" i="8"/>
  <c r="Q200" i="8"/>
  <c r="P201" i="8"/>
  <c r="Q201" i="8"/>
  <c r="P202" i="8"/>
  <c r="Q202" i="8"/>
  <c r="P203" i="8"/>
  <c r="Q203" i="8"/>
  <c r="P204" i="8"/>
  <c r="Q204" i="8"/>
  <c r="P205" i="8"/>
  <c r="Q205" i="8"/>
  <c r="P52" i="8"/>
  <c r="Q52" i="8"/>
  <c r="P206" i="8"/>
  <c r="Q206" i="8"/>
  <c r="P207" i="8"/>
  <c r="Q207" i="8"/>
  <c r="P208" i="8"/>
  <c r="Q208" i="8"/>
  <c r="P209" i="8"/>
  <c r="Q209" i="8"/>
  <c r="P247" i="8"/>
  <c r="Q247" i="8"/>
  <c r="P210" i="8"/>
  <c r="Q210" i="8"/>
  <c r="P18" i="8"/>
  <c r="Q18" i="8"/>
  <c r="P212" i="8"/>
  <c r="Q212" i="8"/>
  <c r="P213" i="8"/>
  <c r="Q213" i="8"/>
  <c r="P214" i="8"/>
  <c r="Q214" i="8"/>
  <c r="P27" i="8"/>
  <c r="Q27" i="8"/>
  <c r="P215" i="8"/>
  <c r="Q215" i="8"/>
  <c r="P216" i="8"/>
  <c r="Q216" i="8"/>
  <c r="P217" i="8"/>
  <c r="Q217" i="8"/>
  <c r="P218" i="8"/>
  <c r="Q218" i="8"/>
  <c r="P219" i="8"/>
  <c r="Q219" i="8"/>
  <c r="P220" i="8"/>
  <c r="Q220" i="8"/>
  <c r="P221" i="8"/>
  <c r="Q221" i="8"/>
  <c r="P222" i="8"/>
  <c r="Q222" i="8"/>
  <c r="P224" i="8"/>
  <c r="Q224" i="8"/>
  <c r="P225" i="8"/>
  <c r="Q225" i="8"/>
  <c r="P227" i="8"/>
  <c r="Q227" i="8"/>
  <c r="P48" i="8"/>
  <c r="Q48" i="8"/>
  <c r="P40" i="8"/>
  <c r="Q40" i="8"/>
  <c r="P228" i="8"/>
  <c r="Q228" i="8"/>
  <c r="P229" i="8"/>
  <c r="Q229" i="8"/>
  <c r="P230" i="8"/>
  <c r="Q230" i="8"/>
  <c r="P231" i="8"/>
  <c r="Q231" i="8"/>
  <c r="P232" i="8"/>
  <c r="Q232" i="8"/>
  <c r="P233" i="8"/>
  <c r="Q233" i="8"/>
  <c r="P234" i="8"/>
  <c r="Q234" i="8"/>
  <c r="P235" i="8"/>
  <c r="Q235" i="8"/>
  <c r="P236" i="8"/>
  <c r="Q236" i="8"/>
  <c r="P237" i="8"/>
  <c r="Q237" i="8"/>
  <c r="P238" i="8"/>
  <c r="Q238" i="8"/>
  <c r="P239" i="8"/>
  <c r="Q239" i="8"/>
  <c r="P241" i="8"/>
  <c r="Q241" i="8"/>
  <c r="P242" i="8"/>
  <c r="Q242" i="8"/>
  <c r="P243" i="8"/>
  <c r="Q243" i="8"/>
  <c r="P244" i="8"/>
  <c r="Q244" i="8"/>
  <c r="P245" i="8"/>
  <c r="Q245" i="8"/>
  <c r="P246" i="8"/>
  <c r="Q246" i="8"/>
  <c r="P248" i="8"/>
  <c r="Q248" i="8"/>
  <c r="P249" i="8"/>
  <c r="Q249" i="8"/>
  <c r="P250" i="8"/>
  <c r="Q250" i="8"/>
  <c r="P251" i="8"/>
  <c r="Q251" i="8"/>
  <c r="P252" i="8"/>
  <c r="Q252" i="8"/>
  <c r="P253" i="8"/>
  <c r="Q253" i="8"/>
  <c r="P254" i="8"/>
  <c r="Q254" i="8"/>
  <c r="P211" i="8"/>
  <c r="Q211" i="8"/>
  <c r="P256" i="8"/>
  <c r="Q256" i="8"/>
  <c r="P257" i="8"/>
  <c r="Q257" i="8"/>
  <c r="P288" i="8"/>
  <c r="Q288" i="8"/>
  <c r="P258" i="8"/>
  <c r="Q258" i="8"/>
  <c r="P259" i="8"/>
  <c r="Q259" i="8"/>
  <c r="P260" i="8"/>
  <c r="Q260" i="8"/>
  <c r="P289" i="8"/>
  <c r="Q289" i="8"/>
  <c r="P262" i="8"/>
  <c r="Q262" i="8"/>
  <c r="P263" i="8"/>
  <c r="Q263" i="8"/>
  <c r="P264" i="8"/>
  <c r="Q264" i="8"/>
  <c r="P265" i="8"/>
  <c r="Q265" i="8"/>
  <c r="P267" i="8"/>
  <c r="Q267" i="8"/>
  <c r="P268" i="8"/>
  <c r="Q268" i="8"/>
  <c r="P269" i="8"/>
  <c r="Q269" i="8"/>
  <c r="P270" i="8"/>
  <c r="Q270" i="8"/>
  <c r="P271" i="8"/>
  <c r="Q271" i="8"/>
  <c r="P272" i="8"/>
  <c r="Q272" i="8"/>
  <c r="P273" i="8"/>
  <c r="Q273" i="8"/>
  <c r="P274" i="8"/>
  <c r="Q274" i="8"/>
  <c r="P275" i="8"/>
  <c r="Q275" i="8"/>
  <c r="P276" i="8"/>
  <c r="Q276" i="8"/>
  <c r="P277" i="8"/>
  <c r="Q277" i="8"/>
  <c r="P255" i="8"/>
  <c r="Q255" i="8"/>
  <c r="P278" i="8"/>
  <c r="Q278" i="8"/>
  <c r="P279" i="8"/>
  <c r="Q279" i="8"/>
  <c r="P280" i="8"/>
  <c r="Q280" i="8"/>
  <c r="P281" i="8"/>
  <c r="Q281" i="8"/>
  <c r="P282" i="8"/>
  <c r="Q282" i="8"/>
  <c r="P283" i="8"/>
  <c r="Q283" i="8"/>
  <c r="P284" i="8"/>
  <c r="Q284" i="8"/>
  <c r="P285" i="8"/>
  <c r="Q285" i="8"/>
  <c r="P286" i="8"/>
  <c r="Q286" i="8"/>
  <c r="P287" i="8"/>
  <c r="Q287" i="8"/>
  <c r="P309" i="8"/>
  <c r="Q309" i="8"/>
  <c r="P290" i="8"/>
  <c r="Q290" i="8"/>
  <c r="P291" i="8"/>
  <c r="Q291" i="8"/>
  <c r="P292" i="8"/>
  <c r="Q292" i="8"/>
  <c r="P293" i="8"/>
  <c r="Q293" i="8"/>
  <c r="P294" i="8"/>
  <c r="Q294" i="8"/>
  <c r="P295" i="8"/>
  <c r="Q295" i="8"/>
  <c r="P296" i="8"/>
  <c r="Q296" i="8"/>
  <c r="P297" i="8"/>
  <c r="Q297" i="8"/>
  <c r="P298" i="8"/>
  <c r="Q298" i="8"/>
  <c r="P299" i="8"/>
  <c r="Q299" i="8"/>
  <c r="P300" i="8"/>
  <c r="Q300" i="8"/>
  <c r="P301" i="8"/>
  <c r="Q301" i="8"/>
  <c r="P302" i="8"/>
  <c r="Q302" i="8"/>
  <c r="P304" i="8"/>
  <c r="Q304" i="8"/>
  <c r="P305" i="8"/>
  <c r="Q305" i="8"/>
  <c r="P331" i="8"/>
  <c r="Q331" i="8"/>
  <c r="P306" i="8"/>
  <c r="Q306" i="8"/>
  <c r="P307" i="8"/>
  <c r="Q307" i="8"/>
  <c r="P308" i="8"/>
  <c r="Q308" i="8"/>
  <c r="P261" i="8"/>
  <c r="Q261" i="8"/>
  <c r="P310" i="8"/>
  <c r="Q310" i="8"/>
  <c r="P311" i="8"/>
  <c r="Q311" i="8"/>
  <c r="P312" i="8"/>
  <c r="Q312" i="8"/>
  <c r="P313" i="8"/>
  <c r="Q313" i="8"/>
  <c r="P314" i="8"/>
  <c r="Q314" i="8"/>
  <c r="P223" i="8"/>
  <c r="Q223" i="8"/>
  <c r="P315" i="8"/>
  <c r="Q315" i="8"/>
  <c r="P316" i="8"/>
  <c r="Q316" i="8"/>
  <c r="P317" i="8"/>
  <c r="Q317" i="8"/>
  <c r="P318" i="8"/>
  <c r="Q318" i="8"/>
  <c r="P319" i="8"/>
  <c r="Q319" i="8"/>
  <c r="P320" i="8"/>
  <c r="Q320" i="8"/>
  <c r="P321" i="8"/>
  <c r="Q321" i="8"/>
  <c r="P322" i="8"/>
  <c r="Q322" i="8"/>
  <c r="P323" i="8"/>
  <c r="Q323" i="8"/>
  <c r="P324" i="8"/>
  <c r="Q324" i="8"/>
  <c r="P325" i="8"/>
  <c r="Q325" i="8"/>
  <c r="P326" i="8"/>
  <c r="Q326" i="8"/>
  <c r="P327" i="8"/>
  <c r="Q327" i="8"/>
  <c r="P328" i="8"/>
  <c r="Q328" i="8"/>
  <c r="P330" i="8"/>
  <c r="Q330" i="8"/>
  <c r="P332" i="8"/>
  <c r="Q332" i="8"/>
  <c r="P303" i="8"/>
  <c r="Q303" i="8"/>
  <c r="P334" i="8"/>
  <c r="Q334" i="8"/>
  <c r="P335" i="8"/>
  <c r="Q335" i="8"/>
  <c r="P21" i="8"/>
  <c r="Q21" i="8"/>
  <c r="Q22" i="8"/>
  <c r="P23" i="8"/>
  <c r="Q23" i="8"/>
  <c r="P24" i="8"/>
  <c r="Q24" i="8"/>
  <c r="P25" i="8"/>
  <c r="Q25" i="8"/>
  <c r="P26" i="8"/>
  <c r="Q26" i="8"/>
  <c r="P333" i="8"/>
  <c r="Q333" i="8"/>
  <c r="P28" i="8"/>
  <c r="Q28" i="8"/>
  <c r="P29" i="8"/>
  <c r="Q29" i="8"/>
  <c r="P30" i="8"/>
  <c r="Q30" i="8"/>
  <c r="P31" i="8"/>
  <c r="Q31" i="8"/>
  <c r="P32" i="8"/>
  <c r="Q32" i="8"/>
  <c r="P33" i="8"/>
  <c r="Q33" i="8"/>
  <c r="P34" i="8"/>
  <c r="Q34" i="8"/>
  <c r="P35" i="8"/>
  <c r="Q35" i="8"/>
  <c r="P36" i="8"/>
  <c r="Q36" i="8"/>
  <c r="P37" i="8"/>
  <c r="Q37" i="8"/>
  <c r="P38" i="8"/>
  <c r="Q38" i="8"/>
  <c r="P226" i="8"/>
  <c r="Q226" i="8"/>
  <c r="P41" i="8"/>
  <c r="Q41" i="8"/>
  <c r="P42" i="8"/>
  <c r="Q42" i="8"/>
  <c r="P43" i="8"/>
  <c r="Q43" i="8"/>
  <c r="P44" i="8"/>
  <c r="Q44" i="8"/>
  <c r="P45" i="8"/>
  <c r="Q45" i="8"/>
  <c r="P46" i="8"/>
  <c r="Q46" i="8"/>
  <c r="P49" i="8"/>
  <c r="Q49" i="8"/>
  <c r="P50" i="8"/>
  <c r="Q50" i="8"/>
  <c r="P39" i="8"/>
  <c r="Q39" i="8"/>
  <c r="P51" i="8"/>
  <c r="Q51" i="8"/>
  <c r="P53" i="8"/>
  <c r="Q53" i="8"/>
  <c r="P54" i="8"/>
  <c r="Q54" i="8"/>
  <c r="P55" i="8"/>
  <c r="Q55" i="8"/>
  <c r="P56" i="8"/>
  <c r="Q56" i="8"/>
  <c r="P57" i="8"/>
  <c r="Q57" i="8"/>
  <c r="P240" i="8"/>
  <c r="Q240" i="8"/>
  <c r="P59" i="8"/>
  <c r="Q59" i="8"/>
  <c r="P60" i="8"/>
  <c r="Q60" i="8"/>
  <c r="P62" i="8"/>
  <c r="Q62" i="8"/>
  <c r="P63" i="8"/>
  <c r="Q63" i="8"/>
  <c r="P64" i="8"/>
  <c r="Q64" i="8"/>
  <c r="P65" i="8"/>
  <c r="Q65" i="8"/>
  <c r="P66" i="8"/>
  <c r="Q66" i="8"/>
  <c r="P67" i="8"/>
  <c r="Q67" i="8"/>
  <c r="P68" i="8"/>
  <c r="Q68" i="8"/>
  <c r="P69" i="8"/>
  <c r="Q69" i="8"/>
  <c r="P70" i="8"/>
  <c r="Q70" i="8"/>
  <c r="P71" i="8"/>
  <c r="Q71" i="8"/>
  <c r="P72" i="8"/>
  <c r="Q72" i="8"/>
  <c r="P73" i="8"/>
  <c r="Q73" i="8"/>
  <c r="P74" i="8"/>
  <c r="Q74" i="8"/>
  <c r="P75" i="8"/>
  <c r="Q75" i="8"/>
  <c r="P76" i="8"/>
  <c r="Q76" i="8"/>
  <c r="P77" i="8"/>
  <c r="Q77" i="8"/>
  <c r="P78" i="8"/>
  <c r="Q78" i="8"/>
  <c r="P79" i="8"/>
  <c r="Q79" i="8"/>
  <c r="P80" i="8"/>
  <c r="Q80" i="8"/>
  <c r="P81" i="8"/>
  <c r="Q81" i="8"/>
  <c r="P83" i="8"/>
  <c r="Q83" i="8"/>
  <c r="P84" i="8"/>
  <c r="Q84" i="8"/>
  <c r="P85" i="8"/>
  <c r="Q85" i="8"/>
  <c r="P86" i="8"/>
  <c r="Q86" i="8"/>
  <c r="P87" i="8"/>
  <c r="Q87" i="8"/>
  <c r="P88" i="8"/>
  <c r="Q88" i="8"/>
  <c r="P89" i="8"/>
  <c r="Q89" i="8"/>
  <c r="P47" i="8"/>
  <c r="Q47" i="8"/>
  <c r="P91" i="8"/>
  <c r="Q91" i="8"/>
  <c r="P92" i="8"/>
  <c r="Q92" i="8"/>
  <c r="P93" i="8"/>
  <c r="Q93" i="8"/>
  <c r="P94" i="8"/>
  <c r="Q94" i="8"/>
  <c r="P95" i="8"/>
  <c r="Q95" i="8"/>
  <c r="P96" i="8"/>
  <c r="Q96" i="8"/>
  <c r="P97" i="8"/>
  <c r="Q97" i="8"/>
  <c r="P99" i="8"/>
  <c r="Q99" i="8"/>
  <c r="P100" i="8"/>
  <c r="Q100" i="8"/>
  <c r="P101" i="8"/>
  <c r="Q101" i="8"/>
  <c r="P102" i="8"/>
  <c r="Q102" i="8"/>
  <c r="P103" i="8"/>
  <c r="Q103" i="8"/>
  <c r="P105" i="8"/>
  <c r="Q105" i="8"/>
  <c r="P106" i="8"/>
  <c r="Q106" i="8"/>
  <c r="P108" i="8"/>
  <c r="Q108" i="8"/>
  <c r="P109" i="8"/>
  <c r="Q109" i="8"/>
  <c r="P110" i="8"/>
  <c r="Q110" i="8"/>
  <c r="P111" i="8"/>
  <c r="Q111" i="8"/>
  <c r="P112" i="8"/>
  <c r="Q112" i="8"/>
  <c r="P143" i="8"/>
  <c r="Q143" i="8"/>
  <c r="P113" i="8"/>
  <c r="Q113" i="8"/>
  <c r="P114" i="8"/>
  <c r="Q114" i="8"/>
  <c r="Q115" i="8"/>
  <c r="P116" i="8"/>
  <c r="Q116" i="8"/>
  <c r="P117" i="8"/>
  <c r="Q117" i="8"/>
  <c r="P119" i="8"/>
  <c r="Q119" i="8"/>
  <c r="P120" i="8"/>
  <c r="Q120" i="8"/>
  <c r="P122" i="8"/>
  <c r="Q122" i="8"/>
  <c r="P123" i="8"/>
  <c r="Q123" i="8"/>
  <c r="P124" i="8"/>
  <c r="Q124" i="8"/>
  <c r="P125" i="8"/>
  <c r="Q125" i="8"/>
  <c r="P188" i="8"/>
  <c r="Q188" i="8"/>
  <c r="P127" i="8"/>
  <c r="Q127" i="8"/>
  <c r="P128" i="8"/>
  <c r="Q128" i="8"/>
  <c r="P129" i="8"/>
  <c r="Q129" i="8"/>
  <c r="P130" i="8"/>
  <c r="Q130" i="8"/>
  <c r="P131" i="8"/>
  <c r="Q131" i="8"/>
  <c r="P132" i="8"/>
  <c r="Q132" i="8"/>
  <c r="P133" i="8"/>
  <c r="Q133" i="8"/>
  <c r="P134" i="8"/>
  <c r="Q134" i="8"/>
  <c r="P135" i="8"/>
  <c r="Q135" i="8"/>
  <c r="P126" i="8"/>
  <c r="Q126" i="8"/>
  <c r="P136" i="8"/>
  <c r="Q136" i="8"/>
  <c r="P138" i="8"/>
  <c r="Q138" i="8"/>
  <c r="P98" i="8"/>
  <c r="Q98" i="8"/>
  <c r="P139" i="8"/>
  <c r="Q139" i="8"/>
  <c r="P140" i="8"/>
  <c r="Q140" i="8"/>
  <c r="Q182" i="8"/>
  <c r="P141" i="8"/>
  <c r="Q141" i="8"/>
  <c r="P142" i="8"/>
  <c r="Q142" i="8"/>
  <c r="P144" i="8"/>
  <c r="Q144" i="8"/>
  <c r="P145" i="8"/>
  <c r="Q145" i="8"/>
  <c r="P146" i="8"/>
  <c r="Q146" i="8"/>
  <c r="P147" i="8"/>
  <c r="Q147" i="8"/>
  <c r="P148" i="8"/>
  <c r="Q148" i="8"/>
  <c r="P149" i="8"/>
  <c r="Q149" i="8"/>
  <c r="P150" i="8"/>
  <c r="Q150" i="8"/>
  <c r="P151" i="8"/>
  <c r="Q151" i="8"/>
  <c r="P152" i="8"/>
  <c r="Q152" i="8"/>
  <c r="P153" i="8"/>
  <c r="Q153" i="8"/>
  <c r="P154" i="8"/>
  <c r="Q154" i="8"/>
  <c r="P155" i="8"/>
  <c r="Q155" i="8"/>
  <c r="P156" i="8"/>
  <c r="Q156" i="8"/>
  <c r="P157" i="8"/>
  <c r="Q157" i="8"/>
  <c r="P158" i="8"/>
  <c r="Q158" i="8"/>
  <c r="P160" i="8"/>
  <c r="Q160" i="8"/>
  <c r="P161" i="8"/>
  <c r="Q161" i="8"/>
  <c r="P58" i="8"/>
  <c r="Q58" i="8"/>
  <c r="P162" i="8"/>
  <c r="Q162" i="8"/>
  <c r="P163" i="8"/>
  <c r="Q163" i="8"/>
  <c r="P164" i="8"/>
  <c r="Q164" i="8"/>
  <c r="P165" i="8"/>
  <c r="Q165" i="8"/>
  <c r="P15" i="8"/>
  <c r="Q15" i="8"/>
  <c r="P16" i="8"/>
  <c r="Q16" i="8"/>
  <c r="P17" i="8"/>
  <c r="Q17" i="8"/>
  <c r="P20" i="8"/>
  <c r="Q20" i="8"/>
  <c r="P6" i="8"/>
  <c r="Q6" i="8"/>
  <c r="P7" i="8"/>
  <c r="Q7" i="8"/>
  <c r="P8" i="8"/>
  <c r="Q8" i="8"/>
  <c r="P9" i="8"/>
  <c r="Q9" i="8"/>
  <c r="P10" i="8"/>
  <c r="Q10" i="8"/>
  <c r="P11" i="8"/>
  <c r="Q11" i="8"/>
  <c r="P13" i="8"/>
  <c r="Q13" i="8"/>
  <c r="P14" i="8"/>
  <c r="Q14" i="8"/>
  <c r="Q5" i="8"/>
  <c r="P5" i="8"/>
  <c r="E7" i="76" l="1"/>
  <c r="G7" i="76" s="1"/>
  <c r="E6" i="76"/>
  <c r="G6" i="76" s="1"/>
  <c r="M84" i="10"/>
  <c r="K84" i="10"/>
  <c r="L84" i="10" s="1"/>
  <c r="G84" i="10"/>
  <c r="H84" i="10" s="1"/>
  <c r="K7" i="76" l="1"/>
  <c r="I7" i="76"/>
  <c r="I6" i="76"/>
  <c r="K6" i="76"/>
  <c r="M82" i="10"/>
  <c r="K82" i="10"/>
  <c r="L82" i="10" s="1"/>
  <c r="G82" i="10"/>
  <c r="H82" i="10" s="1"/>
  <c r="M81" i="10"/>
  <c r="K81" i="10"/>
  <c r="L81" i="10" s="1"/>
  <c r="G81" i="10"/>
  <c r="H81" i="10" s="1"/>
  <c r="M77" i="10" l="1"/>
  <c r="K77" i="10"/>
  <c r="G77" i="10"/>
  <c r="H77" i="10" s="1"/>
  <c r="L77" i="10" l="1"/>
  <c r="M5" i="10"/>
  <c r="K5" i="10"/>
  <c r="L5" i="10" s="1"/>
  <c r="G5" i="10"/>
  <c r="H5" i="10" s="1"/>
  <c r="D12" i="11" l="1"/>
  <c r="M29" i="10" l="1"/>
  <c r="K29" i="10"/>
  <c r="L29" i="10" s="1"/>
  <c r="G29" i="10"/>
  <c r="H29" i="10" s="1"/>
  <c r="M31" i="10" l="1"/>
  <c r="M9" i="10"/>
  <c r="M10" i="10"/>
  <c r="M14" i="10"/>
  <c r="M15" i="10"/>
  <c r="M17" i="10"/>
  <c r="M18" i="10"/>
  <c r="M19" i="10"/>
  <c r="M21" i="10"/>
  <c r="M22" i="10"/>
  <c r="M23" i="10"/>
  <c r="M26" i="10"/>
  <c r="M27" i="10"/>
  <c r="M30" i="10"/>
  <c r="M34" i="10"/>
  <c r="M37" i="10"/>
  <c r="M38" i="10"/>
  <c r="M40" i="10"/>
  <c r="M41" i="10"/>
  <c r="M42" i="10"/>
  <c r="M45" i="10"/>
  <c r="M46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2" i="10"/>
  <c r="M63" i="10"/>
  <c r="M64" i="10"/>
  <c r="M65" i="10"/>
  <c r="M66" i="10"/>
  <c r="M67" i="10"/>
  <c r="M70" i="10"/>
  <c r="M71" i="10"/>
  <c r="M72" i="10"/>
  <c r="M73" i="10"/>
  <c r="M74" i="10"/>
  <c r="M75" i="10"/>
  <c r="M69" i="10"/>
  <c r="M4" i="10"/>
  <c r="M6" i="10"/>
  <c r="M51" i="9"/>
  <c r="M52" i="9"/>
  <c r="M54" i="9"/>
  <c r="M29" i="9"/>
  <c r="M31" i="9"/>
  <c r="M12" i="9"/>
  <c r="M50" i="9"/>
  <c r="M6" i="9"/>
  <c r="M7" i="9"/>
  <c r="M8" i="9"/>
  <c r="M9" i="9"/>
  <c r="M10" i="9"/>
  <c r="M11" i="9"/>
  <c r="M13" i="9"/>
  <c r="M15" i="9"/>
  <c r="M16" i="9"/>
  <c r="M17" i="9"/>
  <c r="M18" i="9"/>
  <c r="M19" i="9"/>
  <c r="M20" i="9"/>
  <c r="M21" i="9"/>
  <c r="M22" i="9"/>
  <c r="M23" i="9"/>
  <c r="M24" i="9"/>
  <c r="M25" i="9"/>
  <c r="M28" i="9"/>
  <c r="M53" i="9"/>
  <c r="M30" i="9"/>
  <c r="M32" i="9"/>
  <c r="M33" i="9"/>
  <c r="M34" i="9"/>
  <c r="M35" i="9"/>
  <c r="M36" i="9"/>
  <c r="M38" i="9"/>
  <c r="M39" i="9"/>
  <c r="M40" i="9"/>
  <c r="M41" i="9"/>
  <c r="M37" i="9"/>
  <c r="M42" i="9"/>
  <c r="M43" i="9"/>
  <c r="M44" i="9"/>
  <c r="M45" i="9"/>
  <c r="M46" i="9"/>
  <c r="M47" i="9"/>
  <c r="M48" i="9"/>
  <c r="M49" i="9"/>
  <c r="M5" i="9"/>
  <c r="M219" i="8"/>
  <c r="M50" i="8"/>
  <c r="M141" i="8"/>
  <c r="M78" i="8"/>
  <c r="M166" i="8"/>
  <c r="M45" i="8"/>
  <c r="M170" i="8"/>
  <c r="M154" i="8"/>
  <c r="M273" i="8"/>
  <c r="M245" i="8"/>
  <c r="M225" i="8"/>
  <c r="M293" i="8"/>
  <c r="M274" i="8"/>
  <c r="M176" i="8"/>
  <c r="M108" i="8"/>
  <c r="M167" i="8"/>
  <c r="M198" i="8"/>
  <c r="M79" i="8"/>
  <c r="M121" i="8"/>
  <c r="M155" i="8"/>
  <c r="M156" i="8"/>
  <c r="M8" i="8"/>
  <c r="M331" i="8"/>
  <c r="M261" i="8"/>
  <c r="M180" i="8"/>
  <c r="M23" i="8"/>
  <c r="M187" i="8"/>
  <c r="M157" i="8"/>
  <c r="M97" i="8"/>
  <c r="M200" i="8"/>
  <c r="M259" i="8"/>
  <c r="M220" i="8"/>
  <c r="M275" i="8"/>
  <c r="M285" i="8"/>
  <c r="M262" i="8"/>
  <c r="M286" i="8"/>
  <c r="M294" i="8"/>
  <c r="M221" i="8"/>
  <c r="M201" i="8"/>
  <c r="M202" i="8"/>
  <c r="M203" i="8"/>
  <c r="M323" i="8"/>
  <c r="M303" i="8"/>
  <c r="M276" i="8"/>
  <c r="M132" i="8"/>
  <c r="M89" i="8"/>
  <c r="M324" i="8"/>
  <c r="M213" i="8"/>
  <c r="M325" i="8"/>
  <c r="M222" i="8"/>
  <c r="M330" i="8"/>
  <c r="M158" i="8"/>
  <c r="M109" i="8"/>
  <c r="M248" i="8"/>
  <c r="M246" i="8"/>
  <c r="M295" i="8"/>
  <c r="M142" i="8"/>
  <c r="M181" i="8"/>
  <c r="M296" i="8"/>
  <c r="M133" i="8"/>
  <c r="M46" i="8"/>
  <c r="M80" i="8"/>
  <c r="M134" i="8"/>
  <c r="M326" i="8"/>
  <c r="M81" i="8"/>
  <c r="M287" i="8"/>
  <c r="M263" i="8"/>
  <c r="M122" i="8"/>
  <c r="M327" i="8"/>
  <c r="M328" i="8"/>
  <c r="M123" i="8"/>
  <c r="M277" i="8"/>
  <c r="M297" i="8"/>
  <c r="M298" i="8"/>
  <c r="M309" i="8"/>
  <c r="M379" i="8"/>
  <c r="M38" i="8"/>
  <c r="M235" i="8"/>
  <c r="M322" i="8"/>
  <c r="M314" i="8"/>
  <c r="M289" i="8"/>
  <c r="M83" i="8"/>
  <c r="M307" i="8"/>
  <c r="M283" i="8"/>
  <c r="M227" i="8"/>
  <c r="M64" i="8"/>
  <c r="M61" i="8"/>
  <c r="M175" i="8"/>
  <c r="M241" i="8"/>
  <c r="M100" i="8"/>
  <c r="M224" i="8"/>
  <c r="M59" i="8"/>
  <c r="M53" i="8"/>
  <c r="M22" i="8"/>
  <c r="M188" i="8"/>
  <c r="M138" i="8"/>
  <c r="M223" i="8"/>
  <c r="M161" i="8"/>
  <c r="M95" i="8"/>
  <c r="M242" i="8"/>
  <c r="M54" i="8"/>
  <c r="M84" i="8"/>
  <c r="M55" i="8"/>
  <c r="M111" i="8"/>
  <c r="M65" i="8"/>
  <c r="M112" i="8"/>
  <c r="M48" i="8"/>
  <c r="M96" i="8"/>
  <c r="M39" i="8"/>
  <c r="M147" i="8"/>
  <c r="M143" i="8"/>
  <c r="M217" i="8"/>
  <c r="M52" i="8"/>
  <c r="M40" i="8"/>
  <c r="M98" i="8"/>
  <c r="M26" i="8"/>
  <c r="M66" i="8"/>
  <c r="M101" i="8"/>
  <c r="M58" i="8"/>
  <c r="M228" i="8"/>
  <c r="M27" i="8"/>
  <c r="M374" i="8"/>
  <c r="M214" i="8"/>
  <c r="M206" i="8"/>
  <c r="M28" i="8"/>
  <c r="M340" i="8"/>
  <c r="M229" i="8"/>
  <c r="M113" i="8"/>
  <c r="M148" i="8"/>
  <c r="M168" i="8"/>
  <c r="M240" i="8"/>
  <c r="M268" i="8"/>
  <c r="M243" i="8"/>
  <c r="M60" i="8"/>
  <c r="M102" i="8"/>
  <c r="M257" i="8"/>
  <c r="M162" i="8"/>
  <c r="M269" i="8"/>
  <c r="M252" i="8"/>
  <c r="M341" i="8"/>
  <c r="M185" i="8"/>
  <c r="M284" i="8"/>
  <c r="M270" i="8"/>
  <c r="M299" i="8"/>
  <c r="M300" i="8"/>
  <c r="M29" i="8"/>
  <c r="M315" i="8"/>
  <c r="M19" i="8"/>
  <c r="M67" i="8"/>
  <c r="M218" i="8"/>
  <c r="M271" i="8"/>
  <c r="M316" i="8"/>
  <c r="M308" i="8"/>
  <c r="M85" i="8"/>
  <c r="M288" i="8"/>
  <c r="M342" i="8"/>
  <c r="M68" i="8"/>
  <c r="M305" i="8"/>
  <c r="M343" i="8"/>
  <c r="M344" i="8"/>
  <c r="M51" i="8"/>
  <c r="M207" i="8"/>
  <c r="M345" i="8"/>
  <c r="M317" i="8"/>
  <c r="M127" i="8"/>
  <c r="M237" i="8"/>
  <c r="M346" i="8"/>
  <c r="M347" i="8"/>
  <c r="M348" i="8"/>
  <c r="M30" i="8"/>
  <c r="M103" i="8"/>
  <c r="M15" i="8"/>
  <c r="M349" i="8"/>
  <c r="M350" i="8"/>
  <c r="M31" i="8"/>
  <c r="M139" i="8"/>
  <c r="M69" i="8"/>
  <c r="M128" i="8"/>
  <c r="M149" i="8"/>
  <c r="M230" i="8"/>
  <c r="M351" i="8"/>
  <c r="M375" i="8"/>
  <c r="M42" i="8"/>
  <c r="M105" i="8"/>
  <c r="M231" i="8"/>
  <c r="M376" i="8"/>
  <c r="M377" i="8"/>
  <c r="M114" i="8"/>
  <c r="M70" i="8"/>
  <c r="M71" i="8"/>
  <c r="M238" i="8"/>
  <c r="M150" i="8"/>
  <c r="M72" i="8"/>
  <c r="M115" i="8"/>
  <c r="M86" i="8"/>
  <c r="M151" i="8"/>
  <c r="M352" i="8"/>
  <c r="M318" i="8"/>
  <c r="M291" i="8"/>
  <c r="M49" i="8"/>
  <c r="M116" i="8"/>
  <c r="M353" i="8"/>
  <c r="M354" i="8"/>
  <c r="M171" i="8"/>
  <c r="M117" i="8"/>
  <c r="M355" i="8"/>
  <c r="M356" i="8"/>
  <c r="M208" i="8"/>
  <c r="M253" i="8"/>
  <c r="M232" i="8"/>
  <c r="M357" i="8"/>
  <c r="M16" i="8"/>
  <c r="M358" i="8"/>
  <c r="M32" i="8"/>
  <c r="M359" i="8"/>
  <c r="M360" i="8"/>
  <c r="M163" i="8"/>
  <c r="M194" i="8"/>
  <c r="M195" i="8"/>
  <c r="M129" i="8"/>
  <c r="M361" i="8"/>
  <c r="M378" i="8"/>
  <c r="M362" i="8"/>
  <c r="M209" i="8"/>
  <c r="M11" i="8"/>
  <c r="M244" i="8"/>
  <c r="M87" i="8"/>
  <c r="M73" i="8"/>
  <c r="M164" i="8"/>
  <c r="M74" i="8"/>
  <c r="M140" i="8"/>
  <c r="M254" i="8"/>
  <c r="M363" i="8"/>
  <c r="M215" i="8"/>
  <c r="M130" i="8"/>
  <c r="M75" i="8"/>
  <c r="M165" i="8"/>
  <c r="M364" i="8"/>
  <c r="M365" i="8"/>
  <c r="M33" i="8"/>
  <c r="M56" i="8"/>
  <c r="M211" i="8"/>
  <c r="M233" i="8"/>
  <c r="M10" i="8"/>
  <c r="M43" i="8"/>
  <c r="M292" i="8"/>
  <c r="M366" i="8"/>
  <c r="M367" i="8"/>
  <c r="M247" i="8"/>
  <c r="M169" i="8"/>
  <c r="M44" i="8"/>
  <c r="M119" i="8"/>
  <c r="M106" i="8"/>
  <c r="M196" i="8"/>
  <c r="M319" i="8"/>
  <c r="M34" i="8"/>
  <c r="M57" i="8"/>
  <c r="M234" i="8"/>
  <c r="M131" i="8"/>
  <c r="M172" i="8"/>
  <c r="M186" i="8"/>
  <c r="M332" i="8"/>
  <c r="M239" i="8"/>
  <c r="M35" i="8"/>
  <c r="M368" i="8"/>
  <c r="M76" i="8"/>
  <c r="M182" i="8"/>
  <c r="M152" i="8"/>
  <c r="M197" i="8"/>
  <c r="M301" i="8"/>
  <c r="M369" i="8"/>
  <c r="M205" i="8"/>
  <c r="M17" i="8"/>
  <c r="M320" i="8"/>
  <c r="M159" i="8"/>
  <c r="M36" i="8"/>
  <c r="M210" i="8"/>
  <c r="M370" i="8"/>
  <c r="M18" i="8"/>
  <c r="M153" i="8"/>
  <c r="M183" i="8"/>
  <c r="M77" i="8"/>
  <c r="M258" i="8"/>
  <c r="M37" i="8"/>
  <c r="M371" i="8"/>
  <c r="M120" i="8"/>
  <c r="M88" i="8"/>
  <c r="M272" i="8"/>
  <c r="M321" i="8"/>
  <c r="M107" i="8"/>
  <c r="M302" i="8"/>
  <c r="M94" i="8"/>
  <c r="M174" i="8"/>
  <c r="M93" i="8"/>
  <c r="M193" i="8"/>
  <c r="M63" i="8"/>
  <c r="M145" i="8"/>
  <c r="M173" i="8"/>
  <c r="M312" i="8"/>
  <c r="M20" i="8"/>
  <c r="M226" i="8"/>
  <c r="M335" i="8"/>
  <c r="M372" i="8"/>
  <c r="M336" i="8"/>
  <c r="M177" i="8"/>
  <c r="M189" i="8"/>
  <c r="M13" i="8"/>
  <c r="M184" i="8"/>
  <c r="M212" i="8"/>
  <c r="M249" i="8"/>
  <c r="M21" i="8"/>
  <c r="M216" i="8"/>
  <c r="M337" i="8"/>
  <c r="M310" i="8"/>
  <c r="M178" i="8"/>
  <c r="M278" i="8"/>
  <c r="M160" i="8"/>
  <c r="M191" i="8"/>
  <c r="M306" i="8"/>
  <c r="M91" i="8"/>
  <c r="M265" i="8"/>
  <c r="M290" i="8"/>
  <c r="M256" i="8"/>
  <c r="M5" i="8"/>
  <c r="E14" i="11" s="1"/>
  <c r="M110" i="8"/>
  <c r="M279" i="8"/>
  <c r="M92" i="8"/>
  <c r="M333" i="8"/>
  <c r="M280" i="8"/>
  <c r="M267" i="8"/>
  <c r="M281" i="8"/>
  <c r="M190" i="8"/>
  <c r="M14" i="8"/>
  <c r="M24" i="8"/>
  <c r="M6" i="8"/>
  <c r="M311" i="8"/>
  <c r="M282" i="8"/>
  <c r="M192" i="8"/>
  <c r="M373" i="8"/>
  <c r="M250" i="8"/>
  <c r="M236" i="8"/>
  <c r="M25" i="8"/>
  <c r="M204" i="8"/>
  <c r="M7" i="8"/>
  <c r="M264" i="8"/>
  <c r="M251" i="8"/>
  <c r="M304" i="8"/>
  <c r="M41" i="8"/>
  <c r="M62" i="8"/>
  <c r="M99" i="8"/>
  <c r="M144" i="8"/>
  <c r="M334" i="8"/>
  <c r="K69" i="10"/>
  <c r="L69" i="10" s="1"/>
  <c r="G69" i="10"/>
  <c r="H69" i="10" s="1"/>
  <c r="K6" i="10" l="1"/>
  <c r="L6" i="10" s="1"/>
  <c r="G6" i="10"/>
  <c r="H6" i="10" s="1"/>
  <c r="K41" i="45" l="1"/>
  <c r="K42" i="45"/>
  <c r="K43" i="45"/>
  <c r="K44" i="45"/>
  <c r="K45" i="45"/>
  <c r="K46" i="45"/>
  <c r="K47" i="45"/>
  <c r="K144" i="8" l="1"/>
  <c r="L144" i="8" s="1"/>
  <c r="K99" i="8"/>
  <c r="L99" i="8" s="1"/>
  <c r="K62" i="8"/>
  <c r="L62" i="8" s="1"/>
  <c r="G62" i="8"/>
  <c r="H62" i="8" s="1"/>
  <c r="G29" i="9" l="1"/>
  <c r="H29" i="9" s="1"/>
  <c r="K29" i="9"/>
  <c r="L29" i="9" s="1"/>
  <c r="K38" i="10" l="1"/>
  <c r="L38" i="10" s="1"/>
  <c r="G38" i="10"/>
  <c r="H38" i="10" s="1"/>
  <c r="K41" i="8"/>
  <c r="L41" i="8" s="1"/>
  <c r="G41" i="8"/>
  <c r="H41" i="8" s="1"/>
  <c r="K304" i="8"/>
  <c r="L304" i="8" s="1"/>
  <c r="G304" i="8"/>
  <c r="H304" i="8" s="1"/>
  <c r="K251" i="8" l="1"/>
  <c r="L251" i="8" s="1"/>
  <c r="T80" i="34" l="1"/>
  <c r="T77" i="34"/>
  <c r="T78" i="34"/>
  <c r="T79" i="34"/>
  <c r="T70" i="34"/>
  <c r="T71" i="34"/>
  <c r="T72" i="34"/>
  <c r="T73" i="34"/>
  <c r="T74" i="34"/>
  <c r="T75" i="34"/>
  <c r="T69" i="34"/>
  <c r="T62" i="34"/>
  <c r="T63" i="34"/>
  <c r="T64" i="34"/>
  <c r="T65" i="34"/>
  <c r="T66" i="34"/>
  <c r="T84" i="34" s="1"/>
  <c r="T67" i="34"/>
  <c r="T61" i="34"/>
  <c r="T56" i="34"/>
  <c r="T57" i="34"/>
  <c r="T58" i="34"/>
  <c r="T59" i="34"/>
  <c r="T60" i="34"/>
  <c r="T55" i="34"/>
  <c r="T49" i="34"/>
  <c r="T50" i="34"/>
  <c r="T51" i="34"/>
  <c r="T52" i="34"/>
  <c r="T53" i="34"/>
  <c r="T54" i="34"/>
  <c r="T48" i="34"/>
  <c r="T38" i="34"/>
  <c r="T39" i="34"/>
  <c r="T40" i="34"/>
  <c r="T41" i="34"/>
  <c r="T42" i="34"/>
  <c r="T43" i="34"/>
  <c r="P44" i="34"/>
  <c r="Q44" i="34"/>
  <c r="R44" i="34"/>
  <c r="S44" i="34"/>
  <c r="T44" i="34"/>
  <c r="T45" i="34"/>
  <c r="O44" i="34"/>
  <c r="T37" i="34"/>
  <c r="T32" i="34"/>
  <c r="T33" i="34"/>
  <c r="T34" i="34"/>
  <c r="T35" i="34"/>
  <c r="T36" i="34"/>
  <c r="T28" i="34"/>
  <c r="T27" i="34"/>
  <c r="T22" i="34"/>
  <c r="T23" i="34"/>
  <c r="T24" i="34"/>
  <c r="T25" i="34"/>
  <c r="T26" i="34"/>
  <c r="T19" i="34"/>
  <c r="T17" i="34"/>
  <c r="T16" i="34"/>
  <c r="T14" i="34"/>
  <c r="T13" i="34"/>
  <c r="T10" i="34"/>
  <c r="T9" i="34"/>
  <c r="O10" i="34"/>
  <c r="T85" i="34"/>
  <c r="K46" i="10"/>
  <c r="L46" i="10" s="1"/>
  <c r="G46" i="10"/>
  <c r="H46" i="10" s="1"/>
  <c r="D78" i="34"/>
  <c r="D77" i="34"/>
  <c r="D76" i="34"/>
  <c r="D75" i="34"/>
  <c r="D74" i="34"/>
  <c r="D73" i="34"/>
  <c r="J72" i="34"/>
  <c r="H70" i="34"/>
  <c r="R67" i="34" s="1"/>
  <c r="D70" i="34"/>
  <c r="D68" i="34"/>
  <c r="D67" i="34"/>
  <c r="D65" i="34"/>
  <c r="J64" i="34"/>
  <c r="D63" i="34"/>
  <c r="D62" i="34"/>
  <c r="D61" i="34"/>
  <c r="D60" i="34"/>
  <c r="D59" i="34"/>
  <c r="J58" i="34"/>
  <c r="D57" i="34"/>
  <c r="D56" i="34"/>
  <c r="D55" i="34"/>
  <c r="D54" i="34"/>
  <c r="D53" i="34"/>
  <c r="D52" i="34"/>
  <c r="D51" i="34"/>
  <c r="D50" i="34"/>
  <c r="D49" i="34"/>
  <c r="D48" i="34"/>
  <c r="K47" i="34"/>
  <c r="U44" i="34" s="1"/>
  <c r="D46" i="34"/>
  <c r="D45" i="34"/>
  <c r="D44" i="34"/>
  <c r="D43" i="34"/>
  <c r="D42" i="34"/>
  <c r="D41" i="34"/>
  <c r="J40" i="34"/>
  <c r="D39" i="34"/>
  <c r="D38" i="34"/>
  <c r="D37" i="34"/>
  <c r="D36" i="34"/>
  <c r="D35" i="34"/>
  <c r="D33" i="34"/>
  <c r="D32" i="34"/>
  <c r="K31" i="34"/>
  <c r="D30" i="34"/>
  <c r="D29" i="34"/>
  <c r="D28" i="34"/>
  <c r="D27" i="34"/>
  <c r="D26" i="34"/>
  <c r="J25" i="34"/>
  <c r="T21" i="34" s="1"/>
  <c r="D23" i="34"/>
  <c r="D21" i="34"/>
  <c r="D20" i="34"/>
  <c r="D19" i="34"/>
  <c r="J17" i="34"/>
  <c r="T15" i="34" s="1"/>
  <c r="D16" i="34"/>
  <c r="D15" i="34"/>
  <c r="D12" i="34"/>
  <c r="D9" i="34"/>
  <c r="D7" i="34"/>
  <c r="D6" i="34"/>
  <c r="J79" i="34" l="1"/>
  <c r="T83" i="34"/>
  <c r="K75" i="10" l="1"/>
  <c r="L75" i="10" s="1"/>
  <c r="G75" i="10"/>
  <c r="H75" i="10" s="1"/>
  <c r="K264" i="8"/>
  <c r="L264" i="8" s="1"/>
  <c r="G264" i="8"/>
  <c r="H264" i="8" s="1"/>
  <c r="K7" i="8"/>
  <c r="L7" i="8" s="1"/>
  <c r="G7" i="8"/>
  <c r="H7" i="8" s="1"/>
  <c r="K204" i="8" l="1"/>
  <c r="L204" i="8" s="1"/>
  <c r="G204" i="8"/>
  <c r="H204" i="8" s="1"/>
  <c r="D6" i="11" l="1"/>
  <c r="D7" i="11"/>
  <c r="D9" i="11"/>
  <c r="D15" i="11"/>
  <c r="D16" i="11"/>
  <c r="J17" i="11"/>
  <c r="D19" i="11"/>
  <c r="D20" i="11"/>
  <c r="D21" i="11"/>
  <c r="D23" i="11"/>
  <c r="J25" i="11"/>
  <c r="D26" i="11"/>
  <c r="D27" i="11"/>
  <c r="D28" i="11"/>
  <c r="D29" i="11"/>
  <c r="D30" i="11"/>
  <c r="D32" i="11"/>
  <c r="D33" i="11"/>
  <c r="D35" i="11"/>
  <c r="D36" i="11"/>
  <c r="D37" i="11"/>
  <c r="D38" i="11"/>
  <c r="J41" i="11"/>
  <c r="D42" i="11"/>
  <c r="D43" i="11"/>
  <c r="D44" i="11"/>
  <c r="D45" i="11"/>
  <c r="D46" i="11"/>
  <c r="D47" i="11"/>
  <c r="D49" i="11"/>
  <c r="D50" i="11"/>
  <c r="D51" i="11"/>
  <c r="D52" i="11"/>
  <c r="D53" i="11"/>
  <c r="D54" i="11"/>
  <c r="D55" i="11"/>
  <c r="D56" i="11"/>
  <c r="D57" i="11"/>
  <c r="D58" i="11"/>
  <c r="J59" i="11"/>
  <c r="D60" i="11"/>
  <c r="D61" i="11"/>
  <c r="D62" i="11"/>
  <c r="D63" i="11"/>
  <c r="D64" i="11"/>
  <c r="J65" i="11"/>
  <c r="D66" i="11"/>
  <c r="D68" i="11"/>
  <c r="D69" i="11"/>
  <c r="D71" i="11"/>
  <c r="J73" i="11"/>
  <c r="D74" i="11"/>
  <c r="D75" i="11"/>
  <c r="D76" i="11"/>
  <c r="D77" i="11"/>
  <c r="D78" i="11"/>
  <c r="D79" i="11"/>
  <c r="J80" i="11" l="1"/>
  <c r="K25" i="8"/>
  <c r="L25" i="8" s="1"/>
  <c r="G25" i="8"/>
  <c r="H25" i="8" s="1"/>
  <c r="K64" i="10"/>
  <c r="L64" i="10" s="1"/>
  <c r="G64" i="10"/>
  <c r="H64" i="10" s="1"/>
  <c r="K22" i="10"/>
  <c r="L22" i="10" s="1"/>
  <c r="G22" i="10"/>
  <c r="H22" i="10" s="1"/>
  <c r="K37" i="10" l="1"/>
  <c r="L37" i="10" s="1"/>
  <c r="G37" i="10"/>
  <c r="H37" i="10" s="1"/>
  <c r="K27" i="10"/>
  <c r="L27" i="10" s="1"/>
  <c r="G27" i="10"/>
  <c r="H27" i="10" s="1"/>
  <c r="K67" i="10"/>
  <c r="L67" i="10" s="1"/>
  <c r="G67" i="10"/>
  <c r="H67" i="10" s="1"/>
  <c r="K50" i="10"/>
  <c r="L50" i="10" s="1"/>
  <c r="G50" i="10"/>
  <c r="H50" i="10" s="1"/>
  <c r="K56" i="10"/>
  <c r="L56" i="10" s="1"/>
  <c r="G56" i="10"/>
  <c r="H56" i="10" s="1"/>
  <c r="K15" i="10"/>
  <c r="L15" i="10" s="1"/>
  <c r="G15" i="10"/>
  <c r="H15" i="10" s="1"/>
  <c r="K49" i="10"/>
  <c r="L49" i="10" s="1"/>
  <c r="G49" i="10"/>
  <c r="H49" i="10" s="1"/>
  <c r="K41" i="10"/>
  <c r="L41" i="10" s="1"/>
  <c r="G41" i="10"/>
  <c r="H41" i="10" s="1"/>
  <c r="K26" i="10"/>
  <c r="L26" i="10" s="1"/>
  <c r="G26" i="10"/>
  <c r="H26" i="10" s="1"/>
  <c r="K30" i="10"/>
  <c r="L30" i="10" s="1"/>
  <c r="G30" i="10"/>
  <c r="H30" i="10" s="1"/>
  <c r="K34" i="10"/>
  <c r="L34" i="10" s="1"/>
  <c r="G34" i="10"/>
  <c r="H34" i="10" s="1"/>
  <c r="K66" i="10"/>
  <c r="L66" i="10" s="1"/>
  <c r="G66" i="10"/>
  <c r="H66" i="10" s="1"/>
  <c r="K60" i="10"/>
  <c r="L60" i="10" s="1"/>
  <c r="G60" i="10"/>
  <c r="H60" i="10" s="1"/>
  <c r="K51" i="10"/>
  <c r="L51" i="10" s="1"/>
  <c r="G51" i="10"/>
  <c r="H51" i="10" s="1"/>
  <c r="K74" i="10"/>
  <c r="L74" i="10" s="1"/>
  <c r="G74" i="10"/>
  <c r="H74" i="10" s="1"/>
  <c r="K19" i="10"/>
  <c r="L19" i="10" s="1"/>
  <c r="G19" i="10"/>
  <c r="H19" i="10" s="1"/>
  <c r="K65" i="10"/>
  <c r="L65" i="10" s="1"/>
  <c r="G65" i="10"/>
  <c r="H65" i="10" s="1"/>
  <c r="K55" i="10"/>
  <c r="L55" i="10" s="1"/>
  <c r="G55" i="10"/>
  <c r="H55" i="10" s="1"/>
  <c r="K53" i="10"/>
  <c r="L53" i="10" s="1"/>
  <c r="G53" i="10"/>
  <c r="H53" i="10" s="1"/>
  <c r="K62" i="10"/>
  <c r="L62" i="10" s="1"/>
  <c r="G62" i="10"/>
  <c r="H62" i="10" s="1"/>
  <c r="K10" i="10"/>
  <c r="L10" i="10" s="1"/>
  <c r="G10" i="10"/>
  <c r="H10" i="10" s="1"/>
  <c r="K59" i="10"/>
  <c r="L59" i="10" s="1"/>
  <c r="G59" i="10"/>
  <c r="H59" i="10" s="1"/>
  <c r="K14" i="10"/>
  <c r="L14" i="10" s="1"/>
  <c r="G14" i="10"/>
  <c r="H14" i="10" s="1"/>
  <c r="K73" i="10"/>
  <c r="L73" i="10" s="1"/>
  <c r="G73" i="10"/>
  <c r="H73" i="10" s="1"/>
  <c r="K52" i="10"/>
  <c r="L52" i="10" s="1"/>
  <c r="G52" i="10"/>
  <c r="H52" i="10" s="1"/>
  <c r="K72" i="10"/>
  <c r="L72" i="10" s="1"/>
  <c r="G72" i="10"/>
  <c r="H72" i="10" s="1"/>
  <c r="K45" i="10"/>
  <c r="L45" i="10" s="1"/>
  <c r="G45" i="10"/>
  <c r="H45" i="10" s="1"/>
  <c r="K71" i="10"/>
  <c r="L71" i="10" s="1"/>
  <c r="G71" i="10"/>
  <c r="H71" i="10" s="1"/>
  <c r="K58" i="10"/>
  <c r="L58" i="10" s="1"/>
  <c r="G58" i="10"/>
  <c r="H58" i="10" s="1"/>
  <c r="K48" i="10"/>
  <c r="L48" i="10" s="1"/>
  <c r="G48" i="10"/>
  <c r="H48" i="10" s="1"/>
  <c r="K9" i="10"/>
  <c r="L9" i="10" s="1"/>
  <c r="G9" i="10"/>
  <c r="K63" i="10"/>
  <c r="L63" i="10" s="1"/>
  <c r="G63" i="10"/>
  <c r="H63" i="10" s="1"/>
  <c r="K70" i="10"/>
  <c r="L70" i="10" s="1"/>
  <c r="G70" i="10"/>
  <c r="H70" i="10" s="1"/>
  <c r="K18" i="10"/>
  <c r="L18" i="10" s="1"/>
  <c r="G18" i="10"/>
  <c r="H18" i="10" s="1"/>
  <c r="K17" i="10"/>
  <c r="L17" i="10" s="1"/>
  <c r="G17" i="10"/>
  <c r="H17" i="10" s="1"/>
  <c r="K57" i="10"/>
  <c r="L57" i="10" s="1"/>
  <c r="G57" i="10"/>
  <c r="H57" i="10" s="1"/>
  <c r="K42" i="10"/>
  <c r="L42" i="10" s="1"/>
  <c r="G42" i="10"/>
  <c r="H42" i="10" s="1"/>
  <c r="K23" i="10"/>
  <c r="L23" i="10" s="1"/>
  <c r="G23" i="10"/>
  <c r="K21" i="10"/>
  <c r="L21" i="10" s="1"/>
  <c r="G21" i="10"/>
  <c r="H21" i="10" s="1"/>
  <c r="K281" i="8"/>
  <c r="L281" i="8" s="1"/>
  <c r="G281" i="8"/>
  <c r="H281" i="8" s="1"/>
  <c r="K377" i="8"/>
  <c r="L377" i="8" s="1"/>
  <c r="G377" i="8"/>
  <c r="H377" i="8" s="1"/>
  <c r="K19" i="8"/>
  <c r="L19" i="8" s="1"/>
  <c r="G19" i="8"/>
  <c r="H19" i="8" s="1"/>
  <c r="K336" i="8"/>
  <c r="L336" i="8" s="1"/>
  <c r="G336" i="8"/>
  <c r="H336" i="8" s="1"/>
  <c r="K33" i="8"/>
  <c r="L33" i="8" s="1"/>
  <c r="G33" i="8"/>
  <c r="H33" i="8" s="1"/>
  <c r="K371" i="8"/>
  <c r="L371" i="8" s="1"/>
  <c r="G371" i="8"/>
  <c r="H371" i="8" s="1"/>
  <c r="K190" i="8"/>
  <c r="L190" i="8" s="1"/>
  <c r="G190" i="8"/>
  <c r="H190" i="8" s="1"/>
  <c r="K321" i="8"/>
  <c r="L321" i="8" s="1"/>
  <c r="G321" i="8"/>
  <c r="H321" i="8" s="1"/>
  <c r="K31" i="8"/>
  <c r="L31" i="8" s="1"/>
  <c r="G31" i="8"/>
  <c r="H31" i="8" s="1"/>
  <c r="K154" i="8"/>
  <c r="L154" i="8" s="1"/>
  <c r="G154" i="8"/>
  <c r="H154" i="8" s="1"/>
  <c r="K211" i="8"/>
  <c r="L211" i="8" s="1"/>
  <c r="G211" i="8"/>
  <c r="H211" i="8" s="1"/>
  <c r="K110" i="8"/>
  <c r="L110" i="8" s="1"/>
  <c r="G110" i="8"/>
  <c r="H110" i="8" s="1"/>
  <c r="K67" i="8"/>
  <c r="L67" i="8" s="1"/>
  <c r="G67" i="8"/>
  <c r="H67" i="8" s="1"/>
  <c r="K51" i="8"/>
  <c r="L51" i="8" s="1"/>
  <c r="G51" i="8"/>
  <c r="H51" i="8" s="1"/>
  <c r="K198" i="8"/>
  <c r="L198" i="8" s="1"/>
  <c r="G198" i="8"/>
  <c r="H198" i="8" s="1"/>
  <c r="K183" i="8"/>
  <c r="L183" i="8" s="1"/>
  <c r="G183" i="8"/>
  <c r="H183" i="8" s="1"/>
  <c r="K365" i="8"/>
  <c r="L365" i="8" s="1"/>
  <c r="G365" i="8"/>
  <c r="H365" i="8" s="1"/>
  <c r="K148" i="8"/>
  <c r="L148" i="8" s="1"/>
  <c r="G148" i="8"/>
  <c r="H148" i="8" s="1"/>
  <c r="K230" i="8"/>
  <c r="L230" i="8" s="1"/>
  <c r="G230" i="8"/>
  <c r="H230" i="8" s="1"/>
  <c r="K221" i="8"/>
  <c r="L221" i="8" s="1"/>
  <c r="G221" i="8"/>
  <c r="H221" i="8" s="1"/>
  <c r="K26" i="8"/>
  <c r="L26" i="8" s="1"/>
  <c r="G26" i="8"/>
  <c r="H26" i="8" s="1"/>
  <c r="K248" i="8"/>
  <c r="L248" i="8" s="1"/>
  <c r="G248" i="8"/>
  <c r="H248" i="8" s="1"/>
  <c r="K101" i="8"/>
  <c r="L101" i="8" s="1"/>
  <c r="G101" i="8"/>
  <c r="H101" i="8" s="1"/>
  <c r="K315" i="8"/>
  <c r="L315" i="8" s="1"/>
  <c r="G315" i="8"/>
  <c r="H315" i="8" s="1"/>
  <c r="K203" i="8"/>
  <c r="L203" i="8" s="1"/>
  <c r="G203" i="8"/>
  <c r="H203" i="8" s="1"/>
  <c r="K224" i="8"/>
  <c r="L224" i="8" s="1"/>
  <c r="G224" i="8"/>
  <c r="H224" i="8" s="1"/>
  <c r="K178" i="8"/>
  <c r="L178" i="8" s="1"/>
  <c r="G178" i="8"/>
  <c r="H178" i="8" s="1"/>
  <c r="K259" i="8"/>
  <c r="L259" i="8" s="1"/>
  <c r="G259" i="8"/>
  <c r="H259" i="8" s="1"/>
  <c r="K277" i="8"/>
  <c r="L277" i="8" s="1"/>
  <c r="G277" i="8"/>
  <c r="H277" i="8" s="1"/>
  <c r="K334" i="8"/>
  <c r="L334" i="8" s="1"/>
  <c r="G334" i="8"/>
  <c r="K52" i="8"/>
  <c r="L52" i="8" s="1"/>
  <c r="G52" i="8"/>
  <c r="H52" i="8" s="1"/>
  <c r="K168" i="8"/>
  <c r="L168" i="8" s="1"/>
  <c r="G168" i="8"/>
  <c r="H168" i="8" s="1"/>
  <c r="K59" i="8"/>
  <c r="L59" i="8" s="1"/>
  <c r="G59" i="8"/>
  <c r="H59" i="8" s="1"/>
  <c r="K369" i="8"/>
  <c r="L369" i="8" s="1"/>
  <c r="G369" i="8"/>
  <c r="H369" i="8" s="1"/>
  <c r="K61" i="8"/>
  <c r="L61" i="8" s="1"/>
  <c r="G61" i="8"/>
  <c r="H61" i="8" s="1"/>
  <c r="K113" i="8"/>
  <c r="L113" i="8" s="1"/>
  <c r="G113" i="8"/>
  <c r="H113" i="8" s="1"/>
  <c r="K282" i="8"/>
  <c r="L282" i="8" s="1"/>
  <c r="G282" i="8"/>
  <c r="H282" i="8" s="1"/>
  <c r="K10" i="8"/>
  <c r="L10" i="8" s="1"/>
  <c r="G10" i="8"/>
  <c r="H10" i="8" s="1"/>
  <c r="K333" i="8"/>
  <c r="L333" i="8" s="1"/>
  <c r="G333" i="8"/>
  <c r="H333" i="8" s="1"/>
  <c r="K299" i="8"/>
  <c r="L299" i="8" s="1"/>
  <c r="G299" i="8"/>
  <c r="H299" i="8" s="1"/>
  <c r="K290" i="8"/>
  <c r="L290" i="8" s="1"/>
  <c r="G290" i="8"/>
  <c r="H290" i="8" s="1"/>
  <c r="K172" i="8"/>
  <c r="L172" i="8" s="1"/>
  <c r="G172" i="8"/>
  <c r="H172" i="8" s="1"/>
  <c r="K267" i="8"/>
  <c r="L267" i="8" s="1"/>
  <c r="G267" i="8"/>
  <c r="H267" i="8" s="1"/>
  <c r="K164" i="8"/>
  <c r="L164" i="8" s="1"/>
  <c r="G164" i="8"/>
  <c r="H164" i="8" s="1"/>
  <c r="K159" i="8"/>
  <c r="L159" i="8" s="1"/>
  <c r="G159" i="8"/>
  <c r="H159" i="8" s="1"/>
  <c r="K366" i="8"/>
  <c r="L366" i="8" s="1"/>
  <c r="G366" i="8"/>
  <c r="H366" i="8" s="1"/>
  <c r="K165" i="8"/>
  <c r="L165" i="8" s="1"/>
  <c r="G165" i="8"/>
  <c r="H165" i="8" s="1"/>
  <c r="K158" i="8"/>
  <c r="L158" i="8" s="1"/>
  <c r="G158" i="8"/>
  <c r="H158" i="8" s="1"/>
  <c r="K269" i="8"/>
  <c r="L269" i="8" s="1"/>
  <c r="G269" i="8"/>
  <c r="H269" i="8" s="1"/>
  <c r="K130" i="8"/>
  <c r="L130" i="8" s="1"/>
  <c r="G130" i="8"/>
  <c r="H130" i="8" s="1"/>
  <c r="K60" i="8"/>
  <c r="L60" i="8" s="1"/>
  <c r="G60" i="8"/>
  <c r="H60" i="8" s="1"/>
  <c r="K121" i="8"/>
  <c r="L121" i="8" s="1"/>
  <c r="G121" i="8"/>
  <c r="H121" i="8" s="1"/>
  <c r="K245" i="8"/>
  <c r="L245" i="8" s="1"/>
  <c r="G245" i="8"/>
  <c r="H245" i="8" s="1"/>
  <c r="K151" i="8"/>
  <c r="L151" i="8" s="1"/>
  <c r="G151" i="8"/>
  <c r="H151" i="8" s="1"/>
  <c r="K327" i="8"/>
  <c r="L327" i="8" s="1"/>
  <c r="G327" i="8"/>
  <c r="H327" i="8" s="1"/>
  <c r="K213" i="8"/>
  <c r="L213" i="8" s="1"/>
  <c r="G213" i="8"/>
  <c r="H213" i="8" s="1"/>
  <c r="K30" i="8"/>
  <c r="L30" i="8" s="1"/>
  <c r="G30" i="8"/>
  <c r="H30" i="8" s="1"/>
  <c r="K202" i="8"/>
  <c r="L202" i="8" s="1"/>
  <c r="G202" i="8"/>
  <c r="H202" i="8" s="1"/>
  <c r="K201" i="8"/>
  <c r="L201" i="8" s="1"/>
  <c r="G201" i="8"/>
  <c r="H201" i="8" s="1"/>
  <c r="K98" i="8"/>
  <c r="L98" i="8" s="1"/>
  <c r="G98" i="8"/>
  <c r="H98" i="8" s="1"/>
  <c r="K140" i="8"/>
  <c r="L140" i="8" s="1"/>
  <c r="G140" i="8"/>
  <c r="H140" i="8" s="1"/>
  <c r="K311" i="8"/>
  <c r="L311" i="8" s="1"/>
  <c r="G311" i="8"/>
  <c r="H311" i="8" s="1"/>
  <c r="K345" i="8"/>
  <c r="L345" i="8" s="1"/>
  <c r="G345" i="8"/>
  <c r="H345" i="8" s="1"/>
  <c r="K74" i="8"/>
  <c r="L74" i="8" s="1"/>
  <c r="G74" i="8"/>
  <c r="H74" i="8" s="1"/>
  <c r="K237" i="8"/>
  <c r="L237" i="8" s="1"/>
  <c r="G237" i="8"/>
  <c r="H237" i="8" s="1"/>
  <c r="K374" i="8"/>
  <c r="L374" i="8" s="1"/>
  <c r="G374" i="8"/>
  <c r="H374" i="8" s="1"/>
  <c r="K22" i="8"/>
  <c r="L22" i="8" s="1"/>
  <c r="G22" i="8"/>
  <c r="H22" i="8" s="1"/>
  <c r="K270" i="8"/>
  <c r="L270" i="8" s="1"/>
  <c r="G270" i="8"/>
  <c r="H270" i="8" s="1"/>
  <c r="K308" i="8"/>
  <c r="L308" i="8" s="1"/>
  <c r="G308" i="8"/>
  <c r="H308" i="8" s="1"/>
  <c r="K274" i="8"/>
  <c r="L274" i="8" s="1"/>
  <c r="G274" i="8"/>
  <c r="H274" i="8" s="1"/>
  <c r="K119" i="8"/>
  <c r="L119" i="8" s="1"/>
  <c r="G119" i="8"/>
  <c r="H119" i="8" s="1"/>
  <c r="K314" i="8"/>
  <c r="L314" i="8" s="1"/>
  <c r="G314" i="8"/>
  <c r="H314" i="8" s="1"/>
  <c r="K189" i="8"/>
  <c r="L189" i="8" s="1"/>
  <c r="G189" i="8"/>
  <c r="H189" i="8" s="1"/>
  <c r="K271" i="8"/>
  <c r="L271" i="8" s="1"/>
  <c r="G271" i="8"/>
  <c r="H271" i="8" s="1"/>
  <c r="K115" i="8"/>
  <c r="L115" i="8" s="1"/>
  <c r="G115" i="8"/>
  <c r="H115" i="8" s="1"/>
  <c r="K176" i="8"/>
  <c r="L176" i="8" s="1"/>
  <c r="G176" i="8"/>
  <c r="H176" i="8" s="1"/>
  <c r="K182" i="8"/>
  <c r="L182" i="8" s="1"/>
  <c r="G182" i="8"/>
  <c r="H182" i="8" s="1"/>
  <c r="K171" i="8"/>
  <c r="L171" i="8" s="1"/>
  <c r="G171" i="8"/>
  <c r="H171" i="8" s="1"/>
  <c r="K73" i="8"/>
  <c r="L73" i="8" s="1"/>
  <c r="G73" i="8"/>
  <c r="H73" i="8" s="1"/>
  <c r="K28" i="8"/>
  <c r="L28" i="8" s="1"/>
  <c r="G28" i="8"/>
  <c r="H28" i="8" s="1"/>
  <c r="K372" i="8"/>
  <c r="L372" i="8" s="1"/>
  <c r="G372" i="8"/>
  <c r="H372" i="8" s="1"/>
  <c r="K241" i="8"/>
  <c r="L241" i="8" s="1"/>
  <c r="G241" i="8"/>
  <c r="H241" i="8" s="1"/>
  <c r="K309" i="8"/>
  <c r="L309" i="8" s="1"/>
  <c r="G309" i="8"/>
  <c r="H309" i="8" s="1"/>
  <c r="K217" i="8"/>
  <c r="L217" i="8" s="1"/>
  <c r="G217" i="8"/>
  <c r="H217" i="8" s="1"/>
  <c r="K129" i="8"/>
  <c r="L129" i="8" s="1"/>
  <c r="G129" i="8"/>
  <c r="H129" i="8" s="1"/>
  <c r="K294" i="8"/>
  <c r="L294" i="8" s="1"/>
  <c r="G294" i="8"/>
  <c r="H294" i="8" s="1"/>
  <c r="K340" i="8"/>
  <c r="L340" i="8" s="1"/>
  <c r="G340" i="8"/>
  <c r="H340" i="8" s="1"/>
  <c r="K167" i="8"/>
  <c r="L167" i="8" s="1"/>
  <c r="G167" i="8"/>
  <c r="H167" i="8" s="1"/>
  <c r="K207" i="8"/>
  <c r="L207" i="8" s="1"/>
  <c r="G207" i="8"/>
  <c r="H207" i="8" s="1"/>
  <c r="K78" i="8"/>
  <c r="L78" i="8" s="1"/>
  <c r="G78" i="8"/>
  <c r="H78" i="8" s="1"/>
  <c r="K21" i="8"/>
  <c r="L21" i="8" s="1"/>
  <c r="G21" i="8"/>
  <c r="H21" i="8" s="1"/>
  <c r="K363" i="8"/>
  <c r="L363" i="8" s="1"/>
  <c r="G363" i="8"/>
  <c r="H363" i="8" s="1"/>
  <c r="K69" i="8"/>
  <c r="L69" i="8" s="1"/>
  <c r="G69" i="8"/>
  <c r="H69" i="8" s="1"/>
  <c r="K231" i="8"/>
  <c r="L231" i="8" s="1"/>
  <c r="G231" i="8"/>
  <c r="H231" i="8" s="1"/>
  <c r="K212" i="8"/>
  <c r="L212" i="8" s="1"/>
  <c r="G212" i="8"/>
  <c r="H212" i="8" s="1"/>
  <c r="K109" i="8"/>
  <c r="L109" i="8" s="1"/>
  <c r="G109" i="8"/>
  <c r="H109" i="8" s="1"/>
  <c r="K236" i="8"/>
  <c r="L236" i="8" s="1"/>
  <c r="G236" i="8"/>
  <c r="H236" i="8" s="1"/>
  <c r="K258" i="8"/>
  <c r="L258" i="8" s="1"/>
  <c r="G258" i="8"/>
  <c r="H258" i="8" s="1"/>
  <c r="K320" i="8"/>
  <c r="L320" i="8" s="1"/>
  <c r="G320" i="8"/>
  <c r="H320" i="8" s="1"/>
  <c r="K123" i="8"/>
  <c r="L123" i="8" s="1"/>
  <c r="G123" i="8"/>
  <c r="H123" i="8" s="1"/>
  <c r="K162" i="8"/>
  <c r="L162" i="8" s="1"/>
  <c r="G162" i="8"/>
  <c r="H162" i="8" s="1"/>
  <c r="K243" i="8"/>
  <c r="L243" i="8" s="1"/>
  <c r="G243" i="8"/>
  <c r="H243" i="8" s="1"/>
  <c r="K55" i="8"/>
  <c r="L55" i="8" s="1"/>
  <c r="G55" i="8"/>
  <c r="H55" i="8" s="1"/>
  <c r="K27" i="8"/>
  <c r="L27" i="8" s="1"/>
  <c r="G27" i="8"/>
  <c r="H27" i="8" s="1"/>
  <c r="K265" i="8"/>
  <c r="L265" i="8" s="1"/>
  <c r="G265" i="8"/>
  <c r="H265" i="8" s="1"/>
  <c r="K276" i="8"/>
  <c r="L276" i="8" s="1"/>
  <c r="G276" i="8"/>
  <c r="H276" i="8" s="1"/>
  <c r="K122" i="8"/>
  <c r="L122" i="8" s="1"/>
  <c r="G122" i="8"/>
  <c r="H122" i="8" s="1"/>
  <c r="K301" i="8"/>
  <c r="L301" i="8" s="1"/>
  <c r="G301" i="8"/>
  <c r="H301" i="8" s="1"/>
  <c r="K233" i="8"/>
  <c r="L233" i="8" s="1"/>
  <c r="G233" i="8"/>
  <c r="H233" i="8" s="1"/>
  <c r="K229" i="8"/>
  <c r="L229" i="8" s="1"/>
  <c r="G229" i="8"/>
  <c r="H229" i="8" s="1"/>
  <c r="K39" i="8"/>
  <c r="L39" i="8" s="1"/>
  <c r="G39" i="8"/>
  <c r="H39" i="8" s="1"/>
  <c r="K364" i="8"/>
  <c r="L364" i="8" s="1"/>
  <c r="G364" i="8"/>
  <c r="H364" i="8" s="1"/>
  <c r="K17" i="8"/>
  <c r="L17" i="8" s="1"/>
  <c r="G17" i="8"/>
  <c r="H17" i="8" s="1"/>
  <c r="K285" i="8"/>
  <c r="L285" i="8" s="1"/>
  <c r="G285" i="8"/>
  <c r="H285" i="8" s="1"/>
  <c r="K68" i="8"/>
  <c r="L68" i="8" s="1"/>
  <c r="G68" i="8"/>
  <c r="H68" i="8" s="1"/>
  <c r="K356" i="8"/>
  <c r="L356" i="8" s="1"/>
  <c r="G356" i="8"/>
  <c r="H356" i="8" s="1"/>
  <c r="K100" i="8"/>
  <c r="L100" i="8" s="1"/>
  <c r="G100" i="8"/>
  <c r="H100" i="8" s="1"/>
  <c r="K127" i="8"/>
  <c r="L127" i="8" s="1"/>
  <c r="G127" i="8"/>
  <c r="H127" i="8" s="1"/>
  <c r="K376" i="8"/>
  <c r="L376" i="8" s="1"/>
  <c r="G376" i="8"/>
  <c r="H376" i="8" s="1"/>
  <c r="K88" i="8"/>
  <c r="L88" i="8" s="1"/>
  <c r="G88" i="8"/>
  <c r="H88" i="8" s="1"/>
  <c r="K160" i="8"/>
  <c r="L160" i="8" s="1"/>
  <c r="G160" i="8"/>
  <c r="H160" i="8" s="1"/>
  <c r="K32" i="8"/>
  <c r="L32" i="8" s="1"/>
  <c r="G32" i="8"/>
  <c r="H32" i="8" s="1"/>
  <c r="K253" i="8"/>
  <c r="L253" i="8" s="1"/>
  <c r="G253" i="8"/>
  <c r="H253" i="8" s="1"/>
  <c r="K335" i="8"/>
  <c r="L335" i="8" s="1"/>
  <c r="G335" i="8"/>
  <c r="H335" i="8" s="1"/>
  <c r="K141" i="8"/>
  <c r="L141" i="8" s="1"/>
  <c r="G141" i="8"/>
  <c r="H141" i="8" s="1"/>
  <c r="K292" i="8"/>
  <c r="L292" i="8" s="1"/>
  <c r="G292" i="8"/>
  <c r="H292" i="8" s="1"/>
  <c r="K157" i="8"/>
  <c r="L157" i="8" s="1"/>
  <c r="G157" i="8"/>
  <c r="H157" i="8" s="1"/>
  <c r="K37" i="8"/>
  <c r="L37" i="8" s="1"/>
  <c r="G37" i="8"/>
  <c r="H37" i="8" s="1"/>
  <c r="K323" i="8"/>
  <c r="L323" i="8" s="1"/>
  <c r="G323" i="8"/>
  <c r="H323" i="8" s="1"/>
  <c r="K263" i="8"/>
  <c r="L263" i="8" s="1"/>
  <c r="G263" i="8"/>
  <c r="H263" i="8" s="1"/>
  <c r="K370" i="8"/>
  <c r="L370" i="8" s="1"/>
  <c r="G370" i="8"/>
  <c r="H370" i="8" s="1"/>
  <c r="K111" i="8"/>
  <c r="L111" i="8" s="1"/>
  <c r="G111" i="8"/>
  <c r="H111" i="8" s="1"/>
  <c r="K307" i="8"/>
  <c r="L307" i="8" s="1"/>
  <c r="G307" i="8"/>
  <c r="H307" i="8" s="1"/>
  <c r="K328" i="8"/>
  <c r="L328" i="8" s="1"/>
  <c r="G328" i="8"/>
  <c r="H328" i="8" s="1"/>
  <c r="K278" i="8"/>
  <c r="L278" i="8" s="1"/>
  <c r="G278" i="8"/>
  <c r="H278" i="8" s="1"/>
  <c r="K45" i="8"/>
  <c r="L45" i="8" s="1"/>
  <c r="G45" i="8"/>
  <c r="H45" i="8" s="1"/>
  <c r="K92" i="8"/>
  <c r="L92" i="8" s="1"/>
  <c r="G92" i="8"/>
  <c r="H92" i="8" s="1"/>
  <c r="K375" i="8"/>
  <c r="L375" i="8" s="1"/>
  <c r="G375" i="8"/>
  <c r="H375" i="8" s="1"/>
  <c r="K163" i="8"/>
  <c r="L163" i="8" s="1"/>
  <c r="G163" i="8"/>
  <c r="H163" i="8" s="1"/>
  <c r="K11" i="8"/>
  <c r="L11" i="8" s="1"/>
  <c r="G11" i="8"/>
  <c r="H11" i="8" s="1"/>
  <c r="K367" i="8"/>
  <c r="L367" i="8" s="1"/>
  <c r="G367" i="8"/>
  <c r="H367" i="8" s="1"/>
  <c r="K24" i="8"/>
  <c r="L24" i="8" s="1"/>
  <c r="G24" i="8"/>
  <c r="H24" i="8" s="1"/>
  <c r="K222" i="8"/>
  <c r="L222" i="8" s="1"/>
  <c r="G222" i="8"/>
  <c r="H222" i="8" s="1"/>
  <c r="K295" i="8"/>
  <c r="L295" i="8" s="1"/>
  <c r="G295" i="8"/>
  <c r="H295" i="8" s="1"/>
  <c r="K297" i="8"/>
  <c r="L297" i="8" s="1"/>
  <c r="G297" i="8"/>
  <c r="H297" i="8" s="1"/>
  <c r="K75" i="8"/>
  <c r="L75" i="8" s="1"/>
  <c r="G75" i="8"/>
  <c r="H75" i="8" s="1"/>
  <c r="K112" i="8"/>
  <c r="L112" i="8" s="1"/>
  <c r="G112" i="8"/>
  <c r="H112" i="8" s="1"/>
  <c r="K226" i="8"/>
  <c r="L226" i="8" s="1"/>
  <c r="G226" i="8"/>
  <c r="H226" i="8" s="1"/>
  <c r="K354" i="8"/>
  <c r="L354" i="8" s="1"/>
  <c r="G354" i="8"/>
  <c r="H354" i="8" s="1"/>
  <c r="K156" i="8"/>
  <c r="L156" i="8" s="1"/>
  <c r="G156" i="8"/>
  <c r="H156" i="8" s="1"/>
  <c r="K161" i="8"/>
  <c r="L161" i="8" s="1"/>
  <c r="G161" i="8"/>
  <c r="H161" i="8" s="1"/>
  <c r="K208" i="8"/>
  <c r="L208" i="8" s="1"/>
  <c r="G208" i="8"/>
  <c r="H208" i="8" s="1"/>
  <c r="K65" i="8"/>
  <c r="L65" i="8" s="1"/>
  <c r="G65" i="8"/>
  <c r="H65" i="8" s="1"/>
  <c r="K318" i="8"/>
  <c r="L318" i="8" s="1"/>
  <c r="G318" i="8"/>
  <c r="H318" i="8" s="1"/>
  <c r="K283" i="8"/>
  <c r="L283" i="8" s="1"/>
  <c r="G283" i="8"/>
  <c r="H283" i="8" s="1"/>
  <c r="K337" i="8"/>
  <c r="L337" i="8" s="1"/>
  <c r="G337" i="8"/>
  <c r="H337" i="8" s="1"/>
  <c r="K228" i="8"/>
  <c r="L228" i="8" s="1"/>
  <c r="G228" i="8"/>
  <c r="H228" i="8" s="1"/>
  <c r="K84" i="8"/>
  <c r="L84" i="8" s="1"/>
  <c r="G84" i="8"/>
  <c r="H84" i="8" s="1"/>
  <c r="K170" i="8"/>
  <c r="L170" i="8" s="1"/>
  <c r="G170" i="8"/>
  <c r="H170" i="8" s="1"/>
  <c r="K36" i="8"/>
  <c r="L36" i="8" s="1"/>
  <c r="G36" i="8"/>
  <c r="H36" i="8" s="1"/>
  <c r="K359" i="8"/>
  <c r="L359" i="8" s="1"/>
  <c r="G359" i="8"/>
  <c r="H359" i="8" s="1"/>
  <c r="K20" i="8"/>
  <c r="L20" i="8" s="1"/>
  <c r="G20" i="8"/>
  <c r="H20" i="8" s="1"/>
  <c r="K147" i="8"/>
  <c r="L147" i="8" s="1"/>
  <c r="G147" i="8"/>
  <c r="H147" i="8" s="1"/>
  <c r="K57" i="8"/>
  <c r="L57" i="8" s="1"/>
  <c r="G57" i="8"/>
  <c r="H57" i="8" s="1"/>
  <c r="K324" i="8"/>
  <c r="L324" i="8" s="1"/>
  <c r="G324" i="8"/>
  <c r="H324" i="8" s="1"/>
  <c r="K85" i="8"/>
  <c r="L85" i="8" s="1"/>
  <c r="G85" i="8"/>
  <c r="H85" i="8" s="1"/>
  <c r="K56" i="8"/>
  <c r="L56" i="8" s="1"/>
  <c r="G56" i="8"/>
  <c r="H56" i="8" s="1"/>
  <c r="K326" i="8"/>
  <c r="L326" i="8" s="1"/>
  <c r="G326" i="8"/>
  <c r="H326" i="8" s="1"/>
  <c r="K175" i="8"/>
  <c r="L175" i="8" s="1"/>
  <c r="G175" i="8"/>
  <c r="H175" i="8" s="1"/>
  <c r="K54" i="8"/>
  <c r="L54" i="8" s="1"/>
  <c r="G54" i="8"/>
  <c r="H54" i="8" s="1"/>
  <c r="K87" i="8"/>
  <c r="L87" i="8" s="1"/>
  <c r="G87" i="8"/>
  <c r="H87" i="8" s="1"/>
  <c r="K351" i="8"/>
  <c r="L351" i="8" s="1"/>
  <c r="G351" i="8"/>
  <c r="H351" i="8" s="1"/>
  <c r="K343" i="8"/>
  <c r="L343" i="8" s="1"/>
  <c r="G343" i="8"/>
  <c r="H343" i="8" s="1"/>
  <c r="K218" i="8"/>
  <c r="L218" i="8" s="1"/>
  <c r="G218" i="8"/>
  <c r="H218" i="8" s="1"/>
  <c r="K215" i="8"/>
  <c r="L215" i="8" s="1"/>
  <c r="G215" i="8"/>
  <c r="H215" i="8" s="1"/>
  <c r="K252" i="8"/>
  <c r="L252" i="8" s="1"/>
  <c r="G252" i="8"/>
  <c r="H252" i="8" s="1"/>
  <c r="K181" i="8"/>
  <c r="L181" i="8" s="1"/>
  <c r="G181" i="8"/>
  <c r="H181" i="8" s="1"/>
  <c r="K106" i="8"/>
  <c r="L106" i="8" s="1"/>
  <c r="G106" i="8"/>
  <c r="H106" i="8" s="1"/>
  <c r="K325" i="8"/>
  <c r="L325" i="8" s="1"/>
  <c r="G325" i="8"/>
  <c r="H325" i="8" s="1"/>
  <c r="K72" i="8"/>
  <c r="L72" i="8" s="1"/>
  <c r="G72" i="8"/>
  <c r="H72" i="8" s="1"/>
  <c r="K352" i="8"/>
  <c r="L352" i="8" s="1"/>
  <c r="G352" i="8"/>
  <c r="H352" i="8" s="1"/>
  <c r="K15" i="8"/>
  <c r="L15" i="8" s="1"/>
  <c r="G15" i="8"/>
  <c r="H15" i="8" s="1"/>
  <c r="K200" i="8"/>
  <c r="L200" i="8" s="1"/>
  <c r="G200" i="8"/>
  <c r="H200" i="8" s="1"/>
  <c r="K262" i="8"/>
  <c r="L262" i="8" s="1"/>
  <c r="G262" i="8"/>
  <c r="H262" i="8" s="1"/>
  <c r="K187" i="8"/>
  <c r="L187" i="8" s="1"/>
  <c r="G187" i="8"/>
  <c r="H187" i="8" s="1"/>
  <c r="K6" i="8"/>
  <c r="L6" i="8" s="1"/>
  <c r="G6" i="8"/>
  <c r="H6" i="8" s="1"/>
  <c r="K357" i="8"/>
  <c r="L357" i="8" s="1"/>
  <c r="G357" i="8"/>
  <c r="H357" i="8" s="1"/>
  <c r="K58" i="8"/>
  <c r="L58" i="8" s="1"/>
  <c r="G58" i="8"/>
  <c r="H58" i="8" s="1"/>
  <c r="K362" i="8"/>
  <c r="L362" i="8" s="1"/>
  <c r="G362" i="8"/>
  <c r="H362" i="8" s="1"/>
  <c r="K355" i="8"/>
  <c r="L355" i="8" s="1"/>
  <c r="G355" i="8"/>
  <c r="H355" i="8" s="1"/>
  <c r="K91" i="8"/>
  <c r="L91" i="8" s="1"/>
  <c r="G91" i="8"/>
  <c r="H91" i="8" s="1"/>
  <c r="K280" i="8"/>
  <c r="L280" i="8" s="1"/>
  <c r="G280" i="8"/>
  <c r="H280" i="8" s="1"/>
  <c r="K347" i="8"/>
  <c r="L347" i="8" s="1"/>
  <c r="G347" i="8"/>
  <c r="H347" i="8" s="1"/>
  <c r="K152" i="8"/>
  <c r="L152" i="8" s="1"/>
  <c r="G152" i="8"/>
  <c r="H152" i="8" s="1"/>
  <c r="K242" i="8"/>
  <c r="L242" i="8" s="1"/>
  <c r="G242" i="8"/>
  <c r="H242" i="8" s="1"/>
  <c r="K225" i="8"/>
  <c r="L225" i="8" s="1"/>
  <c r="G225" i="8"/>
  <c r="H225" i="8" s="1"/>
  <c r="K64" i="8"/>
  <c r="L64" i="8" s="1"/>
  <c r="G64" i="8"/>
  <c r="H64" i="8" s="1"/>
  <c r="K44" i="8"/>
  <c r="L44" i="8" s="1"/>
  <c r="G44" i="8"/>
  <c r="H44" i="8" s="1"/>
  <c r="K286" i="8"/>
  <c r="L286" i="8" s="1"/>
  <c r="G286" i="8"/>
  <c r="H286" i="8" s="1"/>
  <c r="K139" i="8"/>
  <c r="L139" i="8" s="1"/>
  <c r="G139" i="8"/>
  <c r="H139" i="8" s="1"/>
  <c r="K298" i="8"/>
  <c r="L298" i="8" s="1"/>
  <c r="G298" i="8"/>
  <c r="H298" i="8" s="1"/>
  <c r="K50" i="8"/>
  <c r="L50" i="8" s="1"/>
  <c r="G50" i="8"/>
  <c r="H50" i="8" s="1"/>
  <c r="K219" i="8"/>
  <c r="L219" i="8" s="1"/>
  <c r="G219" i="8"/>
  <c r="H219" i="8" s="1"/>
  <c r="K344" i="8"/>
  <c r="L344" i="8" s="1"/>
  <c r="G344" i="8"/>
  <c r="H344" i="8" s="1"/>
  <c r="K232" i="8"/>
  <c r="L232" i="8" s="1"/>
  <c r="G232" i="8"/>
  <c r="H232" i="8" s="1"/>
  <c r="K180" i="8"/>
  <c r="L180" i="8" s="1"/>
  <c r="G180" i="8"/>
  <c r="H180" i="8" s="1"/>
  <c r="K103" i="8"/>
  <c r="L103" i="8" s="1"/>
  <c r="G103" i="8"/>
  <c r="H103" i="8" s="1"/>
  <c r="K86" i="8"/>
  <c r="L86" i="8" s="1"/>
  <c r="G86" i="8"/>
  <c r="H86" i="8" s="1"/>
  <c r="K117" i="8"/>
  <c r="L117" i="8" s="1"/>
  <c r="G117" i="8"/>
  <c r="H117" i="8" s="1"/>
  <c r="K195" i="8"/>
  <c r="L195" i="8" s="1"/>
  <c r="G195" i="8"/>
  <c r="H195" i="8" s="1"/>
  <c r="K16" i="8"/>
  <c r="L16" i="8" s="1"/>
  <c r="G16" i="8"/>
  <c r="H16" i="8" s="1"/>
  <c r="K227" i="8"/>
  <c r="L227" i="8" s="1"/>
  <c r="G227" i="8"/>
  <c r="H227" i="8" s="1"/>
  <c r="K332" i="8"/>
  <c r="L332" i="8" s="1"/>
  <c r="G332" i="8"/>
  <c r="H332" i="8" s="1"/>
  <c r="K5" i="8"/>
  <c r="L5" i="8" s="1"/>
  <c r="G5" i="8"/>
  <c r="K23" i="8"/>
  <c r="L23" i="8" s="1"/>
  <c r="G23" i="8"/>
  <c r="K70" i="8"/>
  <c r="L70" i="8" s="1"/>
  <c r="G70" i="8"/>
  <c r="H70" i="8" s="1"/>
  <c r="K49" i="8"/>
  <c r="L49" i="8" s="1"/>
  <c r="G49" i="8"/>
  <c r="H49" i="8" s="1"/>
  <c r="K341" i="8"/>
  <c r="L341" i="8" s="1"/>
  <c r="G341" i="8"/>
  <c r="H341" i="8" s="1"/>
  <c r="K279" i="8"/>
  <c r="L279" i="8" s="1"/>
  <c r="G279" i="8"/>
  <c r="H279" i="8" s="1"/>
  <c r="K97" i="8"/>
  <c r="L97" i="8" s="1"/>
  <c r="G97" i="8"/>
  <c r="H97" i="8" s="1"/>
  <c r="K133" i="8"/>
  <c r="L133" i="8" s="1"/>
  <c r="G133" i="8"/>
  <c r="H133" i="8" s="1"/>
  <c r="K155" i="8"/>
  <c r="L155" i="8" s="1"/>
  <c r="G155" i="8"/>
  <c r="H155" i="8" s="1"/>
  <c r="K305" i="8"/>
  <c r="L305" i="8" s="1"/>
  <c r="G305" i="8"/>
  <c r="H305" i="8" s="1"/>
  <c r="K346" i="8"/>
  <c r="L346" i="8" s="1"/>
  <c r="G346" i="8"/>
  <c r="H346" i="8" s="1"/>
  <c r="K184" i="8"/>
  <c r="L184" i="8" s="1"/>
  <c r="G184" i="8"/>
  <c r="H184" i="8" s="1"/>
  <c r="K317" i="8"/>
  <c r="L317" i="8" s="1"/>
  <c r="G317" i="8"/>
  <c r="H317" i="8" s="1"/>
  <c r="K188" i="8"/>
  <c r="L188" i="8" s="1"/>
  <c r="G188" i="8"/>
  <c r="H188" i="8" s="1"/>
  <c r="K330" i="8"/>
  <c r="L330" i="8" s="1"/>
  <c r="G330" i="8"/>
  <c r="H330" i="8" s="1"/>
  <c r="K95" i="8"/>
  <c r="L95" i="8" s="1"/>
  <c r="G95" i="8"/>
  <c r="H95" i="8" s="1"/>
  <c r="K378" i="8"/>
  <c r="L378" i="8" s="1"/>
  <c r="G378" i="8"/>
  <c r="H378" i="8" s="1"/>
  <c r="K46" i="8"/>
  <c r="L46" i="8" s="1"/>
  <c r="G46" i="8"/>
  <c r="H46" i="8" s="1"/>
  <c r="K293" i="8"/>
  <c r="L293" i="8" s="1"/>
  <c r="G293" i="8"/>
  <c r="H293" i="8" s="1"/>
  <c r="K289" i="8"/>
  <c r="L289" i="8" s="1"/>
  <c r="G289" i="8"/>
  <c r="H289" i="8" s="1"/>
  <c r="K194" i="8"/>
  <c r="L194" i="8" s="1"/>
  <c r="G194" i="8"/>
  <c r="H194" i="8" s="1"/>
  <c r="K185" i="8"/>
  <c r="L185" i="8" s="1"/>
  <c r="G185" i="8"/>
  <c r="H185" i="8" s="1"/>
  <c r="K300" i="8"/>
  <c r="L300" i="8" s="1"/>
  <c r="G300" i="8"/>
  <c r="H300" i="8" s="1"/>
  <c r="K116" i="8"/>
  <c r="L116" i="8" s="1"/>
  <c r="G116" i="8"/>
  <c r="H116" i="8" s="1"/>
  <c r="K205" i="8"/>
  <c r="L205" i="8" s="1"/>
  <c r="G205" i="8"/>
  <c r="H205" i="8" s="1"/>
  <c r="K234" i="8"/>
  <c r="L234" i="8" s="1"/>
  <c r="G234" i="8"/>
  <c r="H234" i="8" s="1"/>
  <c r="K71" i="8"/>
  <c r="L71" i="8" s="1"/>
  <c r="G71" i="8"/>
  <c r="H71" i="8" s="1"/>
  <c r="K196" i="8"/>
  <c r="L196" i="8" s="1"/>
  <c r="G196" i="8"/>
  <c r="H196" i="8" s="1"/>
  <c r="K149" i="8"/>
  <c r="L149" i="8" s="1"/>
  <c r="G149" i="8"/>
  <c r="H149" i="8" s="1"/>
  <c r="K81" i="8"/>
  <c r="L81" i="8" s="1"/>
  <c r="G81" i="8"/>
  <c r="H81" i="8" s="1"/>
  <c r="K66" i="8"/>
  <c r="L66" i="8" s="1"/>
  <c r="G66" i="8"/>
  <c r="H66" i="8" s="1"/>
  <c r="K131" i="8"/>
  <c r="L131" i="8" s="1"/>
  <c r="G131" i="8"/>
  <c r="H131" i="8" s="1"/>
  <c r="K287" i="8"/>
  <c r="L287" i="8" s="1"/>
  <c r="G287" i="8"/>
  <c r="H287" i="8" s="1"/>
  <c r="K288" i="8"/>
  <c r="L288" i="8" s="1"/>
  <c r="G288" i="8"/>
  <c r="H288" i="8" s="1"/>
  <c r="K105" i="8"/>
  <c r="L105" i="8" s="1"/>
  <c r="G105" i="8"/>
  <c r="H105" i="8" s="1"/>
  <c r="K83" i="8"/>
  <c r="L83" i="8" s="1"/>
  <c r="G83" i="8"/>
  <c r="H83" i="8" s="1"/>
  <c r="K342" i="8"/>
  <c r="L342" i="8" s="1"/>
  <c r="G342" i="8"/>
  <c r="H342" i="8" s="1"/>
  <c r="K210" i="8"/>
  <c r="L210" i="8" s="1"/>
  <c r="G210" i="8"/>
  <c r="H210" i="8" s="1"/>
  <c r="K94" i="8"/>
  <c r="L94" i="8" s="1"/>
  <c r="G94" i="8"/>
  <c r="H94" i="8" s="1"/>
  <c r="K142" i="8"/>
  <c r="L142" i="8" s="1"/>
  <c r="G142" i="8"/>
  <c r="H142" i="8" s="1"/>
  <c r="K138" i="8"/>
  <c r="L138" i="8" s="1"/>
  <c r="G138" i="8"/>
  <c r="H138" i="8" s="1"/>
  <c r="K174" i="8"/>
  <c r="L174" i="8" s="1"/>
  <c r="G174" i="8"/>
  <c r="H174" i="8" s="1"/>
  <c r="K153" i="8"/>
  <c r="L153" i="8" s="1"/>
  <c r="G153" i="8"/>
  <c r="H153" i="8" s="1"/>
  <c r="K273" i="8"/>
  <c r="L273" i="8" s="1"/>
  <c r="G273" i="8"/>
  <c r="H273" i="8" s="1"/>
  <c r="K132" i="8"/>
  <c r="L132" i="8" s="1"/>
  <c r="G132" i="8"/>
  <c r="H132" i="8" s="1"/>
  <c r="K177" i="8"/>
  <c r="L177" i="8" s="1"/>
  <c r="G177" i="8"/>
  <c r="H177" i="8" s="1"/>
  <c r="K238" i="8"/>
  <c r="L238" i="8" s="1"/>
  <c r="G238" i="8"/>
  <c r="H238" i="8" s="1"/>
  <c r="K192" i="8"/>
  <c r="L192" i="8" s="1"/>
  <c r="G192" i="8"/>
  <c r="H192" i="8" s="1"/>
  <c r="K186" i="8"/>
  <c r="L186" i="8" s="1"/>
  <c r="G186" i="8"/>
  <c r="H186" i="8" s="1"/>
  <c r="K14" i="8"/>
  <c r="L14" i="8" s="1"/>
  <c r="G14" i="8"/>
  <c r="H14" i="8" s="1"/>
  <c r="K13" i="8"/>
  <c r="L13" i="8" s="1"/>
  <c r="G13" i="8"/>
  <c r="H13" i="8" s="1"/>
  <c r="K246" i="8"/>
  <c r="L246" i="8" s="1"/>
  <c r="G246" i="8"/>
  <c r="H246" i="8" s="1"/>
  <c r="K319" i="8"/>
  <c r="L319" i="8" s="1"/>
  <c r="G319" i="8"/>
  <c r="H319" i="8" s="1"/>
  <c r="K268" i="8"/>
  <c r="L268" i="8" s="1"/>
  <c r="G268" i="8"/>
  <c r="H268" i="8" s="1"/>
  <c r="K360" i="8"/>
  <c r="L360" i="8" s="1"/>
  <c r="G360" i="8"/>
  <c r="H360" i="8" s="1"/>
  <c r="K261" i="8"/>
  <c r="L261" i="8" s="1"/>
  <c r="G261" i="8"/>
  <c r="H261" i="8" s="1"/>
  <c r="K306" i="8"/>
  <c r="L306" i="8" s="1"/>
  <c r="G306" i="8"/>
  <c r="H306" i="8" s="1"/>
  <c r="K214" i="8"/>
  <c r="L214" i="8" s="1"/>
  <c r="G214" i="8"/>
  <c r="H214" i="8" s="1"/>
  <c r="K143" i="8"/>
  <c r="L143" i="8" s="1"/>
  <c r="G143" i="8"/>
  <c r="H143" i="8" s="1"/>
  <c r="K206" i="8"/>
  <c r="L206" i="8" s="1"/>
  <c r="G206" i="8"/>
  <c r="H206" i="8" s="1"/>
  <c r="K249" i="8"/>
  <c r="L249" i="8" s="1"/>
  <c r="G249" i="8"/>
  <c r="H249" i="8" s="1"/>
  <c r="K209" i="8"/>
  <c r="L209" i="8" s="1"/>
  <c r="G209" i="8"/>
  <c r="H209" i="8" s="1"/>
  <c r="K197" i="8"/>
  <c r="L197" i="8" s="1"/>
  <c r="G197" i="8"/>
  <c r="H197" i="8" s="1"/>
  <c r="K102" i="8"/>
  <c r="L102" i="8" s="1"/>
  <c r="G102" i="8"/>
  <c r="H102" i="8" s="1"/>
  <c r="K331" i="8"/>
  <c r="L331" i="8" s="1"/>
  <c r="G331" i="8"/>
  <c r="H331" i="8" s="1"/>
  <c r="K296" i="8"/>
  <c r="L296" i="8" s="1"/>
  <c r="G296" i="8"/>
  <c r="H296" i="8" s="1"/>
  <c r="K53" i="8"/>
  <c r="L53" i="8" s="1"/>
  <c r="G53" i="8"/>
  <c r="H53" i="8" s="1"/>
  <c r="K254" i="8"/>
  <c r="L254" i="8" s="1"/>
  <c r="G254" i="8"/>
  <c r="H254" i="8" s="1"/>
  <c r="K310" i="8"/>
  <c r="L310" i="8" s="1"/>
  <c r="G310" i="8"/>
  <c r="H310" i="8" s="1"/>
  <c r="K247" i="8"/>
  <c r="L247" i="8" s="1"/>
  <c r="G247" i="8"/>
  <c r="H247" i="8" s="1"/>
  <c r="K216" i="8"/>
  <c r="L216" i="8" s="1"/>
  <c r="G216" i="8"/>
  <c r="H216" i="8" s="1"/>
  <c r="K48" i="8"/>
  <c r="L48" i="8" s="1"/>
  <c r="G48" i="8"/>
  <c r="H48" i="8" s="1"/>
  <c r="K275" i="8"/>
  <c r="L275" i="8" s="1"/>
  <c r="G275" i="8"/>
  <c r="H275" i="8" s="1"/>
  <c r="K169" i="8"/>
  <c r="L169" i="8" s="1"/>
  <c r="G169" i="8"/>
  <c r="H169" i="8" s="1"/>
  <c r="K79" i="8"/>
  <c r="L79" i="8" s="1"/>
  <c r="G79" i="8"/>
  <c r="H79" i="8" s="1"/>
  <c r="K134" i="8"/>
  <c r="L134" i="8" s="1"/>
  <c r="G134" i="8"/>
  <c r="H134" i="8" s="1"/>
  <c r="K34" i="8"/>
  <c r="L34" i="8" s="1"/>
  <c r="G34" i="8"/>
  <c r="H34" i="8" s="1"/>
  <c r="K76" i="8"/>
  <c r="L76" i="8" s="1"/>
  <c r="G76" i="8"/>
  <c r="H76" i="8" s="1"/>
  <c r="K29" i="8"/>
  <c r="L29" i="8" s="1"/>
  <c r="G29" i="8"/>
  <c r="H29" i="8" s="1"/>
  <c r="K108" i="8"/>
  <c r="L108" i="8" s="1"/>
  <c r="G108" i="8"/>
  <c r="H108" i="8" s="1"/>
  <c r="K150" i="8"/>
  <c r="L150" i="8" s="1"/>
  <c r="G150" i="8"/>
  <c r="H150" i="8" s="1"/>
  <c r="K240" i="8"/>
  <c r="L240" i="8" s="1"/>
  <c r="G240" i="8"/>
  <c r="H240" i="8" s="1"/>
  <c r="K80" i="8"/>
  <c r="L80" i="8" s="1"/>
  <c r="G80" i="8"/>
  <c r="H80" i="8" s="1"/>
  <c r="K291" i="8"/>
  <c r="L291" i="8" s="1"/>
  <c r="G291" i="8"/>
  <c r="H291" i="8" s="1"/>
  <c r="K220" i="8"/>
  <c r="L220" i="8" s="1"/>
  <c r="G220" i="8"/>
  <c r="H220" i="8" s="1"/>
  <c r="K42" i="8"/>
  <c r="L42" i="8" s="1"/>
  <c r="G42" i="8"/>
  <c r="H42" i="8" s="1"/>
  <c r="K348" i="8"/>
  <c r="L348" i="8" s="1"/>
  <c r="G348" i="8"/>
  <c r="H348" i="8" s="1"/>
  <c r="K272" i="8"/>
  <c r="L272" i="8" s="1"/>
  <c r="G272" i="8"/>
  <c r="H272" i="8" s="1"/>
  <c r="K191" i="8"/>
  <c r="L191" i="8" s="1"/>
  <c r="G191" i="8"/>
  <c r="H191" i="8" s="1"/>
  <c r="K43" i="8"/>
  <c r="L43" i="8" s="1"/>
  <c r="G43" i="8"/>
  <c r="H43" i="8" s="1"/>
  <c r="K284" i="8"/>
  <c r="L284" i="8" s="1"/>
  <c r="G284" i="8"/>
  <c r="H284" i="8" s="1"/>
  <c r="K128" i="8"/>
  <c r="L128" i="8" s="1"/>
  <c r="G128" i="8"/>
  <c r="H128" i="8" s="1"/>
  <c r="K361" i="8"/>
  <c r="L361" i="8" s="1"/>
  <c r="G361" i="8"/>
  <c r="H361" i="8" s="1"/>
  <c r="K350" i="8"/>
  <c r="L350" i="8" s="1"/>
  <c r="G350" i="8"/>
  <c r="H350" i="8" s="1"/>
  <c r="K40" i="8"/>
  <c r="L40" i="8" s="1"/>
  <c r="G40" i="8"/>
  <c r="H40" i="8" s="1"/>
  <c r="K18" i="8"/>
  <c r="L18" i="8" s="1"/>
  <c r="G18" i="8"/>
  <c r="H18" i="8" s="1"/>
  <c r="K256" i="8"/>
  <c r="L256" i="8" s="1"/>
  <c r="G256" i="8"/>
  <c r="H256" i="8" s="1"/>
  <c r="K303" i="8"/>
  <c r="L303" i="8" s="1"/>
  <c r="G303" i="8"/>
  <c r="H303" i="8" s="1"/>
  <c r="K77" i="8"/>
  <c r="L77" i="8" s="1"/>
  <c r="G77" i="8"/>
  <c r="H77" i="8" s="1"/>
  <c r="K89" i="8"/>
  <c r="L89" i="8" s="1"/>
  <c r="G89" i="8"/>
  <c r="H89" i="8" s="1"/>
  <c r="K316" i="8"/>
  <c r="L316" i="8" s="1"/>
  <c r="G316" i="8"/>
  <c r="H316" i="8" s="1"/>
  <c r="K349" i="8"/>
  <c r="L349" i="8" s="1"/>
  <c r="G349" i="8"/>
  <c r="H349" i="8" s="1"/>
  <c r="K358" i="8"/>
  <c r="L358" i="8" s="1"/>
  <c r="G358" i="8"/>
  <c r="H358" i="8" s="1"/>
  <c r="K368" i="8"/>
  <c r="L368" i="8" s="1"/>
  <c r="G368" i="8"/>
  <c r="H368" i="8" s="1"/>
  <c r="K120" i="8"/>
  <c r="L120" i="8" s="1"/>
  <c r="G120" i="8"/>
  <c r="H120" i="8" s="1"/>
  <c r="K239" i="8"/>
  <c r="L239" i="8" s="1"/>
  <c r="G239" i="8"/>
  <c r="H239" i="8" s="1"/>
  <c r="K166" i="8"/>
  <c r="L166" i="8" s="1"/>
  <c r="G166" i="8"/>
  <c r="H166" i="8" s="1"/>
  <c r="K244" i="8"/>
  <c r="L244" i="8" s="1"/>
  <c r="G244" i="8"/>
  <c r="H244" i="8" s="1"/>
  <c r="K8" i="8"/>
  <c r="L8" i="8" s="1"/>
  <c r="G8" i="8"/>
  <c r="K114" i="8"/>
  <c r="L114" i="8" s="1"/>
  <c r="G114" i="8"/>
  <c r="H114" i="8" s="1"/>
  <c r="K223" i="8"/>
  <c r="L223" i="8" s="1"/>
  <c r="G223" i="8"/>
  <c r="H223" i="8" s="1"/>
  <c r="K35" i="8"/>
  <c r="L35" i="8" s="1"/>
  <c r="G35" i="8"/>
  <c r="H35" i="8" s="1"/>
  <c r="K257" i="8"/>
  <c r="L257" i="8" s="1"/>
  <c r="G257" i="8"/>
  <c r="H257" i="8" s="1"/>
  <c r="K96" i="8"/>
  <c r="L96" i="8" s="1"/>
  <c r="G96" i="8"/>
  <c r="H96" i="8" s="1"/>
  <c r="K353" i="8"/>
  <c r="L353" i="8" s="1"/>
  <c r="G353" i="8"/>
  <c r="H353" i="8" s="1"/>
  <c r="K107" i="8"/>
  <c r="L107" i="8" s="1"/>
  <c r="G107" i="8"/>
  <c r="H107" i="8" s="1"/>
  <c r="K373" i="8"/>
  <c r="L373" i="8" s="1"/>
  <c r="G373" i="8"/>
  <c r="H373" i="8" s="1"/>
  <c r="K302" i="8"/>
  <c r="L302" i="8" s="1"/>
  <c r="G302" i="8"/>
  <c r="H302" i="8" s="1"/>
  <c r="K250" i="8"/>
  <c r="L250" i="8" s="1"/>
  <c r="G250" i="8"/>
  <c r="H250" i="8" s="1"/>
  <c r="K25" i="9"/>
  <c r="L25" i="9" s="1"/>
  <c r="G25" i="9"/>
  <c r="H25" i="9" s="1"/>
  <c r="K24" i="9"/>
  <c r="L24" i="9" s="1"/>
  <c r="G24" i="9"/>
  <c r="H24" i="9" s="1"/>
  <c r="K23" i="9"/>
  <c r="L23" i="9" s="1"/>
  <c r="G23" i="9"/>
  <c r="K5" i="9"/>
  <c r="L5" i="9" s="1"/>
  <c r="G5" i="9"/>
  <c r="K8" i="9"/>
  <c r="L8" i="9" s="1"/>
  <c r="G8" i="9"/>
  <c r="H8" i="9" s="1"/>
  <c r="K11" i="9"/>
  <c r="L11" i="9" s="1"/>
  <c r="G11" i="9"/>
  <c r="H11" i="9" s="1"/>
  <c r="K40" i="9"/>
  <c r="L40" i="9" s="1"/>
  <c r="G40" i="9"/>
  <c r="H40" i="9" s="1"/>
  <c r="K22" i="9"/>
  <c r="L22" i="9" s="1"/>
  <c r="G22" i="9"/>
  <c r="H22" i="9" s="1"/>
  <c r="K43" i="9"/>
  <c r="L43" i="9" s="1"/>
  <c r="G43" i="9"/>
  <c r="H43" i="9" s="1"/>
  <c r="K35" i="9"/>
  <c r="L35" i="9" s="1"/>
  <c r="G35" i="9"/>
  <c r="H35" i="9" s="1"/>
  <c r="K17" i="9"/>
  <c r="L17" i="9" s="1"/>
  <c r="G17" i="9"/>
  <c r="H17" i="9" s="1"/>
  <c r="K6" i="9"/>
  <c r="L6" i="9" s="1"/>
  <c r="G6" i="9"/>
  <c r="H6" i="9" s="1"/>
  <c r="K39" i="9"/>
  <c r="L39" i="9" s="1"/>
  <c r="G39" i="9"/>
  <c r="H39" i="9" s="1"/>
  <c r="K48" i="9"/>
  <c r="L48" i="9" s="1"/>
  <c r="G48" i="9"/>
  <c r="H48" i="9" s="1"/>
  <c r="K20" i="9"/>
  <c r="L20" i="9" s="1"/>
  <c r="G20" i="9"/>
  <c r="H20" i="9" s="1"/>
  <c r="K37" i="9"/>
  <c r="L37" i="9" s="1"/>
  <c r="G37" i="9"/>
  <c r="H37" i="9" s="1"/>
  <c r="K16" i="9"/>
  <c r="L16" i="9" s="1"/>
  <c r="G16" i="9"/>
  <c r="H16" i="9" s="1"/>
  <c r="K41" i="9"/>
  <c r="L41" i="9" s="1"/>
  <c r="G41" i="9"/>
  <c r="H41" i="9" s="1"/>
  <c r="K33" i="9"/>
  <c r="L33" i="9" s="1"/>
  <c r="G33" i="9"/>
  <c r="H33" i="9" s="1"/>
  <c r="K7" i="9"/>
  <c r="L7" i="9" s="1"/>
  <c r="G7" i="9"/>
  <c r="H7" i="9" s="1"/>
  <c r="K49" i="9"/>
  <c r="L49" i="9" s="1"/>
  <c r="G49" i="9"/>
  <c r="H49" i="9" s="1"/>
  <c r="K32" i="9"/>
  <c r="L32" i="9" s="1"/>
  <c r="G32" i="9"/>
  <c r="H32" i="9" s="1"/>
  <c r="K21" i="9"/>
  <c r="L21" i="9" s="1"/>
  <c r="G21" i="9"/>
  <c r="H21" i="9" s="1"/>
  <c r="K52" i="9"/>
  <c r="L52" i="9" s="1"/>
  <c r="G52" i="9"/>
  <c r="H52" i="9" s="1"/>
  <c r="K51" i="9"/>
  <c r="L51" i="9" s="1"/>
  <c r="G51" i="9"/>
  <c r="H51" i="9" s="1"/>
  <c r="K47" i="9"/>
  <c r="L47" i="9" s="1"/>
  <c r="G47" i="9"/>
  <c r="H47" i="9" s="1"/>
  <c r="K46" i="9"/>
  <c r="L46" i="9" s="1"/>
  <c r="G46" i="9"/>
  <c r="H46" i="9" s="1"/>
  <c r="K18" i="9"/>
  <c r="L18" i="9" s="1"/>
  <c r="G18" i="9"/>
  <c r="H18" i="9" s="1"/>
  <c r="K28" i="9"/>
  <c r="L28" i="9" s="1"/>
  <c r="G28" i="9"/>
  <c r="H28" i="9" s="1"/>
  <c r="K34" i="9"/>
  <c r="L34" i="9" s="1"/>
  <c r="G34" i="9"/>
  <c r="H34" i="9" s="1"/>
  <c r="K38" i="9"/>
  <c r="L38" i="9" s="1"/>
  <c r="G38" i="9"/>
  <c r="H38" i="9" s="1"/>
  <c r="K13" i="9"/>
  <c r="L13" i="9" s="1"/>
  <c r="G13" i="9"/>
  <c r="H13" i="9" s="1"/>
  <c r="K36" i="9"/>
  <c r="L36" i="9" s="1"/>
  <c r="G36" i="9"/>
  <c r="H36" i="9" s="1"/>
  <c r="K30" i="9"/>
  <c r="L30" i="9" s="1"/>
  <c r="G30" i="9"/>
  <c r="H30" i="9" s="1"/>
  <c r="K53" i="9"/>
  <c r="L53" i="9" s="1"/>
  <c r="G53" i="9"/>
  <c r="H53" i="9" s="1"/>
  <c r="K54" i="9"/>
  <c r="L54" i="9" s="1"/>
  <c r="G54" i="9"/>
  <c r="H54" i="9" s="1"/>
  <c r="K15" i="9"/>
  <c r="L15" i="9" s="1"/>
  <c r="G15" i="9"/>
  <c r="H15" i="9" s="1"/>
  <c r="K19" i="9"/>
  <c r="L19" i="9" s="1"/>
  <c r="G19" i="9"/>
  <c r="H19" i="9" s="1"/>
  <c r="K44" i="9"/>
  <c r="L44" i="9" s="1"/>
  <c r="G44" i="9"/>
  <c r="H44" i="9" s="1"/>
  <c r="K42" i="9"/>
  <c r="L42" i="9" s="1"/>
  <c r="G42" i="9"/>
  <c r="H42" i="9" s="1"/>
  <c r="K45" i="9"/>
  <c r="L45" i="9" s="1"/>
  <c r="G45" i="9"/>
  <c r="H45" i="9" s="1"/>
  <c r="K10" i="9"/>
  <c r="L10" i="9" s="1"/>
  <c r="G10" i="9"/>
  <c r="H10" i="9" s="1"/>
  <c r="K50" i="9"/>
  <c r="L50" i="9" s="1"/>
  <c r="G50" i="9"/>
  <c r="H50" i="9" s="1"/>
  <c r="K9" i="9"/>
  <c r="L9" i="9" s="1"/>
  <c r="G9" i="9"/>
  <c r="H9" i="9" s="1"/>
  <c r="K569" i="18"/>
  <c r="L569" i="18" s="1"/>
  <c r="G569" i="18"/>
  <c r="H569" i="18" s="1"/>
  <c r="K568" i="18"/>
  <c r="L568" i="18" s="1"/>
  <c r="G568" i="18"/>
  <c r="H568" i="18" s="1"/>
  <c r="K567" i="18"/>
  <c r="L567" i="18" s="1"/>
  <c r="G567" i="18"/>
  <c r="H567" i="18" s="1"/>
  <c r="K566" i="18"/>
  <c r="L566" i="18" s="1"/>
  <c r="G566" i="18"/>
  <c r="H566" i="18" s="1"/>
  <c r="K565" i="18"/>
  <c r="L565" i="18" s="1"/>
  <c r="G565" i="18"/>
  <c r="H565" i="18" s="1"/>
  <c r="K564" i="18"/>
  <c r="L564" i="18" s="1"/>
  <c r="G564" i="18"/>
  <c r="H564" i="18" s="1"/>
  <c r="K563" i="18"/>
  <c r="L563" i="18" s="1"/>
  <c r="G563" i="18"/>
  <c r="H563" i="18" s="1"/>
  <c r="K562" i="18"/>
  <c r="L562" i="18" s="1"/>
  <c r="G562" i="18"/>
  <c r="H562" i="18" s="1"/>
  <c r="K561" i="18"/>
  <c r="L561" i="18" s="1"/>
  <c r="G561" i="18"/>
  <c r="H561" i="18" s="1"/>
  <c r="K560" i="18"/>
  <c r="L560" i="18" s="1"/>
  <c r="G560" i="18"/>
  <c r="H560" i="18" s="1"/>
  <c r="K559" i="18"/>
  <c r="L559" i="18" s="1"/>
  <c r="G559" i="18"/>
  <c r="H559" i="18" s="1"/>
  <c r="K558" i="18"/>
  <c r="L558" i="18" s="1"/>
  <c r="G558" i="18"/>
  <c r="H558" i="18" s="1"/>
  <c r="K557" i="18"/>
  <c r="L557" i="18" s="1"/>
  <c r="G557" i="18"/>
  <c r="H557" i="18" s="1"/>
  <c r="K556" i="18"/>
  <c r="L556" i="18" s="1"/>
  <c r="G556" i="18"/>
  <c r="H556" i="18" s="1"/>
  <c r="K555" i="18"/>
  <c r="L555" i="18" s="1"/>
  <c r="G555" i="18"/>
  <c r="H555" i="18" s="1"/>
  <c r="K554" i="18"/>
  <c r="L554" i="18" s="1"/>
  <c r="G554" i="18"/>
  <c r="H554" i="18" s="1"/>
  <c r="K553" i="18"/>
  <c r="L553" i="18" s="1"/>
  <c r="G553" i="18"/>
  <c r="H553" i="18" s="1"/>
  <c r="K552" i="18"/>
  <c r="L552" i="18" s="1"/>
  <c r="G552" i="18"/>
  <c r="H552" i="18" s="1"/>
  <c r="K551" i="18"/>
  <c r="L551" i="18" s="1"/>
  <c r="G551" i="18"/>
  <c r="H551" i="18" s="1"/>
  <c r="K550" i="18"/>
  <c r="L550" i="18" s="1"/>
  <c r="G550" i="18"/>
  <c r="H550" i="18" s="1"/>
  <c r="K549" i="18"/>
  <c r="L549" i="18" s="1"/>
  <c r="G549" i="18"/>
  <c r="H549" i="18" s="1"/>
  <c r="K548" i="18"/>
  <c r="L548" i="18" s="1"/>
  <c r="G548" i="18"/>
  <c r="H548" i="18" s="1"/>
  <c r="K547" i="18"/>
  <c r="L547" i="18" s="1"/>
  <c r="G547" i="18"/>
  <c r="H547" i="18" s="1"/>
  <c r="K546" i="18"/>
  <c r="L546" i="18" s="1"/>
  <c r="G546" i="18"/>
  <c r="H546" i="18" s="1"/>
  <c r="K545" i="18"/>
  <c r="L545" i="18" s="1"/>
  <c r="G545" i="18"/>
  <c r="H545" i="18" s="1"/>
  <c r="K544" i="18"/>
  <c r="L544" i="18" s="1"/>
  <c r="G544" i="18"/>
  <c r="H544" i="18" s="1"/>
  <c r="K543" i="18"/>
  <c r="L543" i="18" s="1"/>
  <c r="G543" i="18"/>
  <c r="H543" i="18" s="1"/>
  <c r="K542" i="18"/>
  <c r="L542" i="18" s="1"/>
  <c r="G542" i="18"/>
  <c r="H542" i="18" s="1"/>
  <c r="K541" i="18"/>
  <c r="L541" i="18" s="1"/>
  <c r="G541" i="18"/>
  <c r="H541" i="18" s="1"/>
  <c r="K537" i="18"/>
  <c r="L537" i="18" s="1"/>
  <c r="G537" i="18"/>
  <c r="H537" i="18" s="1"/>
  <c r="K536" i="18"/>
  <c r="L536" i="18" s="1"/>
  <c r="G536" i="18"/>
  <c r="H536" i="18" s="1"/>
  <c r="K535" i="18"/>
  <c r="L535" i="18" s="1"/>
  <c r="G535" i="18"/>
  <c r="H535" i="18" s="1"/>
  <c r="K534" i="18"/>
  <c r="L534" i="18" s="1"/>
  <c r="G534" i="18"/>
  <c r="H534" i="18" s="1"/>
  <c r="K533" i="18"/>
  <c r="L533" i="18" s="1"/>
  <c r="G533" i="18"/>
  <c r="H533" i="18" s="1"/>
  <c r="K532" i="18"/>
  <c r="L532" i="18" s="1"/>
  <c r="G532" i="18"/>
  <c r="H532" i="18" s="1"/>
  <c r="K531" i="18"/>
  <c r="L531" i="18" s="1"/>
  <c r="G531" i="18"/>
  <c r="H531" i="18" s="1"/>
  <c r="K530" i="18"/>
  <c r="L530" i="18" s="1"/>
  <c r="G530" i="18"/>
  <c r="H530" i="18" s="1"/>
  <c r="K529" i="18"/>
  <c r="L529" i="18" s="1"/>
  <c r="G529" i="18"/>
  <c r="H529" i="18" s="1"/>
  <c r="K528" i="18"/>
  <c r="L528" i="18" s="1"/>
  <c r="G528" i="18"/>
  <c r="H528" i="18" s="1"/>
  <c r="K527" i="18"/>
  <c r="L527" i="18" s="1"/>
  <c r="G527" i="18"/>
  <c r="H527" i="18" s="1"/>
  <c r="K526" i="18"/>
  <c r="L526" i="18" s="1"/>
  <c r="G526" i="18"/>
  <c r="H526" i="18" s="1"/>
  <c r="K525" i="18"/>
  <c r="L525" i="18" s="1"/>
  <c r="G525" i="18"/>
  <c r="H525" i="18" s="1"/>
  <c r="K524" i="18"/>
  <c r="L524" i="18" s="1"/>
  <c r="G524" i="18"/>
  <c r="H524" i="18" s="1"/>
  <c r="K523" i="18"/>
  <c r="L523" i="18" s="1"/>
  <c r="G523" i="18"/>
  <c r="H523" i="18" s="1"/>
  <c r="K522" i="18"/>
  <c r="L522" i="18" s="1"/>
  <c r="G522" i="18"/>
  <c r="H522" i="18" s="1"/>
  <c r="K520" i="18"/>
  <c r="L520" i="18" s="1"/>
  <c r="G520" i="18"/>
  <c r="H520" i="18" s="1"/>
  <c r="K519" i="18"/>
  <c r="L519" i="18" s="1"/>
  <c r="G519" i="18"/>
  <c r="H519" i="18" s="1"/>
  <c r="K518" i="18"/>
  <c r="L518" i="18" s="1"/>
  <c r="G518" i="18"/>
  <c r="H518" i="18" s="1"/>
  <c r="K517" i="18"/>
  <c r="L517" i="18" s="1"/>
  <c r="G517" i="18"/>
  <c r="H517" i="18" s="1"/>
  <c r="K516" i="18"/>
  <c r="L516" i="18" s="1"/>
  <c r="G516" i="18"/>
  <c r="H516" i="18" s="1"/>
  <c r="K515" i="18"/>
  <c r="L515" i="18" s="1"/>
  <c r="G515" i="18"/>
  <c r="H515" i="18" s="1"/>
  <c r="K514" i="18"/>
  <c r="L514" i="18" s="1"/>
  <c r="G514" i="18"/>
  <c r="H514" i="18" s="1"/>
  <c r="K513" i="18"/>
  <c r="L513" i="18" s="1"/>
  <c r="G513" i="18"/>
  <c r="H513" i="18" s="1"/>
  <c r="K512" i="18"/>
  <c r="L512" i="18" s="1"/>
  <c r="G512" i="18"/>
  <c r="H512" i="18" s="1"/>
  <c r="K511" i="18"/>
  <c r="L511" i="18" s="1"/>
  <c r="G511" i="18"/>
  <c r="H511" i="18" s="1"/>
  <c r="K510" i="18"/>
  <c r="L510" i="18" s="1"/>
  <c r="G510" i="18"/>
  <c r="H510" i="18" s="1"/>
  <c r="K509" i="18"/>
  <c r="L509" i="18" s="1"/>
  <c r="G509" i="18"/>
  <c r="H509" i="18" s="1"/>
  <c r="K508" i="18"/>
  <c r="L508" i="18" s="1"/>
  <c r="G508" i="18"/>
  <c r="H508" i="18" s="1"/>
  <c r="K507" i="18"/>
  <c r="L507" i="18" s="1"/>
  <c r="G507" i="18"/>
  <c r="H507" i="18" s="1"/>
  <c r="K506" i="18"/>
  <c r="L506" i="18" s="1"/>
  <c r="G506" i="18"/>
  <c r="H506" i="18" s="1"/>
  <c r="K505" i="18"/>
  <c r="L505" i="18" s="1"/>
  <c r="G505" i="18"/>
  <c r="H505" i="18" s="1"/>
  <c r="K504" i="18"/>
  <c r="L504" i="18" s="1"/>
  <c r="G504" i="18"/>
  <c r="H504" i="18" s="1"/>
  <c r="K503" i="18"/>
  <c r="L503" i="18" s="1"/>
  <c r="G503" i="18"/>
  <c r="H503" i="18" s="1"/>
  <c r="K502" i="18"/>
  <c r="L502" i="18" s="1"/>
  <c r="G502" i="18"/>
  <c r="H502" i="18" s="1"/>
  <c r="K501" i="18"/>
  <c r="L501" i="18" s="1"/>
  <c r="G501" i="18"/>
  <c r="H501" i="18" s="1"/>
  <c r="K500" i="18"/>
  <c r="L500" i="18" s="1"/>
  <c r="G500" i="18"/>
  <c r="H500" i="18" s="1"/>
  <c r="K499" i="18"/>
  <c r="L499" i="18" s="1"/>
  <c r="G499" i="18"/>
  <c r="H499" i="18" s="1"/>
  <c r="K498" i="18"/>
  <c r="L498" i="18" s="1"/>
  <c r="G498" i="18"/>
  <c r="H498" i="18" s="1"/>
  <c r="K497" i="18"/>
  <c r="L497" i="18" s="1"/>
  <c r="G497" i="18"/>
  <c r="H497" i="18" s="1"/>
  <c r="K496" i="18"/>
  <c r="L496" i="18" s="1"/>
  <c r="G496" i="18"/>
  <c r="H496" i="18" s="1"/>
  <c r="K495" i="18"/>
  <c r="L495" i="18" s="1"/>
  <c r="G495" i="18"/>
  <c r="H495" i="18" s="1"/>
  <c r="K494" i="18"/>
  <c r="L494" i="18" s="1"/>
  <c r="G494" i="18"/>
  <c r="H494" i="18" s="1"/>
  <c r="K493" i="18"/>
  <c r="L493" i="18" s="1"/>
  <c r="G493" i="18"/>
  <c r="H493" i="18" s="1"/>
  <c r="A486" i="18"/>
  <c r="A485" i="18"/>
  <c r="A484" i="18"/>
  <c r="L23" i="18"/>
  <c r="K23" i="18"/>
  <c r="H23" i="18"/>
  <c r="G23" i="18"/>
  <c r="L32" i="18"/>
  <c r="K32" i="18"/>
  <c r="H32" i="18"/>
  <c r="G32" i="18"/>
  <c r="L39" i="18"/>
  <c r="K39" i="18"/>
  <c r="H39" i="18"/>
  <c r="G39" i="18"/>
  <c r="L8" i="18"/>
  <c r="K8" i="18"/>
  <c r="H8" i="18"/>
  <c r="G8" i="18"/>
  <c r="L25" i="18"/>
  <c r="K25" i="18"/>
  <c r="H25" i="18"/>
  <c r="G25" i="18"/>
  <c r="L26" i="18"/>
  <c r="K26" i="18"/>
  <c r="H26" i="18"/>
  <c r="G26" i="18"/>
  <c r="L10" i="18"/>
  <c r="K10" i="18"/>
  <c r="H10" i="18"/>
  <c r="G10" i="18"/>
  <c r="L45" i="18"/>
  <c r="K45" i="18"/>
  <c r="H45" i="18"/>
  <c r="G45" i="18"/>
  <c r="L9" i="18"/>
  <c r="K9" i="18"/>
  <c r="H9" i="18"/>
  <c r="G9" i="18"/>
  <c r="L31" i="18"/>
  <c r="K31" i="18"/>
  <c r="H31" i="18"/>
  <c r="G31" i="18"/>
  <c r="L54" i="18"/>
  <c r="K54" i="18"/>
  <c r="H54" i="18"/>
  <c r="G54" i="18"/>
  <c r="L52" i="18"/>
  <c r="K52" i="18"/>
  <c r="H52" i="18"/>
  <c r="G52" i="18"/>
  <c r="L53" i="18"/>
  <c r="K53" i="18"/>
  <c r="H53" i="18"/>
  <c r="G53" i="18"/>
  <c r="L29" i="18"/>
  <c r="K29" i="18"/>
  <c r="H29" i="18"/>
  <c r="G29" i="18"/>
  <c r="L46" i="18"/>
  <c r="K46" i="18"/>
  <c r="H46" i="18"/>
  <c r="G46" i="18"/>
  <c r="L38" i="18"/>
  <c r="K38" i="18"/>
  <c r="H38" i="18"/>
  <c r="G38" i="18"/>
  <c r="L210" i="18"/>
  <c r="K210" i="18"/>
  <c r="H210" i="18"/>
  <c r="G210" i="18"/>
  <c r="L83" i="18"/>
  <c r="K83" i="18"/>
  <c r="H83" i="18"/>
  <c r="G83" i="18"/>
  <c r="L116" i="18"/>
  <c r="K116" i="18"/>
  <c r="H116" i="18"/>
  <c r="G116" i="18"/>
  <c r="L452" i="18"/>
  <c r="K452" i="18"/>
  <c r="H452" i="18"/>
  <c r="G452" i="18"/>
  <c r="L147" i="18"/>
  <c r="K147" i="18"/>
  <c r="H147" i="18"/>
  <c r="G147" i="18"/>
  <c r="L190" i="18"/>
  <c r="K190" i="18"/>
  <c r="H190" i="18"/>
  <c r="G190" i="18"/>
  <c r="L445" i="18"/>
  <c r="K445" i="18"/>
  <c r="H445" i="18"/>
  <c r="G445" i="18"/>
  <c r="L342" i="18"/>
  <c r="K342" i="18"/>
  <c r="H342" i="18"/>
  <c r="G342" i="18"/>
  <c r="L146" i="18"/>
  <c r="K146" i="18"/>
  <c r="H146" i="18"/>
  <c r="G146" i="18"/>
  <c r="L123" i="18"/>
  <c r="K123" i="18"/>
  <c r="H123" i="18"/>
  <c r="G123" i="18"/>
  <c r="L281" i="18"/>
  <c r="K281" i="18"/>
  <c r="H281" i="18"/>
  <c r="G281" i="18"/>
  <c r="L251" i="18"/>
  <c r="K251" i="18"/>
  <c r="H251" i="18"/>
  <c r="G251" i="18"/>
  <c r="L269" i="18"/>
  <c r="K269" i="18"/>
  <c r="H269" i="18"/>
  <c r="G269" i="18"/>
  <c r="L312" i="18"/>
  <c r="K312" i="18"/>
  <c r="H312" i="18"/>
  <c r="G312" i="18"/>
  <c r="L307" i="18"/>
  <c r="K307" i="18"/>
  <c r="H307" i="18"/>
  <c r="G307" i="18"/>
  <c r="L394" i="18"/>
  <c r="K394" i="18"/>
  <c r="H394" i="18"/>
  <c r="G394" i="18"/>
  <c r="L264" i="18"/>
  <c r="K264" i="18"/>
  <c r="H264" i="18"/>
  <c r="G264" i="18"/>
  <c r="L224" i="18"/>
  <c r="K224" i="18"/>
  <c r="H224" i="18"/>
  <c r="G224" i="18"/>
  <c r="L374" i="18"/>
  <c r="K374" i="18"/>
  <c r="H374" i="18"/>
  <c r="G374" i="18"/>
  <c r="L387" i="18"/>
  <c r="K387" i="18"/>
  <c r="H387" i="18"/>
  <c r="G387" i="18"/>
  <c r="L427" i="18"/>
  <c r="K427" i="18"/>
  <c r="H427" i="18"/>
  <c r="G427" i="18"/>
  <c r="L339" i="18"/>
  <c r="K339" i="18"/>
  <c r="H339" i="18"/>
  <c r="G339" i="18"/>
  <c r="L139" i="18"/>
  <c r="K139" i="18"/>
  <c r="H139" i="18"/>
  <c r="G139" i="18"/>
  <c r="L380" i="18"/>
  <c r="K380" i="18"/>
  <c r="H380" i="18"/>
  <c r="G380" i="18"/>
  <c r="L308" i="18"/>
  <c r="K308" i="18"/>
  <c r="H308" i="18"/>
  <c r="G308" i="18"/>
  <c r="L198" i="18"/>
  <c r="K198" i="18"/>
  <c r="H198" i="18"/>
  <c r="G198" i="18"/>
  <c r="L128" i="18"/>
  <c r="K128" i="18"/>
  <c r="H128" i="18"/>
  <c r="G128" i="18"/>
  <c r="L56" i="18"/>
  <c r="K56" i="18"/>
  <c r="H56" i="18"/>
  <c r="G56" i="18"/>
  <c r="L333" i="18"/>
  <c r="K333" i="18"/>
  <c r="H333" i="18"/>
  <c r="G333" i="18"/>
  <c r="L225" i="18"/>
  <c r="K225" i="18"/>
  <c r="H225" i="18"/>
  <c r="G225" i="18"/>
  <c r="L345" i="18"/>
  <c r="K345" i="18"/>
  <c r="H345" i="18"/>
  <c r="G345" i="18"/>
  <c r="L180" i="18"/>
  <c r="K180" i="18"/>
  <c r="H180" i="18"/>
  <c r="G180" i="18"/>
  <c r="L410" i="18"/>
  <c r="K410" i="18"/>
  <c r="H410" i="18"/>
  <c r="G410" i="18"/>
  <c r="L104" i="18"/>
  <c r="K104" i="18"/>
  <c r="H104" i="18"/>
  <c r="G104" i="18"/>
  <c r="L359" i="18"/>
  <c r="K359" i="18"/>
  <c r="H359" i="18"/>
  <c r="G359" i="18"/>
  <c r="L409" i="18"/>
  <c r="K409" i="18"/>
  <c r="H409" i="18"/>
  <c r="G409" i="18"/>
  <c r="L294" i="18"/>
  <c r="K294" i="18"/>
  <c r="H294" i="18"/>
  <c r="G294" i="18"/>
  <c r="L87" i="18"/>
  <c r="K87" i="18"/>
  <c r="H87" i="18"/>
  <c r="G87" i="18"/>
  <c r="L185" i="18"/>
  <c r="K185" i="18"/>
  <c r="H185" i="18"/>
  <c r="G185" i="18"/>
  <c r="L288" i="18"/>
  <c r="K288" i="18"/>
  <c r="H288" i="18"/>
  <c r="G288" i="18"/>
  <c r="L126" i="18"/>
  <c r="K126" i="18"/>
  <c r="H126" i="18"/>
  <c r="G126" i="18"/>
  <c r="L296" i="18"/>
  <c r="K296" i="18"/>
  <c r="H296" i="18"/>
  <c r="G296" i="18"/>
  <c r="L100" i="18"/>
  <c r="K100" i="18"/>
  <c r="H100" i="18"/>
  <c r="G100" i="18"/>
  <c r="L379" i="18"/>
  <c r="K379" i="18"/>
  <c r="H379" i="18"/>
  <c r="G379" i="18"/>
  <c r="L413" i="18"/>
  <c r="K413" i="18"/>
  <c r="H413" i="18"/>
  <c r="G413" i="18"/>
  <c r="L235" i="18"/>
  <c r="K235" i="18"/>
  <c r="H235" i="18"/>
  <c r="G235" i="18"/>
  <c r="L228" i="18"/>
  <c r="K228" i="18"/>
  <c r="H228" i="18"/>
  <c r="G228" i="18"/>
  <c r="L327" i="18"/>
  <c r="K327" i="18"/>
  <c r="H327" i="18"/>
  <c r="G327" i="18"/>
  <c r="L363" i="18"/>
  <c r="K363" i="18"/>
  <c r="H363" i="18"/>
  <c r="G363" i="18"/>
  <c r="L306" i="18"/>
  <c r="K306" i="18"/>
  <c r="H306" i="18"/>
  <c r="G306" i="18"/>
  <c r="L156" i="18"/>
  <c r="K156" i="18"/>
  <c r="H156" i="18"/>
  <c r="G156" i="18"/>
  <c r="L169" i="18"/>
  <c r="K169" i="18"/>
  <c r="H169" i="18"/>
  <c r="G169" i="18"/>
  <c r="L69" i="18"/>
  <c r="K69" i="18"/>
  <c r="H69" i="18"/>
  <c r="G69" i="18"/>
  <c r="L351" i="18"/>
  <c r="K351" i="18"/>
  <c r="H351" i="18"/>
  <c r="G351" i="18"/>
  <c r="L267" i="18"/>
  <c r="K267" i="18"/>
  <c r="H267" i="18"/>
  <c r="G267" i="18"/>
  <c r="L209" i="18"/>
  <c r="K209" i="18"/>
  <c r="H209" i="18"/>
  <c r="G209" i="18"/>
  <c r="L291" i="18"/>
  <c r="K291" i="18"/>
  <c r="H291" i="18"/>
  <c r="G291" i="18"/>
  <c r="L93" i="18"/>
  <c r="K93" i="18"/>
  <c r="H93" i="18"/>
  <c r="G93" i="18"/>
  <c r="L66" i="18"/>
  <c r="K66" i="18"/>
  <c r="H66" i="18"/>
  <c r="G66" i="18"/>
  <c r="L187" i="18"/>
  <c r="K187" i="18"/>
  <c r="H187" i="18"/>
  <c r="G187" i="18"/>
  <c r="L237" i="18"/>
  <c r="K237" i="18"/>
  <c r="H237" i="18"/>
  <c r="G237" i="18"/>
  <c r="L335" i="18"/>
  <c r="K335" i="18"/>
  <c r="H335" i="18"/>
  <c r="G335" i="18"/>
  <c r="L119" i="18"/>
  <c r="K119" i="18"/>
  <c r="H119" i="18"/>
  <c r="G119" i="18"/>
  <c r="L372" i="18"/>
  <c r="K372" i="18"/>
  <c r="H372" i="18"/>
  <c r="G372" i="18"/>
  <c r="L401" i="18"/>
  <c r="K401" i="18"/>
  <c r="H401" i="18"/>
  <c r="G401" i="18"/>
  <c r="L145" i="18"/>
  <c r="K145" i="18"/>
  <c r="H145" i="18"/>
  <c r="G145" i="18"/>
  <c r="L280" i="18"/>
  <c r="K280" i="18"/>
  <c r="H280" i="18"/>
  <c r="G280" i="18"/>
  <c r="L407" i="18"/>
  <c r="K407" i="18"/>
  <c r="H407" i="18"/>
  <c r="G407" i="18"/>
  <c r="L282" i="18"/>
  <c r="K282" i="18"/>
  <c r="H282" i="18"/>
  <c r="G282" i="18"/>
  <c r="L377" i="18"/>
  <c r="K377" i="18"/>
  <c r="H377" i="18"/>
  <c r="G377" i="18"/>
  <c r="L421" i="18"/>
  <c r="K421" i="18"/>
  <c r="H421" i="18"/>
  <c r="G421" i="18"/>
  <c r="L381" i="18"/>
  <c r="K381" i="18"/>
  <c r="H381" i="18"/>
  <c r="G381" i="18"/>
  <c r="L364" i="18"/>
  <c r="K364" i="18"/>
  <c r="H364" i="18"/>
  <c r="G364" i="18"/>
  <c r="L336" i="18"/>
  <c r="K336" i="18"/>
  <c r="H336" i="18"/>
  <c r="G336" i="18"/>
  <c r="L315" i="18"/>
  <c r="K315" i="18"/>
  <c r="H315" i="18"/>
  <c r="G315" i="18"/>
  <c r="L246" i="18"/>
  <c r="K246" i="18"/>
  <c r="H246" i="18"/>
  <c r="G246" i="18"/>
  <c r="L140" i="18"/>
  <c r="K140" i="18"/>
  <c r="H140" i="18"/>
  <c r="G140" i="18"/>
  <c r="L311" i="18"/>
  <c r="K311" i="18"/>
  <c r="H311" i="18"/>
  <c r="G311" i="18"/>
  <c r="L434" i="18"/>
  <c r="K434" i="18"/>
  <c r="H434" i="18"/>
  <c r="G434" i="18"/>
  <c r="L194" i="18"/>
  <c r="K194" i="18"/>
  <c r="H194" i="18"/>
  <c r="G194" i="18"/>
  <c r="L184" i="18"/>
  <c r="K184" i="18"/>
  <c r="H184" i="18"/>
  <c r="G184" i="18"/>
  <c r="L343" i="18"/>
  <c r="K343" i="18"/>
  <c r="H343" i="18"/>
  <c r="G343" i="18"/>
  <c r="L422" i="18"/>
  <c r="K422" i="18"/>
  <c r="H422" i="18"/>
  <c r="G422" i="18"/>
  <c r="L63" i="18"/>
  <c r="K63" i="18"/>
  <c r="H63" i="18"/>
  <c r="G63" i="18"/>
  <c r="L84" i="18"/>
  <c r="K84" i="18"/>
  <c r="H84" i="18"/>
  <c r="G84" i="18"/>
  <c r="L168" i="18"/>
  <c r="K168" i="18"/>
  <c r="H168" i="18"/>
  <c r="G168" i="18"/>
  <c r="L278" i="18"/>
  <c r="K278" i="18"/>
  <c r="H278" i="18"/>
  <c r="G278" i="18"/>
  <c r="L424" i="18"/>
  <c r="K424" i="18"/>
  <c r="H424" i="18"/>
  <c r="G424" i="18"/>
  <c r="L231" i="18"/>
  <c r="K231" i="18"/>
  <c r="H231" i="18"/>
  <c r="G231" i="18"/>
  <c r="L362" i="18"/>
  <c r="K362" i="18"/>
  <c r="H362" i="18"/>
  <c r="G362" i="18"/>
  <c r="L132" i="18"/>
  <c r="K132" i="18"/>
  <c r="H132" i="18"/>
  <c r="G132" i="18"/>
  <c r="L408" i="18"/>
  <c r="K408" i="18"/>
  <c r="H408" i="18"/>
  <c r="G408" i="18"/>
  <c r="L175" i="18"/>
  <c r="K175" i="18"/>
  <c r="H175" i="18"/>
  <c r="G175" i="18"/>
  <c r="L214" i="18"/>
  <c r="K214" i="18"/>
  <c r="H214" i="18"/>
  <c r="G214" i="18"/>
  <c r="L183" i="18"/>
  <c r="K183" i="18"/>
  <c r="H183" i="18"/>
  <c r="G183" i="18"/>
  <c r="L151" i="18"/>
  <c r="K151" i="18"/>
  <c r="H151" i="18"/>
  <c r="G151" i="18"/>
  <c r="L99" i="18"/>
  <c r="K99" i="18"/>
  <c r="H99" i="18"/>
  <c r="G99" i="18"/>
  <c r="L247" i="18"/>
  <c r="K247" i="18"/>
  <c r="H247" i="18"/>
  <c r="G247" i="18"/>
  <c r="L425" i="18"/>
  <c r="K425" i="18"/>
  <c r="H425" i="18"/>
  <c r="G425" i="18"/>
  <c r="L446" i="18"/>
  <c r="K446" i="18"/>
  <c r="H446" i="18"/>
  <c r="G446" i="18"/>
  <c r="L391" i="18"/>
  <c r="K391" i="18"/>
  <c r="H391" i="18"/>
  <c r="G391" i="18"/>
  <c r="L390" i="18"/>
  <c r="K390" i="18"/>
  <c r="H390" i="18"/>
  <c r="G390" i="18"/>
  <c r="L437" i="18"/>
  <c r="K437" i="18"/>
  <c r="H437" i="18"/>
  <c r="G437" i="18"/>
  <c r="L396" i="18"/>
  <c r="K396" i="18"/>
  <c r="H396" i="18"/>
  <c r="G396" i="18"/>
  <c r="L150" i="18"/>
  <c r="K150" i="18"/>
  <c r="H150" i="18"/>
  <c r="G150" i="18"/>
  <c r="L218" i="18"/>
  <c r="K218" i="18"/>
  <c r="H218" i="18"/>
  <c r="G218" i="18"/>
  <c r="L143" i="18"/>
  <c r="K143" i="18"/>
  <c r="H143" i="18"/>
  <c r="G143" i="18"/>
  <c r="L244" i="18"/>
  <c r="K244" i="18"/>
  <c r="H244" i="18"/>
  <c r="G244" i="18"/>
  <c r="L182" i="18"/>
  <c r="K182" i="18"/>
  <c r="H182" i="18"/>
  <c r="G182" i="18"/>
  <c r="L253" i="18"/>
  <c r="K253" i="18"/>
  <c r="H253" i="18"/>
  <c r="G253" i="18"/>
  <c r="L75" i="18"/>
  <c r="K75" i="18"/>
  <c r="H75" i="18"/>
  <c r="G75" i="18"/>
  <c r="L370" i="18"/>
  <c r="K370" i="18"/>
  <c r="H370" i="18"/>
  <c r="G370" i="18"/>
  <c r="L263" i="18"/>
  <c r="K263" i="18"/>
  <c r="H263" i="18"/>
  <c r="G263" i="18"/>
  <c r="L158" i="18"/>
  <c r="K158" i="18"/>
  <c r="H158" i="18"/>
  <c r="G158" i="18"/>
  <c r="L78" i="18"/>
  <c r="K78" i="18"/>
  <c r="H78" i="18"/>
  <c r="G78" i="18"/>
  <c r="L368" i="18"/>
  <c r="K368" i="18"/>
  <c r="H368" i="18"/>
  <c r="G368" i="18"/>
  <c r="L257" i="18"/>
  <c r="K257" i="18"/>
  <c r="H257" i="18"/>
  <c r="G257" i="18"/>
  <c r="L275" i="18"/>
  <c r="K275" i="18"/>
  <c r="H275" i="18"/>
  <c r="G275" i="18"/>
  <c r="L202" i="18"/>
  <c r="K202" i="18"/>
  <c r="H202" i="18"/>
  <c r="G202" i="18"/>
  <c r="L127" i="18"/>
  <c r="K127" i="18"/>
  <c r="H127" i="18"/>
  <c r="G127" i="18"/>
  <c r="L403" i="18"/>
  <c r="K403" i="18"/>
  <c r="H403" i="18"/>
  <c r="G403" i="18"/>
  <c r="L406" i="18"/>
  <c r="K406" i="18"/>
  <c r="H406" i="18"/>
  <c r="G406" i="18"/>
  <c r="L302" i="18"/>
  <c r="K302" i="18"/>
  <c r="H302" i="18"/>
  <c r="G302" i="18"/>
  <c r="L357" i="18"/>
  <c r="K357" i="18"/>
  <c r="H357" i="18"/>
  <c r="G357" i="18"/>
  <c r="L340" i="18"/>
  <c r="K340" i="18"/>
  <c r="H340" i="18"/>
  <c r="G340" i="18"/>
  <c r="L314" i="18"/>
  <c r="K314" i="18"/>
  <c r="H314" i="18"/>
  <c r="G314" i="18"/>
  <c r="L71" i="18"/>
  <c r="K71" i="18"/>
  <c r="H71" i="18"/>
  <c r="G71" i="18"/>
  <c r="L402" i="18"/>
  <c r="K402" i="18"/>
  <c r="H402" i="18"/>
  <c r="G402" i="18"/>
  <c r="L320" i="18"/>
  <c r="K320" i="18"/>
  <c r="H320" i="18"/>
  <c r="G320" i="18"/>
  <c r="L439" i="18"/>
  <c r="K439" i="18"/>
  <c r="H439" i="18"/>
  <c r="G439" i="18"/>
  <c r="L285" i="18"/>
  <c r="K285" i="18"/>
  <c r="H285" i="18"/>
  <c r="G285" i="18"/>
  <c r="L157" i="18"/>
  <c r="K157" i="18"/>
  <c r="H157" i="18"/>
  <c r="G157" i="18"/>
  <c r="L111" i="18"/>
  <c r="K111" i="18"/>
  <c r="H111" i="18"/>
  <c r="G111" i="18"/>
  <c r="L233" i="18"/>
  <c r="K233" i="18"/>
  <c r="H233" i="18"/>
  <c r="G233" i="18"/>
  <c r="L118" i="18"/>
  <c r="K118" i="18"/>
  <c r="H118" i="18"/>
  <c r="G118" i="18"/>
  <c r="L109" i="18"/>
  <c r="K109" i="18"/>
  <c r="H109" i="18"/>
  <c r="G109" i="18"/>
  <c r="L195" i="18"/>
  <c r="K195" i="18"/>
  <c r="H195" i="18"/>
  <c r="G195" i="18"/>
  <c r="L236" i="18"/>
  <c r="K236" i="18"/>
  <c r="H236" i="18"/>
  <c r="G236" i="18"/>
  <c r="L200" i="18"/>
  <c r="K200" i="18"/>
  <c r="H200" i="18"/>
  <c r="G200" i="18"/>
  <c r="L443" i="18"/>
  <c r="K443" i="18"/>
  <c r="H443" i="18"/>
  <c r="G443" i="18"/>
  <c r="L271" i="18"/>
  <c r="K271" i="18"/>
  <c r="H271" i="18"/>
  <c r="G271" i="18"/>
  <c r="L193" i="18"/>
  <c r="K193" i="18"/>
  <c r="H193" i="18"/>
  <c r="G193" i="18"/>
  <c r="L174" i="18"/>
  <c r="K174" i="18"/>
  <c r="H174" i="18"/>
  <c r="G174" i="18"/>
  <c r="L395" i="18"/>
  <c r="K395" i="18"/>
  <c r="H395" i="18"/>
  <c r="G395" i="18"/>
  <c r="L433" i="18"/>
  <c r="K433" i="18"/>
  <c r="H433" i="18"/>
  <c r="G433" i="18"/>
  <c r="K73" i="18"/>
  <c r="L73" i="18" s="1"/>
  <c r="G73" i="18"/>
  <c r="H73" i="18" s="1"/>
  <c r="K67" i="18"/>
  <c r="L67" i="18" s="1"/>
  <c r="H67" i="18"/>
  <c r="G67" i="18"/>
  <c r="K341" i="18"/>
  <c r="L341" i="18" s="1"/>
  <c r="G341" i="18"/>
  <c r="H341" i="18" s="1"/>
  <c r="K334" i="18"/>
  <c r="L334" i="18" s="1"/>
  <c r="H334" i="18"/>
  <c r="G334" i="18"/>
  <c r="K375" i="18"/>
  <c r="L375" i="18" s="1"/>
  <c r="G375" i="18"/>
  <c r="H375" i="18" s="1"/>
  <c r="K179" i="18"/>
  <c r="L179" i="18" s="1"/>
  <c r="G179" i="18"/>
  <c r="H179" i="18" s="1"/>
  <c r="K371" i="18"/>
  <c r="L371" i="18" s="1"/>
  <c r="H371" i="18"/>
  <c r="G371" i="18"/>
  <c r="K398" i="18"/>
  <c r="L398" i="18" s="1"/>
  <c r="G398" i="18"/>
  <c r="H398" i="18" s="1"/>
  <c r="K369" i="18"/>
  <c r="L369" i="18" s="1"/>
  <c r="G369" i="18"/>
  <c r="H369" i="18" s="1"/>
  <c r="K388" i="18"/>
  <c r="L388" i="18" s="1"/>
  <c r="H388" i="18"/>
  <c r="G388" i="18"/>
  <c r="K389" i="18"/>
  <c r="L389" i="18" s="1"/>
  <c r="G389" i="18"/>
  <c r="H389" i="18" s="1"/>
  <c r="K160" i="18"/>
  <c r="L160" i="18" s="1"/>
  <c r="H160" i="18"/>
  <c r="G160" i="18"/>
  <c r="K252" i="18"/>
  <c r="L252" i="18" s="1"/>
  <c r="G252" i="18"/>
  <c r="H252" i="18" s="1"/>
  <c r="K316" i="18"/>
  <c r="L316" i="18" s="1"/>
  <c r="G316" i="18"/>
  <c r="H316" i="18" s="1"/>
  <c r="K161" i="18"/>
  <c r="L161" i="18" s="1"/>
  <c r="H161" i="18"/>
  <c r="G161" i="18"/>
  <c r="K436" i="18"/>
  <c r="L436" i="18" s="1"/>
  <c r="G436" i="18"/>
  <c r="H436" i="18" s="1"/>
  <c r="K171" i="18"/>
  <c r="L171" i="18" s="1"/>
  <c r="G171" i="18"/>
  <c r="H171" i="18" s="1"/>
  <c r="K400" i="18"/>
  <c r="L400" i="18" s="1"/>
  <c r="H400" i="18"/>
  <c r="G400" i="18"/>
  <c r="K92" i="18"/>
  <c r="L92" i="18" s="1"/>
  <c r="G92" i="18"/>
  <c r="H92" i="18" s="1"/>
  <c r="K154" i="18"/>
  <c r="L154" i="18" s="1"/>
  <c r="H154" i="18"/>
  <c r="G154" i="18"/>
  <c r="K191" i="18"/>
  <c r="L191" i="18" s="1"/>
  <c r="G191" i="18"/>
  <c r="H191" i="18" s="1"/>
  <c r="K115" i="18"/>
  <c r="L115" i="18" s="1"/>
  <c r="G115" i="18"/>
  <c r="H115" i="18" s="1"/>
  <c r="K201" i="18"/>
  <c r="L201" i="18" s="1"/>
  <c r="H201" i="18"/>
  <c r="G201" i="18"/>
  <c r="K79" i="18"/>
  <c r="L79" i="18" s="1"/>
  <c r="G79" i="18"/>
  <c r="H79" i="18" s="1"/>
  <c r="K192" i="18"/>
  <c r="L192" i="18" s="1"/>
  <c r="G192" i="18"/>
  <c r="H192" i="18" s="1"/>
  <c r="K360" i="18"/>
  <c r="L360" i="18" s="1"/>
  <c r="H360" i="18"/>
  <c r="G360" i="18"/>
  <c r="K323" i="18"/>
  <c r="L323" i="18" s="1"/>
  <c r="G323" i="18"/>
  <c r="H323" i="18" s="1"/>
  <c r="K57" i="18"/>
  <c r="L57" i="18" s="1"/>
  <c r="H57" i="18"/>
  <c r="G57" i="18"/>
  <c r="K98" i="18"/>
  <c r="L98" i="18" s="1"/>
  <c r="G98" i="18"/>
  <c r="H98" i="18" s="1"/>
  <c r="K129" i="18"/>
  <c r="L129" i="18" s="1"/>
  <c r="G129" i="18"/>
  <c r="H129" i="18" s="1"/>
  <c r="K376" i="18"/>
  <c r="L376" i="18" s="1"/>
  <c r="H376" i="18"/>
  <c r="G376" i="18"/>
  <c r="K215" i="18"/>
  <c r="L215" i="18" s="1"/>
  <c r="G215" i="18"/>
  <c r="H215" i="18" s="1"/>
  <c r="K441" i="18"/>
  <c r="L441" i="18" s="1"/>
  <c r="G441" i="18"/>
  <c r="H441" i="18" s="1"/>
  <c r="K292" i="18"/>
  <c r="L292" i="18" s="1"/>
  <c r="H292" i="18"/>
  <c r="G292" i="18"/>
  <c r="K309" i="18"/>
  <c r="L309" i="18" s="1"/>
  <c r="G309" i="18"/>
  <c r="H309" i="18" s="1"/>
  <c r="K414" i="18"/>
  <c r="L414" i="18" s="1"/>
  <c r="H414" i="18"/>
  <c r="G414" i="18"/>
  <c r="K155" i="18"/>
  <c r="L155" i="18" s="1"/>
  <c r="G155" i="18"/>
  <c r="H155" i="18" s="1"/>
  <c r="K418" i="18"/>
  <c r="L418" i="18" s="1"/>
  <c r="G418" i="18"/>
  <c r="H418" i="18" s="1"/>
  <c r="K136" i="18"/>
  <c r="L136" i="18" s="1"/>
  <c r="H136" i="18"/>
  <c r="G136" i="18"/>
  <c r="K60" i="18"/>
  <c r="L60" i="18" s="1"/>
  <c r="G60" i="18"/>
  <c r="H60" i="18" s="1"/>
  <c r="K213" i="18"/>
  <c r="L213" i="18" s="1"/>
  <c r="G213" i="18"/>
  <c r="H213" i="18" s="1"/>
  <c r="K217" i="18"/>
  <c r="L217" i="18" s="1"/>
  <c r="H217" i="18"/>
  <c r="G217" i="18"/>
  <c r="K110" i="18"/>
  <c r="L110" i="18" s="1"/>
  <c r="G110" i="18"/>
  <c r="H110" i="18" s="1"/>
  <c r="K131" i="18"/>
  <c r="L131" i="18" s="1"/>
  <c r="H131" i="18"/>
  <c r="G131" i="18"/>
  <c r="K428" i="18"/>
  <c r="L428" i="18" s="1"/>
  <c r="G428" i="18"/>
  <c r="H428" i="18" s="1"/>
  <c r="K94" i="18"/>
  <c r="L94" i="18" s="1"/>
  <c r="G94" i="18"/>
  <c r="H94" i="18" s="1"/>
  <c r="K324" i="18"/>
  <c r="L324" i="18" s="1"/>
  <c r="H324" i="18"/>
  <c r="G324" i="18"/>
  <c r="K347" i="18"/>
  <c r="L347" i="18" s="1"/>
  <c r="G347" i="18"/>
  <c r="H347" i="18" s="1"/>
  <c r="K259" i="18"/>
  <c r="L259" i="18" s="1"/>
  <c r="G259" i="18"/>
  <c r="H259" i="18" s="1"/>
  <c r="K88" i="18"/>
  <c r="L88" i="18" s="1"/>
  <c r="H88" i="18"/>
  <c r="G88" i="18"/>
  <c r="K166" i="18"/>
  <c r="L166" i="18" s="1"/>
  <c r="G166" i="18"/>
  <c r="H166" i="18" s="1"/>
  <c r="K130" i="18"/>
  <c r="L130" i="18" s="1"/>
  <c r="H130" i="18"/>
  <c r="G130" i="18"/>
  <c r="K321" i="18"/>
  <c r="L321" i="18" s="1"/>
  <c r="G321" i="18"/>
  <c r="H321" i="18" s="1"/>
  <c r="K216" i="18"/>
  <c r="L216" i="18" s="1"/>
  <c r="G216" i="18"/>
  <c r="H216" i="18" s="1"/>
  <c r="K81" i="18"/>
  <c r="L81" i="18" s="1"/>
  <c r="H81" i="18"/>
  <c r="G81" i="18"/>
  <c r="K268" i="18"/>
  <c r="L268" i="18" s="1"/>
  <c r="G268" i="18"/>
  <c r="H268" i="18" s="1"/>
  <c r="K276" i="18"/>
  <c r="L276" i="18" s="1"/>
  <c r="G276" i="18"/>
  <c r="H276" i="18" s="1"/>
  <c r="K165" i="18"/>
  <c r="L165" i="18" s="1"/>
  <c r="H165" i="18"/>
  <c r="G165" i="18"/>
  <c r="K261" i="18"/>
  <c r="L261" i="18" s="1"/>
  <c r="G261" i="18"/>
  <c r="H261" i="18" s="1"/>
  <c r="K223" i="18"/>
  <c r="L223" i="18" s="1"/>
  <c r="H223" i="18"/>
  <c r="G223" i="18"/>
  <c r="K240" i="18"/>
  <c r="L240" i="18" s="1"/>
  <c r="G240" i="18"/>
  <c r="H240" i="18" s="1"/>
  <c r="K59" i="18"/>
  <c r="L59" i="18" s="1"/>
  <c r="G59" i="18"/>
  <c r="H59" i="18" s="1"/>
  <c r="K137" i="18"/>
  <c r="L137" i="18" s="1"/>
  <c r="H137" i="18"/>
  <c r="G137" i="18"/>
  <c r="K82" i="18"/>
  <c r="L82" i="18" s="1"/>
  <c r="G82" i="18"/>
  <c r="H82" i="18" s="1"/>
  <c r="K113" i="18"/>
  <c r="L113" i="18" s="1"/>
  <c r="G113" i="18"/>
  <c r="H113" i="18" s="1"/>
  <c r="K293" i="18"/>
  <c r="L293" i="18" s="1"/>
  <c r="H293" i="18"/>
  <c r="G293" i="18"/>
  <c r="K385" i="18"/>
  <c r="L385" i="18" s="1"/>
  <c r="G385" i="18"/>
  <c r="H385" i="18" s="1"/>
  <c r="K367" i="18"/>
  <c r="L367" i="18" s="1"/>
  <c r="H367" i="18"/>
  <c r="G367" i="18"/>
  <c r="K176" i="18"/>
  <c r="L176" i="18" s="1"/>
  <c r="G176" i="18"/>
  <c r="H176" i="18" s="1"/>
  <c r="K250" i="18"/>
  <c r="L250" i="18" s="1"/>
  <c r="G250" i="18"/>
  <c r="H250" i="18" s="1"/>
  <c r="K172" i="18"/>
  <c r="L172" i="18" s="1"/>
  <c r="H172" i="18"/>
  <c r="G172" i="18"/>
  <c r="K117" i="18"/>
  <c r="L117" i="18" s="1"/>
  <c r="G117" i="18"/>
  <c r="H117" i="18" s="1"/>
  <c r="K354" i="18"/>
  <c r="L354" i="18" s="1"/>
  <c r="G354" i="18"/>
  <c r="H354" i="18" s="1"/>
  <c r="K173" i="18"/>
  <c r="L173" i="18" s="1"/>
  <c r="H173" i="18"/>
  <c r="G173" i="18"/>
  <c r="K106" i="18"/>
  <c r="L106" i="18" s="1"/>
  <c r="G106" i="18"/>
  <c r="H106" i="18" s="1"/>
  <c r="K230" i="18"/>
  <c r="L230" i="18" s="1"/>
  <c r="H230" i="18"/>
  <c r="G230" i="18"/>
  <c r="K203" i="18"/>
  <c r="L203" i="18" s="1"/>
  <c r="G203" i="18"/>
  <c r="H203" i="18" s="1"/>
  <c r="K206" i="18"/>
  <c r="L206" i="18" s="1"/>
  <c r="G206" i="18"/>
  <c r="H206" i="18" s="1"/>
  <c r="K350" i="18"/>
  <c r="L350" i="18" s="1"/>
  <c r="H350" i="18"/>
  <c r="G350" i="18"/>
  <c r="K326" i="18"/>
  <c r="L326" i="18" s="1"/>
  <c r="G326" i="18"/>
  <c r="H326" i="18" s="1"/>
  <c r="K440" i="18"/>
  <c r="L440" i="18" s="1"/>
  <c r="G440" i="18"/>
  <c r="H440" i="18" s="1"/>
  <c r="K283" i="18"/>
  <c r="L283" i="18" s="1"/>
  <c r="H283" i="18"/>
  <c r="G283" i="18"/>
  <c r="K44" i="18"/>
  <c r="L44" i="18" s="1"/>
  <c r="G44" i="18"/>
  <c r="H44" i="18" s="1"/>
  <c r="K41" i="18"/>
  <c r="L41" i="18" s="1"/>
  <c r="H41" i="18"/>
  <c r="G41" i="18"/>
  <c r="L13" i="18"/>
  <c r="K13" i="18"/>
  <c r="H13" i="18"/>
  <c r="G13" i="18"/>
  <c r="L22" i="18"/>
  <c r="K22" i="18"/>
  <c r="H22" i="18"/>
  <c r="G22" i="18"/>
  <c r="L20" i="18"/>
  <c r="K20" i="18"/>
  <c r="H20" i="18"/>
  <c r="G20" i="18"/>
  <c r="L34" i="18"/>
  <c r="K34" i="18"/>
  <c r="H34" i="18"/>
  <c r="G34" i="18"/>
  <c r="L28" i="18"/>
  <c r="K28" i="18"/>
  <c r="H28" i="18"/>
  <c r="G28" i="18"/>
  <c r="L6" i="18"/>
  <c r="K6" i="18"/>
  <c r="H6" i="18"/>
  <c r="G6" i="18"/>
  <c r="L27" i="18"/>
  <c r="K27" i="18"/>
  <c r="H27" i="18"/>
  <c r="G27" i="18"/>
  <c r="L17" i="18"/>
  <c r="K17" i="18"/>
  <c r="H17" i="18"/>
  <c r="G17" i="18"/>
  <c r="L35" i="18"/>
  <c r="K35" i="18"/>
  <c r="H35" i="18"/>
  <c r="G35" i="18"/>
  <c r="L37" i="18"/>
  <c r="K37" i="18"/>
  <c r="H37" i="18"/>
  <c r="G37" i="18"/>
  <c r="L47" i="18"/>
  <c r="K47" i="18"/>
  <c r="H47" i="18"/>
  <c r="G47" i="18"/>
  <c r="L40" i="18"/>
  <c r="K40" i="18"/>
  <c r="H40" i="18"/>
  <c r="G40" i="18"/>
  <c r="L19" i="18"/>
  <c r="K19" i="18"/>
  <c r="H19" i="18"/>
  <c r="G19" i="18"/>
  <c r="L16" i="18"/>
  <c r="K16" i="18"/>
  <c r="H16" i="18"/>
  <c r="G16" i="18"/>
  <c r="L30" i="18"/>
  <c r="K30" i="18"/>
  <c r="H30" i="18"/>
  <c r="G30" i="18"/>
  <c r="L15" i="18"/>
  <c r="K15" i="18"/>
  <c r="H15" i="18"/>
  <c r="G15" i="18"/>
  <c r="L14" i="18"/>
  <c r="K14" i="18"/>
  <c r="H14" i="18"/>
  <c r="G14" i="18"/>
  <c r="L48" i="18"/>
  <c r="K48" i="18"/>
  <c r="H48" i="18"/>
  <c r="G48" i="18"/>
  <c r="L21" i="18"/>
  <c r="K21" i="18"/>
  <c r="H21" i="18"/>
  <c r="G21" i="18"/>
  <c r="L11" i="18"/>
  <c r="K11" i="18"/>
  <c r="H11" i="18"/>
  <c r="G11" i="18"/>
  <c r="L24" i="18"/>
  <c r="K24" i="18"/>
  <c r="H24" i="18"/>
  <c r="G24" i="18"/>
  <c r="L43" i="18"/>
  <c r="K43" i="18"/>
  <c r="H43" i="18"/>
  <c r="G43" i="18"/>
  <c r="L12" i="18"/>
  <c r="K12" i="18"/>
  <c r="H12" i="18"/>
  <c r="G12" i="18"/>
  <c r="L36" i="18"/>
  <c r="K36" i="18"/>
  <c r="H36" i="18"/>
  <c r="G36" i="18"/>
  <c r="L18" i="18"/>
  <c r="K18" i="18"/>
  <c r="H18" i="18"/>
  <c r="G18" i="18"/>
  <c r="L58" i="18"/>
  <c r="K58" i="18"/>
  <c r="H58" i="18"/>
  <c r="G58" i="18"/>
  <c r="L181" i="18"/>
  <c r="K181" i="18"/>
  <c r="H181" i="18"/>
  <c r="G181" i="18"/>
  <c r="L188" i="18"/>
  <c r="K188" i="18"/>
  <c r="H188" i="18"/>
  <c r="G188" i="18"/>
  <c r="L303" i="18"/>
  <c r="K303" i="18"/>
  <c r="H303" i="18"/>
  <c r="G303" i="18"/>
  <c r="L207" i="18"/>
  <c r="K207" i="18"/>
  <c r="H207" i="18"/>
  <c r="G207" i="18"/>
  <c r="L451" i="18"/>
  <c r="K451" i="18"/>
  <c r="H451" i="18"/>
  <c r="G451" i="18"/>
  <c r="L365" i="18"/>
  <c r="K365" i="18"/>
  <c r="H365" i="18"/>
  <c r="G365" i="18"/>
  <c r="L138" i="18"/>
  <c r="K138" i="18"/>
  <c r="H138" i="18"/>
  <c r="G138" i="18"/>
  <c r="L144" i="18"/>
  <c r="K144" i="18"/>
  <c r="H144" i="18"/>
  <c r="G144" i="18"/>
  <c r="L382" i="18"/>
  <c r="K382" i="18"/>
  <c r="H382" i="18"/>
  <c r="G382" i="18"/>
  <c r="L254" i="18"/>
  <c r="K254" i="18"/>
  <c r="H254" i="18"/>
  <c r="G254" i="18"/>
  <c r="L419" i="18"/>
  <c r="K419" i="18"/>
  <c r="H419" i="18"/>
  <c r="G419" i="18"/>
  <c r="L447" i="18"/>
  <c r="K447" i="18"/>
  <c r="H447" i="18"/>
  <c r="G447" i="18"/>
  <c r="L310" i="18"/>
  <c r="K310" i="18"/>
  <c r="H310" i="18"/>
  <c r="G310" i="18"/>
  <c r="L405" i="18"/>
  <c r="K405" i="18"/>
  <c r="H405" i="18"/>
  <c r="G405" i="18"/>
  <c r="L416" i="18"/>
  <c r="K416" i="18"/>
  <c r="H416" i="18"/>
  <c r="G416" i="18"/>
  <c r="L74" i="18"/>
  <c r="K74" i="18"/>
  <c r="H74" i="18"/>
  <c r="G74" i="18"/>
  <c r="L142" i="18"/>
  <c r="K142" i="18"/>
  <c r="H142" i="18"/>
  <c r="G142" i="18"/>
  <c r="L299" i="18"/>
  <c r="K299" i="18"/>
  <c r="H299" i="18"/>
  <c r="G299" i="18"/>
  <c r="L404" i="18"/>
  <c r="K404" i="18"/>
  <c r="H404" i="18"/>
  <c r="G404" i="18"/>
  <c r="L435" i="18"/>
  <c r="K435" i="18"/>
  <c r="H435" i="18"/>
  <c r="G435" i="18"/>
  <c r="L329" i="18"/>
  <c r="K329" i="18"/>
  <c r="H329" i="18"/>
  <c r="G329" i="18"/>
  <c r="L76" i="18"/>
  <c r="K76" i="18"/>
  <c r="H76" i="18"/>
  <c r="G76" i="18"/>
  <c r="L449" i="18"/>
  <c r="K449" i="18"/>
  <c r="H449" i="18"/>
  <c r="G449" i="18"/>
  <c r="L300" i="18"/>
  <c r="K300" i="18"/>
  <c r="H300" i="18"/>
  <c r="G300" i="18"/>
  <c r="L352" i="18"/>
  <c r="K352" i="18"/>
  <c r="H352" i="18"/>
  <c r="G352" i="18"/>
  <c r="L241" i="18"/>
  <c r="K241" i="18"/>
  <c r="H241" i="18"/>
  <c r="G241" i="18"/>
  <c r="L239" i="18"/>
  <c r="K239" i="18"/>
  <c r="H239" i="18"/>
  <c r="G239" i="18"/>
  <c r="L91" i="18"/>
  <c r="K91" i="18"/>
  <c r="H91" i="18"/>
  <c r="G91" i="18"/>
  <c r="L141" i="18"/>
  <c r="K141" i="18"/>
  <c r="H141" i="18"/>
  <c r="G141" i="18"/>
  <c r="L273" i="18"/>
  <c r="K273" i="18"/>
  <c r="H273" i="18"/>
  <c r="G273" i="18"/>
  <c r="L242" i="18"/>
  <c r="K242" i="18"/>
  <c r="H242" i="18"/>
  <c r="G242" i="18"/>
  <c r="L325" i="18"/>
  <c r="K325" i="18"/>
  <c r="H325" i="18"/>
  <c r="G325" i="18"/>
  <c r="L238" i="18"/>
  <c r="K238" i="18"/>
  <c r="H238" i="18"/>
  <c r="G238" i="18"/>
  <c r="L289" i="18"/>
  <c r="K289" i="18"/>
  <c r="H289" i="18"/>
  <c r="G289" i="18"/>
  <c r="L61" i="18"/>
  <c r="K61" i="18"/>
  <c r="H61" i="18"/>
  <c r="G61" i="18"/>
  <c r="L249" i="18"/>
  <c r="K249" i="18"/>
  <c r="H249" i="18"/>
  <c r="G249" i="18"/>
  <c r="L349" i="18"/>
  <c r="K349" i="18"/>
  <c r="H349" i="18"/>
  <c r="G349" i="18"/>
  <c r="L90" i="18"/>
  <c r="K90" i="18"/>
  <c r="H90" i="18"/>
  <c r="G90" i="18"/>
  <c r="L77" i="18"/>
  <c r="K77" i="18"/>
  <c r="H77" i="18"/>
  <c r="G77" i="18"/>
  <c r="L258" i="18"/>
  <c r="K258" i="18"/>
  <c r="H258" i="18"/>
  <c r="G258" i="18"/>
  <c r="L260" i="18"/>
  <c r="K260" i="18"/>
  <c r="H260" i="18"/>
  <c r="G260" i="18"/>
  <c r="L101" i="18"/>
  <c r="K101" i="18"/>
  <c r="H101" i="18"/>
  <c r="G101" i="18"/>
  <c r="L197" i="18"/>
  <c r="K197" i="18"/>
  <c r="H197" i="18"/>
  <c r="G197" i="18"/>
  <c r="L426" i="18"/>
  <c r="K426" i="18"/>
  <c r="H426" i="18"/>
  <c r="G426" i="18"/>
  <c r="L279" i="18"/>
  <c r="K279" i="18"/>
  <c r="H279" i="18"/>
  <c r="G279" i="18"/>
  <c r="L234" i="18"/>
  <c r="K234" i="18"/>
  <c r="H234" i="18"/>
  <c r="G234" i="18"/>
  <c r="L386" i="18"/>
  <c r="K386" i="18"/>
  <c r="H386" i="18"/>
  <c r="G386" i="18"/>
  <c r="L220" i="18"/>
  <c r="K220" i="18"/>
  <c r="H220" i="18"/>
  <c r="G220" i="18"/>
  <c r="L159" i="18"/>
  <c r="K159" i="18"/>
  <c r="H159" i="18"/>
  <c r="G159" i="18"/>
  <c r="L164" i="18"/>
  <c r="K164" i="18"/>
  <c r="H164" i="18"/>
  <c r="G164" i="18"/>
  <c r="L450" i="18"/>
  <c r="K450" i="18"/>
  <c r="H450" i="18"/>
  <c r="G450" i="18"/>
  <c r="L204" i="18"/>
  <c r="K204" i="18"/>
  <c r="H204" i="18"/>
  <c r="G204" i="18"/>
  <c r="L317" i="18"/>
  <c r="K317" i="18"/>
  <c r="H317" i="18"/>
  <c r="G317" i="18"/>
  <c r="L420" i="18"/>
  <c r="K420" i="18"/>
  <c r="H420" i="18"/>
  <c r="G420" i="18"/>
  <c r="L358" i="18"/>
  <c r="K358" i="18"/>
  <c r="H358" i="18"/>
  <c r="G358" i="18"/>
  <c r="L124" i="18"/>
  <c r="K124" i="18"/>
  <c r="H124" i="18"/>
  <c r="G124" i="18"/>
  <c r="L55" i="18"/>
  <c r="K55" i="18"/>
  <c r="H55" i="18"/>
  <c r="G55" i="18"/>
  <c r="L442" i="18"/>
  <c r="K442" i="18"/>
  <c r="H442" i="18"/>
  <c r="G442" i="18"/>
  <c r="L318" i="18"/>
  <c r="K318" i="18"/>
  <c r="H318" i="18"/>
  <c r="G318" i="18"/>
  <c r="L134" i="18"/>
  <c r="K134" i="18"/>
  <c r="H134" i="18"/>
  <c r="G134" i="18"/>
  <c r="L397" i="18"/>
  <c r="K397" i="18"/>
  <c r="H397" i="18"/>
  <c r="G397" i="18"/>
  <c r="L135" i="18"/>
  <c r="K135" i="18"/>
  <c r="H135" i="18"/>
  <c r="G135" i="18"/>
  <c r="L70" i="18"/>
  <c r="K70" i="18"/>
  <c r="H70" i="18"/>
  <c r="G70" i="18"/>
  <c r="L107" i="18"/>
  <c r="K107" i="18"/>
  <c r="H107" i="18"/>
  <c r="G107" i="18"/>
  <c r="L72" i="18"/>
  <c r="K72" i="18"/>
  <c r="H72" i="18"/>
  <c r="G72" i="18"/>
  <c r="L152" i="18"/>
  <c r="K152" i="18"/>
  <c r="H152" i="18"/>
  <c r="G152" i="18"/>
  <c r="L384" i="18"/>
  <c r="K384" i="18"/>
  <c r="H384" i="18"/>
  <c r="G384" i="18"/>
  <c r="L163" i="18"/>
  <c r="K163" i="18"/>
  <c r="H163" i="18"/>
  <c r="G163" i="18"/>
  <c r="L177" i="18"/>
  <c r="K177" i="18"/>
  <c r="H177" i="18"/>
  <c r="G177" i="18"/>
  <c r="L331" i="18"/>
  <c r="K331" i="18"/>
  <c r="H331" i="18"/>
  <c r="G331" i="18"/>
  <c r="L211" i="18"/>
  <c r="K211" i="18"/>
  <c r="H211" i="18"/>
  <c r="G211" i="18"/>
  <c r="L332" i="18"/>
  <c r="K332" i="18"/>
  <c r="H332" i="18"/>
  <c r="G332" i="18"/>
  <c r="L219" i="18"/>
  <c r="K219" i="18"/>
  <c r="H219" i="18"/>
  <c r="G219" i="18"/>
  <c r="L432" i="18"/>
  <c r="K432" i="18"/>
  <c r="H432" i="18"/>
  <c r="G432" i="18"/>
  <c r="L277" i="18"/>
  <c r="K277" i="18"/>
  <c r="H277" i="18"/>
  <c r="G277" i="18"/>
  <c r="L344" i="18"/>
  <c r="K344" i="18"/>
  <c r="H344" i="18"/>
  <c r="G344" i="18"/>
  <c r="L86" i="18"/>
  <c r="K86" i="18"/>
  <c r="H86" i="18"/>
  <c r="G86" i="18"/>
  <c r="L361" i="18"/>
  <c r="K361" i="18"/>
  <c r="H361" i="18"/>
  <c r="G361" i="18"/>
  <c r="L297" i="18"/>
  <c r="K297" i="18"/>
  <c r="H297" i="18"/>
  <c r="G297" i="18"/>
  <c r="L431" i="18"/>
  <c r="K431" i="18"/>
  <c r="H431" i="18"/>
  <c r="G431" i="18"/>
  <c r="L103" i="18"/>
  <c r="K103" i="18"/>
  <c r="H103" i="18"/>
  <c r="G103" i="18"/>
  <c r="L226" i="18"/>
  <c r="K226" i="18"/>
  <c r="H226" i="18"/>
  <c r="G226" i="18"/>
  <c r="L256" i="18"/>
  <c r="K256" i="18"/>
  <c r="H256" i="18"/>
  <c r="G256" i="18"/>
  <c r="L221" i="18"/>
  <c r="K221" i="18"/>
  <c r="H221" i="18"/>
  <c r="G221" i="18"/>
  <c r="L121" i="18"/>
  <c r="K121" i="18"/>
  <c r="H121" i="18"/>
  <c r="G121" i="18"/>
  <c r="L255" i="18"/>
  <c r="K255" i="18"/>
  <c r="H255" i="18"/>
  <c r="G255" i="18"/>
  <c r="L378" i="18"/>
  <c r="K378" i="18"/>
  <c r="H378" i="18"/>
  <c r="G378" i="18"/>
  <c r="L89" i="18"/>
  <c r="K89" i="18"/>
  <c r="H89" i="18"/>
  <c r="G89" i="18"/>
  <c r="L348" i="18"/>
  <c r="K348" i="18"/>
  <c r="H348" i="18"/>
  <c r="G348" i="18"/>
  <c r="L346" i="18"/>
  <c r="K346" i="18"/>
  <c r="H346" i="18"/>
  <c r="G346" i="18"/>
  <c r="L85" i="18"/>
  <c r="K85" i="18"/>
  <c r="H85" i="18"/>
  <c r="G85" i="18"/>
  <c r="L122" i="18"/>
  <c r="K122" i="18"/>
  <c r="H122" i="18"/>
  <c r="G122" i="18"/>
  <c r="L133" i="18"/>
  <c r="K133" i="18"/>
  <c r="H133" i="18"/>
  <c r="G133" i="18"/>
  <c r="L284" i="18"/>
  <c r="K284" i="18"/>
  <c r="H284" i="18"/>
  <c r="G284" i="18"/>
  <c r="L356" i="18"/>
  <c r="K356" i="18"/>
  <c r="H356" i="18"/>
  <c r="G356" i="18"/>
  <c r="L199" i="18"/>
  <c r="K199" i="18"/>
  <c r="H199" i="18"/>
  <c r="G199" i="18"/>
  <c r="L178" i="18"/>
  <c r="K178" i="18"/>
  <c r="H178" i="18"/>
  <c r="G178" i="18"/>
  <c r="L295" i="18"/>
  <c r="K295" i="18"/>
  <c r="H295" i="18"/>
  <c r="G295" i="18"/>
  <c r="L429" i="18"/>
  <c r="K429" i="18"/>
  <c r="H429" i="18"/>
  <c r="G429" i="18"/>
  <c r="L423" i="18"/>
  <c r="K423" i="18"/>
  <c r="H423" i="18"/>
  <c r="G423" i="18"/>
  <c r="L196" i="18"/>
  <c r="K196" i="18"/>
  <c r="H196" i="18"/>
  <c r="G196" i="18"/>
  <c r="L415" i="18"/>
  <c r="K415" i="18"/>
  <c r="H415" i="18"/>
  <c r="G415" i="18"/>
  <c r="L153" i="18"/>
  <c r="K153" i="18"/>
  <c r="H153" i="18"/>
  <c r="G153" i="18"/>
  <c r="L373" i="18"/>
  <c r="K373" i="18"/>
  <c r="H373" i="18"/>
  <c r="G373" i="18"/>
  <c r="L304" i="18"/>
  <c r="K304" i="18"/>
  <c r="H304" i="18"/>
  <c r="G304" i="18"/>
  <c r="L80" i="18"/>
  <c r="K80" i="18"/>
  <c r="H80" i="18"/>
  <c r="G80" i="18"/>
  <c r="L62" i="18"/>
  <c r="K62" i="18"/>
  <c r="H62" i="18"/>
  <c r="G62" i="18"/>
  <c r="L189" i="18"/>
  <c r="K189" i="18"/>
  <c r="H189" i="18"/>
  <c r="G189" i="18"/>
  <c r="L245" i="18"/>
  <c r="K245" i="18"/>
  <c r="H245" i="18"/>
  <c r="G245" i="18"/>
  <c r="L162" i="18"/>
  <c r="K162" i="18"/>
  <c r="H162" i="18"/>
  <c r="G162" i="18"/>
  <c r="L95" i="18"/>
  <c r="K95" i="18"/>
  <c r="H95" i="18"/>
  <c r="G95" i="18"/>
  <c r="L265" i="18"/>
  <c r="K265" i="18"/>
  <c r="H265" i="18"/>
  <c r="G265" i="18"/>
  <c r="L65" i="18"/>
  <c r="K65" i="18"/>
  <c r="H65" i="18"/>
  <c r="G65" i="18"/>
  <c r="L286" i="18"/>
  <c r="K286" i="18"/>
  <c r="H286" i="18"/>
  <c r="G286" i="18"/>
  <c r="L417" i="18"/>
  <c r="K417" i="18"/>
  <c r="H417" i="18"/>
  <c r="G417" i="18"/>
  <c r="L227" i="18"/>
  <c r="K227" i="18"/>
  <c r="H227" i="18"/>
  <c r="G227" i="18"/>
  <c r="L399" i="18"/>
  <c r="K399" i="18"/>
  <c r="H399" i="18"/>
  <c r="G399" i="18"/>
  <c r="L270" i="18"/>
  <c r="K270" i="18"/>
  <c r="H270" i="18"/>
  <c r="G270" i="18"/>
  <c r="L298" i="18"/>
  <c r="K298" i="18"/>
  <c r="H298" i="18"/>
  <c r="G298" i="18"/>
  <c r="L266" i="18"/>
  <c r="K266" i="18"/>
  <c r="H266" i="18"/>
  <c r="G266" i="18"/>
  <c r="L338" i="18"/>
  <c r="K338" i="18"/>
  <c r="H338" i="18"/>
  <c r="G338" i="18"/>
  <c r="L262" i="18"/>
  <c r="K262" i="18"/>
  <c r="H262" i="18"/>
  <c r="G262" i="18"/>
  <c r="L232" i="18"/>
  <c r="K232" i="18"/>
  <c r="H232" i="18"/>
  <c r="G232" i="18"/>
  <c r="L125" i="18"/>
  <c r="K125" i="18"/>
  <c r="H125" i="18"/>
  <c r="G125" i="18"/>
  <c r="L167" i="18"/>
  <c r="K167" i="18"/>
  <c r="H167" i="18"/>
  <c r="G167" i="18"/>
  <c r="L105" i="18"/>
  <c r="K105" i="18"/>
  <c r="H105" i="18"/>
  <c r="G105" i="18"/>
  <c r="L438" i="18"/>
  <c r="K438" i="18"/>
  <c r="H438" i="18"/>
  <c r="G438" i="18"/>
  <c r="L330" i="18"/>
  <c r="K330" i="18"/>
  <c r="H330" i="18"/>
  <c r="G330" i="18"/>
  <c r="L222" i="18"/>
  <c r="K222" i="18"/>
  <c r="H222" i="18"/>
  <c r="G222" i="18"/>
  <c r="L205" i="18"/>
  <c r="K205" i="18"/>
  <c r="H205" i="18"/>
  <c r="G205" i="18"/>
  <c r="L229" i="18"/>
  <c r="K229" i="18"/>
  <c r="H229" i="18"/>
  <c r="G229" i="18"/>
  <c r="L96" i="18"/>
  <c r="K96" i="18"/>
  <c r="H96" i="18"/>
  <c r="G96" i="18"/>
  <c r="L305" i="18"/>
  <c r="K305" i="18"/>
  <c r="H305" i="18"/>
  <c r="G305" i="18"/>
  <c r="L186" i="18"/>
  <c r="K186" i="18"/>
  <c r="H186" i="18"/>
  <c r="G186" i="18"/>
  <c r="L102" i="18"/>
  <c r="K102" i="18"/>
  <c r="H102" i="18"/>
  <c r="G102" i="18"/>
  <c r="L355" i="18"/>
  <c r="K355" i="18"/>
  <c r="H355" i="18"/>
  <c r="G355" i="18"/>
  <c r="L313" i="18"/>
  <c r="K313" i="18"/>
  <c r="H313" i="18"/>
  <c r="G313" i="18"/>
  <c r="L64" i="18"/>
  <c r="K64" i="18"/>
  <c r="H64" i="18"/>
  <c r="G64" i="18"/>
  <c r="L114" i="18"/>
  <c r="K114" i="18"/>
  <c r="H114" i="18"/>
  <c r="G114" i="18"/>
  <c r="L97" i="18"/>
  <c r="K97" i="18"/>
  <c r="H97" i="18"/>
  <c r="G97" i="18"/>
  <c r="L448" i="18"/>
  <c r="K448" i="18"/>
  <c r="H448" i="18"/>
  <c r="G448" i="18"/>
  <c r="L319" i="18"/>
  <c r="K319" i="18"/>
  <c r="H319" i="18"/>
  <c r="G319" i="18"/>
  <c r="L108" i="18"/>
  <c r="K108" i="18"/>
  <c r="H108" i="18"/>
  <c r="G108" i="18"/>
  <c r="L444" i="18"/>
  <c r="K444" i="18"/>
  <c r="H444" i="18"/>
  <c r="G444" i="18"/>
  <c r="L392" i="18"/>
  <c r="K392" i="18"/>
  <c r="H392" i="18"/>
  <c r="G392" i="18"/>
  <c r="L112" i="18"/>
  <c r="K112" i="18"/>
  <c r="H112" i="18"/>
  <c r="G112" i="18"/>
  <c r="L366" i="18"/>
  <c r="K366" i="18"/>
  <c r="H366" i="18"/>
  <c r="G366" i="18"/>
  <c r="L120" i="18"/>
  <c r="K120" i="18"/>
  <c r="H120" i="18"/>
  <c r="G120" i="18"/>
  <c r="L290" i="18"/>
  <c r="K290" i="18"/>
  <c r="H290" i="18"/>
  <c r="G290" i="18"/>
  <c r="L411" i="18"/>
  <c r="K411" i="18"/>
  <c r="H411" i="18"/>
  <c r="G411" i="18"/>
  <c r="L430" i="18"/>
  <c r="K430" i="18"/>
  <c r="H430" i="18"/>
  <c r="G430" i="18"/>
  <c r="L337" i="18"/>
  <c r="K337" i="18"/>
  <c r="H337" i="18"/>
  <c r="G337" i="18"/>
  <c r="L383" i="18"/>
  <c r="K383" i="18"/>
  <c r="H383" i="18"/>
  <c r="G383" i="18"/>
  <c r="L322" i="18"/>
  <c r="K322" i="18"/>
  <c r="H322" i="18"/>
  <c r="G322" i="18"/>
  <c r="L353" i="18"/>
  <c r="K353" i="18"/>
  <c r="H353" i="18"/>
  <c r="G353" i="18"/>
  <c r="L272" i="18"/>
  <c r="K272" i="18"/>
  <c r="H272" i="18"/>
  <c r="G272" i="18"/>
  <c r="L393" i="18"/>
  <c r="K393" i="18"/>
  <c r="H393" i="18"/>
  <c r="G393" i="18"/>
  <c r="L5" i="18"/>
  <c r="K5" i="18"/>
  <c r="H5" i="18"/>
  <c r="G5" i="18"/>
  <c r="L7" i="18"/>
  <c r="K7" i="18"/>
  <c r="H7" i="18"/>
  <c r="G7" i="18"/>
  <c r="L49" i="18"/>
  <c r="K49" i="18"/>
  <c r="H49" i="18"/>
  <c r="G49" i="18"/>
  <c r="L50" i="18"/>
  <c r="K50" i="18"/>
  <c r="H50" i="18"/>
  <c r="G50" i="18"/>
  <c r="L33" i="18"/>
  <c r="K33" i="18"/>
  <c r="H33" i="18"/>
  <c r="G33" i="18"/>
  <c r="L42" i="18"/>
  <c r="K42" i="18"/>
  <c r="H42" i="18"/>
  <c r="G42" i="18"/>
  <c r="L51" i="18"/>
  <c r="K51" i="18"/>
  <c r="H51" i="18"/>
  <c r="G51" i="18"/>
  <c r="K328" i="18"/>
  <c r="L328" i="18" s="1"/>
  <c r="G328" i="18"/>
  <c r="H328" i="18" s="1"/>
  <c r="K274" i="18"/>
  <c r="L274" i="18" s="1"/>
  <c r="H274" i="18"/>
  <c r="G274" i="18"/>
  <c r="K212" i="18"/>
  <c r="L212" i="18" s="1"/>
  <c r="G212" i="18"/>
  <c r="H212" i="18" s="1"/>
  <c r="K149" i="18"/>
  <c r="L149" i="18" s="1"/>
  <c r="H149" i="18"/>
  <c r="G149" i="18"/>
  <c r="K248" i="18"/>
  <c r="L248" i="18" s="1"/>
  <c r="G248" i="18"/>
  <c r="H248" i="18" s="1"/>
  <c r="K148" i="18"/>
  <c r="L148" i="18" s="1"/>
  <c r="H148" i="18"/>
  <c r="G148" i="18"/>
  <c r="K287" i="18"/>
  <c r="L287" i="18" s="1"/>
  <c r="G287" i="18"/>
  <c r="H287" i="18" s="1"/>
  <c r="K301" i="18"/>
  <c r="L301" i="18" s="1"/>
  <c r="H301" i="18"/>
  <c r="G301" i="18"/>
  <c r="K412" i="18"/>
  <c r="L412" i="18" s="1"/>
  <c r="G412" i="18"/>
  <c r="H412" i="18" s="1"/>
  <c r="K243" i="18"/>
  <c r="L243" i="18" s="1"/>
  <c r="H243" i="18"/>
  <c r="G243" i="18"/>
  <c r="K208" i="18"/>
  <c r="L208" i="18" s="1"/>
  <c r="G208" i="18"/>
  <c r="H208" i="18" s="1"/>
  <c r="K68" i="18"/>
  <c r="L68" i="18" s="1"/>
  <c r="H68" i="18"/>
  <c r="G68" i="18"/>
  <c r="K170" i="18"/>
  <c r="L170" i="18" s="1"/>
  <c r="G170" i="18"/>
  <c r="H170" i="18" s="1"/>
  <c r="K453" i="18"/>
  <c r="L453" i="18" s="1"/>
  <c r="L456" i="18" s="1"/>
  <c r="H453" i="18"/>
  <c r="G453" i="18"/>
  <c r="F37" i="11" l="1"/>
  <c r="F16" i="11"/>
  <c r="F58" i="11"/>
  <c r="F35" i="11"/>
  <c r="F56" i="11"/>
  <c r="F26" i="11"/>
  <c r="F34" i="11"/>
  <c r="F54" i="11"/>
  <c r="H9" i="10"/>
  <c r="H5" i="8"/>
  <c r="H334" i="8"/>
  <c r="H8" i="8"/>
  <c r="H5" i="9"/>
  <c r="F76" i="11" s="1"/>
  <c r="H460" i="18"/>
  <c r="I460" i="18" s="1"/>
  <c r="L460" i="18"/>
  <c r="M460" i="18" s="1"/>
  <c r="H456" i="18"/>
  <c r="L484" i="18"/>
  <c r="M484" i="18" s="1"/>
  <c r="M456" i="18"/>
  <c r="F27" i="11" l="1"/>
  <c r="F70" i="11"/>
  <c r="F57" i="11"/>
  <c r="F62" i="11"/>
  <c r="F74" i="11"/>
  <c r="F77" i="11"/>
  <c r="F38" i="11"/>
  <c r="F79" i="11"/>
  <c r="F20" i="11"/>
  <c r="F19" i="11"/>
  <c r="F78" i="11"/>
  <c r="F51" i="11"/>
  <c r="F40" i="11"/>
  <c r="F53" i="11"/>
  <c r="F42" i="11"/>
  <c r="F36" i="11"/>
  <c r="F69" i="11"/>
  <c r="F64" i="11"/>
  <c r="F66" i="11"/>
  <c r="F67" i="11"/>
  <c r="F21" i="11"/>
  <c r="F12" i="11"/>
  <c r="F52" i="11"/>
  <c r="F28" i="11"/>
  <c r="F46" i="11"/>
  <c r="F14" i="11"/>
  <c r="F50" i="11"/>
  <c r="F71" i="11"/>
  <c r="F55" i="11"/>
  <c r="F60" i="11"/>
  <c r="F9" i="11"/>
  <c r="F45" i="11"/>
  <c r="F68" i="11"/>
  <c r="F15" i="11"/>
  <c r="F10" i="11"/>
  <c r="F47" i="11"/>
  <c r="F30" i="11"/>
  <c r="F23" i="11"/>
  <c r="F63" i="11"/>
  <c r="F32" i="11"/>
  <c r="F39" i="11"/>
  <c r="F75" i="11"/>
  <c r="F49" i="11"/>
  <c r="F29" i="11"/>
  <c r="F43" i="11"/>
  <c r="F33" i="11"/>
  <c r="F44" i="11"/>
  <c r="F61" i="11"/>
  <c r="H46" i="11"/>
  <c r="H62" i="11"/>
  <c r="E10" i="11"/>
  <c r="H40" i="11"/>
  <c r="H39" i="11"/>
  <c r="E38" i="11"/>
  <c r="E40" i="11"/>
  <c r="E39" i="11"/>
  <c r="E19" i="11"/>
  <c r="E64" i="11"/>
  <c r="E45" i="11"/>
  <c r="E28" i="11"/>
  <c r="E37" i="11"/>
  <c r="E29" i="11"/>
  <c r="E50" i="11"/>
  <c r="E74" i="11"/>
  <c r="E20" i="11"/>
  <c r="E57" i="11"/>
  <c r="E69" i="11"/>
  <c r="E67" i="11"/>
  <c r="E49" i="11"/>
  <c r="E44" i="11"/>
  <c r="E33" i="11"/>
  <c r="E42" i="11"/>
  <c r="E71" i="11"/>
  <c r="E68" i="11"/>
  <c r="E23" i="11"/>
  <c r="H28" i="11"/>
  <c r="E21" i="11"/>
  <c r="E51" i="11"/>
  <c r="E56" i="11"/>
  <c r="E52" i="11"/>
  <c r="E16" i="11"/>
  <c r="E58" i="11"/>
  <c r="E62" i="11"/>
  <c r="E60" i="11"/>
  <c r="E12" i="11"/>
  <c r="G12" i="11" s="1"/>
  <c r="E26" i="11"/>
  <c r="E61" i="11"/>
  <c r="E46" i="11"/>
  <c r="E70" i="11"/>
  <c r="E35" i="11"/>
  <c r="E55" i="11"/>
  <c r="E43" i="11"/>
  <c r="E9" i="11"/>
  <c r="E32" i="11"/>
  <c r="E27" i="11"/>
  <c r="E63" i="11"/>
  <c r="E53" i="11"/>
  <c r="E78" i="11"/>
  <c r="E15" i="11"/>
  <c r="E79" i="11"/>
  <c r="E76" i="11"/>
  <c r="E54" i="11"/>
  <c r="E36" i="11"/>
  <c r="E66" i="11"/>
  <c r="E77" i="11"/>
  <c r="E75" i="11"/>
  <c r="E47" i="11"/>
  <c r="E30" i="11"/>
  <c r="E34" i="11"/>
  <c r="H52" i="11"/>
  <c r="H55" i="11"/>
  <c r="H60" i="11"/>
  <c r="H10" i="11"/>
  <c r="H15" i="11"/>
  <c r="H53" i="11"/>
  <c r="H26" i="11"/>
  <c r="H71" i="11"/>
  <c r="H68" i="11"/>
  <c r="H9" i="11"/>
  <c r="H36" i="11"/>
  <c r="H69" i="11"/>
  <c r="H21" i="11"/>
  <c r="H43" i="11"/>
  <c r="H42" i="11"/>
  <c r="H12" i="11"/>
  <c r="H34" i="11"/>
  <c r="H51" i="11"/>
  <c r="H77" i="11"/>
  <c r="H33" i="11"/>
  <c r="H30" i="11"/>
  <c r="H54" i="11"/>
  <c r="H20" i="11"/>
  <c r="H29" i="11"/>
  <c r="H32" i="11"/>
  <c r="H76" i="11"/>
  <c r="H37" i="11"/>
  <c r="H38" i="11"/>
  <c r="H50" i="11"/>
  <c r="H27" i="11"/>
  <c r="H14" i="11"/>
  <c r="H16" i="11"/>
  <c r="H45" i="11"/>
  <c r="H19" i="11"/>
  <c r="H35" i="11"/>
  <c r="H56" i="11"/>
  <c r="H66" i="11"/>
  <c r="H61" i="11"/>
  <c r="H75" i="11"/>
  <c r="H58" i="11"/>
  <c r="H44" i="11"/>
  <c r="H70" i="11"/>
  <c r="H57" i="11"/>
  <c r="H47" i="11"/>
  <c r="H49" i="11"/>
  <c r="H63" i="11"/>
  <c r="H74" i="11"/>
  <c r="H67" i="11"/>
  <c r="H64" i="11"/>
  <c r="H78" i="11"/>
  <c r="H6" i="11"/>
  <c r="H7" i="11"/>
  <c r="H49" i="34"/>
  <c r="F32" i="34"/>
  <c r="P28" i="34" s="1"/>
  <c r="F60" i="34"/>
  <c r="P57" i="34" s="1"/>
  <c r="F9" i="34"/>
  <c r="P9" i="34" s="1"/>
  <c r="F28" i="34"/>
  <c r="P24" i="34" s="1"/>
  <c r="F39" i="34"/>
  <c r="P36" i="34" s="1"/>
  <c r="F54" i="34"/>
  <c r="P51" i="34" s="1"/>
  <c r="F73" i="34"/>
  <c r="F33" i="34"/>
  <c r="F59" i="34"/>
  <c r="F68" i="34"/>
  <c r="P65" i="34" s="1"/>
  <c r="F15" i="34"/>
  <c r="F36" i="34"/>
  <c r="P33" i="34" s="1"/>
  <c r="F53" i="34"/>
  <c r="P50" i="34" s="1"/>
  <c r="F74" i="34"/>
  <c r="P71" i="34" s="1"/>
  <c r="F12" i="34"/>
  <c r="P13" i="34" s="1"/>
  <c r="F41" i="34"/>
  <c r="P38" i="34" s="1"/>
  <c r="F62" i="34"/>
  <c r="P59" i="34" s="1"/>
  <c r="F14" i="34"/>
  <c r="P14" i="34" s="1"/>
  <c r="F30" i="34"/>
  <c r="P26" i="34" s="1"/>
  <c r="F48" i="34"/>
  <c r="P45" i="34" s="1"/>
  <c r="F56" i="34"/>
  <c r="P53" i="34" s="1"/>
  <c r="F75" i="34"/>
  <c r="P72" i="34" s="1"/>
  <c r="F10" i="34"/>
  <c r="F42" i="34"/>
  <c r="F61" i="34"/>
  <c r="P58" i="34" s="1"/>
  <c r="F27" i="34"/>
  <c r="P23" i="34" s="1"/>
  <c r="F38" i="34"/>
  <c r="P35" i="34" s="1"/>
  <c r="F55" i="34"/>
  <c r="P52" i="34" s="1"/>
  <c r="F76" i="34"/>
  <c r="P73" i="34" s="1"/>
  <c r="F19" i="34"/>
  <c r="P77" i="34" s="1"/>
  <c r="F43" i="34"/>
  <c r="P40" i="34" s="1"/>
  <c r="F67" i="34"/>
  <c r="P64" i="34" s="1"/>
  <c r="F16" i="34"/>
  <c r="P17" i="34" s="1"/>
  <c r="F35" i="34"/>
  <c r="P32" i="34" s="1"/>
  <c r="F50" i="34"/>
  <c r="F65" i="34"/>
  <c r="F77" i="34"/>
  <c r="P74" i="34" s="1"/>
  <c r="F20" i="34"/>
  <c r="P78" i="34" s="1"/>
  <c r="F44" i="34"/>
  <c r="P41" i="34" s="1"/>
  <c r="F63" i="34"/>
  <c r="P60" i="34" s="1"/>
  <c r="F29" i="34"/>
  <c r="P25" i="34" s="1"/>
  <c r="F49" i="34"/>
  <c r="F57" i="34"/>
  <c r="P54" i="34" s="1"/>
  <c r="F78" i="34"/>
  <c r="P75" i="34" s="1"/>
  <c r="F21" i="34"/>
  <c r="P79" i="34" s="1"/>
  <c r="F45" i="34"/>
  <c r="P42" i="34" s="1"/>
  <c r="F6" i="34"/>
  <c r="F26" i="34"/>
  <c r="F37" i="34"/>
  <c r="P34" i="34" s="1"/>
  <c r="F52" i="34"/>
  <c r="P49" i="34" s="1"/>
  <c r="F70" i="34"/>
  <c r="P67" i="34" s="1"/>
  <c r="F23" i="34"/>
  <c r="P19" i="34" s="1"/>
  <c r="F46" i="34"/>
  <c r="P43" i="34" s="1"/>
  <c r="F66" i="34"/>
  <c r="P63" i="34" s="1"/>
  <c r="F7" i="34"/>
  <c r="F34" i="34"/>
  <c r="F51" i="34"/>
  <c r="P48" i="34" s="1"/>
  <c r="F69" i="34"/>
  <c r="P66" i="34" s="1"/>
  <c r="H67" i="34"/>
  <c r="R64" i="34" s="1"/>
  <c r="H16" i="34"/>
  <c r="R17" i="34" s="1"/>
  <c r="H69" i="34"/>
  <c r="R66" i="34" s="1"/>
  <c r="H7" i="34"/>
  <c r="H12" i="34"/>
  <c r="R13" i="34" s="1"/>
  <c r="H54" i="34"/>
  <c r="R51" i="34" s="1"/>
  <c r="H36" i="34"/>
  <c r="R33" i="34" s="1"/>
  <c r="H48" i="34"/>
  <c r="R45" i="34" s="1"/>
  <c r="H21" i="34"/>
  <c r="R79" i="34" s="1"/>
  <c r="H29" i="34"/>
  <c r="R25" i="34" s="1"/>
  <c r="H74" i="34"/>
  <c r="R71" i="34" s="1"/>
  <c r="H35" i="34"/>
  <c r="R32" i="34" s="1"/>
  <c r="H20" i="34"/>
  <c r="R78" i="34" s="1"/>
  <c r="H38" i="34"/>
  <c r="R35" i="34" s="1"/>
  <c r="H32" i="34"/>
  <c r="R28" i="34" s="1"/>
  <c r="H28" i="34"/>
  <c r="R24" i="34" s="1"/>
  <c r="H62" i="34"/>
  <c r="R59" i="34" s="1"/>
  <c r="H30" i="34"/>
  <c r="R26" i="34" s="1"/>
  <c r="H75" i="34"/>
  <c r="R72" i="34" s="1"/>
  <c r="H6" i="34"/>
  <c r="H10" i="34"/>
  <c r="R10" i="34" s="1"/>
  <c r="H76" i="34"/>
  <c r="R73" i="34" s="1"/>
  <c r="H14" i="34"/>
  <c r="R14" i="34" s="1"/>
  <c r="H51" i="34"/>
  <c r="R48" i="34" s="1"/>
  <c r="H26" i="34"/>
  <c r="R22" i="34" s="1"/>
  <c r="H60" i="34"/>
  <c r="R57" i="34" s="1"/>
  <c r="H68" i="34"/>
  <c r="R65" i="34" s="1"/>
  <c r="H19" i="34"/>
  <c r="R77" i="34" s="1"/>
  <c r="H55" i="34"/>
  <c r="R52" i="34" s="1"/>
  <c r="H37" i="34"/>
  <c r="R34" i="34" s="1"/>
  <c r="H63" i="34"/>
  <c r="R60" i="34" s="1"/>
  <c r="H45" i="34"/>
  <c r="R42" i="34" s="1"/>
  <c r="H33" i="34"/>
  <c r="H77" i="34"/>
  <c r="R74" i="34" s="1"/>
  <c r="H15" i="34"/>
  <c r="H52" i="34"/>
  <c r="R49" i="34" s="1"/>
  <c r="H57" i="34"/>
  <c r="R54" i="34" s="1"/>
  <c r="H41" i="34"/>
  <c r="R38" i="34" s="1"/>
  <c r="H65" i="34"/>
  <c r="R62" i="34" s="1"/>
  <c r="H73" i="34"/>
  <c r="R70" i="34" s="1"/>
  <c r="H56" i="34"/>
  <c r="R53" i="34" s="1"/>
  <c r="H39" i="34"/>
  <c r="R36" i="34" s="1"/>
  <c r="H9" i="34"/>
  <c r="R9" i="34" s="1"/>
  <c r="H59" i="34"/>
  <c r="R56" i="34" s="1"/>
  <c r="H23" i="34"/>
  <c r="R19" i="34" s="1"/>
  <c r="H66" i="34"/>
  <c r="R63" i="34" s="1"/>
  <c r="H42" i="34"/>
  <c r="R39" i="34" s="1"/>
  <c r="H44" i="34"/>
  <c r="R41" i="34" s="1"/>
  <c r="H46" i="34"/>
  <c r="R43" i="34" s="1"/>
  <c r="H53" i="34"/>
  <c r="R50" i="34" s="1"/>
  <c r="H27" i="34"/>
  <c r="R23" i="34" s="1"/>
  <c r="H61" i="34"/>
  <c r="R58" i="34" s="1"/>
  <c r="H34" i="34"/>
  <c r="H50" i="34"/>
  <c r="H43" i="34"/>
  <c r="R40" i="34" s="1"/>
  <c r="H78" i="34"/>
  <c r="R75" i="34" s="1"/>
  <c r="E27" i="34"/>
  <c r="E39" i="34"/>
  <c r="E50" i="34"/>
  <c r="E69" i="34"/>
  <c r="E75" i="34"/>
  <c r="E16" i="34"/>
  <c r="E54" i="34"/>
  <c r="E66" i="34"/>
  <c r="E78" i="34"/>
  <c r="E19" i="34"/>
  <c r="E32" i="34"/>
  <c r="E45" i="34"/>
  <c r="E6" i="34"/>
  <c r="E48" i="34"/>
  <c r="E61" i="34"/>
  <c r="E28" i="34"/>
  <c r="E41" i="34"/>
  <c r="O38" i="34" s="1"/>
  <c r="E51" i="34"/>
  <c r="E70" i="34"/>
  <c r="E76" i="34"/>
  <c r="E29" i="34"/>
  <c r="E55" i="34"/>
  <c r="E67" i="34"/>
  <c r="E20" i="34"/>
  <c r="E33" i="34"/>
  <c r="E46" i="34"/>
  <c r="E7" i="34"/>
  <c r="E49" i="34"/>
  <c r="E62" i="34"/>
  <c r="E37" i="34"/>
  <c r="E42" i="34"/>
  <c r="E52" i="34"/>
  <c r="E73" i="34"/>
  <c r="O70" i="34" s="1"/>
  <c r="E14" i="34"/>
  <c r="E30" i="34"/>
  <c r="E56" i="34"/>
  <c r="E68" i="34"/>
  <c r="E21" i="34"/>
  <c r="E34" i="34"/>
  <c r="E65" i="34"/>
  <c r="O62" i="34" s="1"/>
  <c r="E9" i="34"/>
  <c r="E59" i="34"/>
  <c r="O56" i="34" s="1"/>
  <c r="E63" i="34"/>
  <c r="E26" i="34"/>
  <c r="O22" i="34" s="1"/>
  <c r="E38" i="34"/>
  <c r="E43" i="34"/>
  <c r="E53" i="34"/>
  <c r="E74" i="34"/>
  <c r="E15" i="34"/>
  <c r="O16" i="34" s="1"/>
  <c r="E44" i="34"/>
  <c r="E57" i="34"/>
  <c r="E77" i="34"/>
  <c r="E12" i="34"/>
  <c r="E23" i="34"/>
  <c r="E35" i="34"/>
  <c r="E36" i="34"/>
  <c r="E60" i="34"/>
  <c r="E7" i="11"/>
  <c r="E6" i="11"/>
  <c r="F7" i="11"/>
  <c r="F6" i="11"/>
  <c r="L465" i="18"/>
  <c r="M465" i="18" s="1"/>
  <c r="H484" i="18"/>
  <c r="I484" i="18" s="1"/>
  <c r="I456" i="18"/>
  <c r="H465" i="18"/>
  <c r="L469" i="18"/>
  <c r="G39" i="11" l="1"/>
  <c r="K39" i="11" s="1"/>
  <c r="G10" i="11"/>
  <c r="F41" i="11"/>
  <c r="F59" i="11"/>
  <c r="E25" i="11"/>
  <c r="I12" i="11"/>
  <c r="G49" i="11"/>
  <c r="I49" i="11" s="1"/>
  <c r="G33" i="34"/>
  <c r="I33" i="34" s="1"/>
  <c r="G78" i="11"/>
  <c r="K78" i="11" s="1"/>
  <c r="P27" i="34"/>
  <c r="G63" i="11"/>
  <c r="I63" i="11" s="1"/>
  <c r="H65" i="11"/>
  <c r="H17" i="11"/>
  <c r="H25" i="11"/>
  <c r="H41" i="11"/>
  <c r="H59" i="11"/>
  <c r="G50" i="34"/>
  <c r="K50" i="34" s="1"/>
  <c r="G49" i="34"/>
  <c r="I49" i="34" s="1"/>
  <c r="G36" i="11"/>
  <c r="K36" i="11" s="1"/>
  <c r="G6" i="34"/>
  <c r="I6" i="34" s="1"/>
  <c r="G46" i="11"/>
  <c r="I46" i="11" s="1"/>
  <c r="G26" i="11"/>
  <c r="K26" i="11" s="1"/>
  <c r="G55" i="11"/>
  <c r="K55" i="11" s="1"/>
  <c r="G42" i="11"/>
  <c r="K42" i="11" s="1"/>
  <c r="G15" i="11"/>
  <c r="I15" i="11" s="1"/>
  <c r="G66" i="11"/>
  <c r="I66" i="11" s="1"/>
  <c r="G74" i="11"/>
  <c r="K74" i="11" s="1"/>
  <c r="G60" i="11"/>
  <c r="K60" i="11" s="1"/>
  <c r="G71" i="11"/>
  <c r="I71" i="11" s="1"/>
  <c r="G37" i="11"/>
  <c r="I37" i="11" s="1"/>
  <c r="G23" i="11"/>
  <c r="K23" i="11" s="1"/>
  <c r="K22" i="11" s="1"/>
  <c r="G64" i="11"/>
  <c r="K64" i="11" s="1"/>
  <c r="G52" i="11"/>
  <c r="K52" i="11" s="1"/>
  <c r="G47" i="11"/>
  <c r="I47" i="11" s="1"/>
  <c r="G51" i="11"/>
  <c r="I51" i="11" s="1"/>
  <c r="G29" i="11"/>
  <c r="I29" i="11" s="1"/>
  <c r="G70" i="11"/>
  <c r="K70" i="11" s="1"/>
  <c r="G67" i="11"/>
  <c r="I67" i="11" s="1"/>
  <c r="G21" i="11"/>
  <c r="I21" i="11" s="1"/>
  <c r="G68" i="11"/>
  <c r="I68" i="11" s="1"/>
  <c r="G45" i="11"/>
  <c r="I45" i="11" s="1"/>
  <c r="G79" i="11"/>
  <c r="I79" i="11" s="1"/>
  <c r="G77" i="11"/>
  <c r="K77" i="11" s="1"/>
  <c r="G16" i="11"/>
  <c r="G20" i="11"/>
  <c r="K20" i="11" s="1"/>
  <c r="G58" i="11"/>
  <c r="I58" i="11" s="1"/>
  <c r="G19" i="11"/>
  <c r="I19" i="11" s="1"/>
  <c r="G56" i="11"/>
  <c r="K56" i="11" s="1"/>
  <c r="G32" i="11"/>
  <c r="I32" i="11" s="1"/>
  <c r="E65" i="11"/>
  <c r="G27" i="11"/>
  <c r="K27" i="11" s="1"/>
  <c r="G14" i="11"/>
  <c r="K14" i="11" s="1"/>
  <c r="G44" i="11"/>
  <c r="K44" i="11" s="1"/>
  <c r="G30" i="11"/>
  <c r="K30" i="11" s="1"/>
  <c r="G6" i="11"/>
  <c r="I6" i="11" s="1"/>
  <c r="G62" i="11"/>
  <c r="I62" i="11" s="1"/>
  <c r="G28" i="11"/>
  <c r="I28" i="11" s="1"/>
  <c r="G50" i="11"/>
  <c r="K50" i="11" s="1"/>
  <c r="G7" i="11"/>
  <c r="K7" i="11" s="1"/>
  <c r="E59" i="11"/>
  <c r="E73" i="11"/>
  <c r="G34" i="11"/>
  <c r="K34" i="11" s="1"/>
  <c r="G38" i="11"/>
  <c r="K38" i="11" s="1"/>
  <c r="G35" i="11"/>
  <c r="K35" i="11" s="1"/>
  <c r="G40" i="11"/>
  <c r="K40" i="11" s="1"/>
  <c r="G54" i="11"/>
  <c r="K54" i="11" s="1"/>
  <c r="G53" i="11"/>
  <c r="K53" i="11" s="1"/>
  <c r="G33" i="11"/>
  <c r="I33" i="11" s="1"/>
  <c r="G69" i="11"/>
  <c r="K69" i="11" s="1"/>
  <c r="G75" i="11"/>
  <c r="I75" i="11" s="1"/>
  <c r="K10" i="45"/>
  <c r="K77" i="45"/>
  <c r="K61" i="45"/>
  <c r="K74" i="45"/>
  <c r="K56" i="45"/>
  <c r="K37" i="45"/>
  <c r="K6" i="45"/>
  <c r="K12" i="45"/>
  <c r="K11" i="45" s="1"/>
  <c r="K75" i="45"/>
  <c r="K38" i="45"/>
  <c r="K50" i="45"/>
  <c r="K35" i="45"/>
  <c r="K16" i="45"/>
  <c r="K55" i="45"/>
  <c r="K36" i="45"/>
  <c r="K70" i="45"/>
  <c r="K52" i="45"/>
  <c r="K29" i="45"/>
  <c r="K9" i="45"/>
  <c r="K68" i="45"/>
  <c r="K57" i="45"/>
  <c r="K30" i="45"/>
  <c r="K76" i="45"/>
  <c r="K32" i="45"/>
  <c r="K69" i="45"/>
  <c r="K51" i="45"/>
  <c r="K33" i="45"/>
  <c r="K67" i="45"/>
  <c r="K48" i="45"/>
  <c r="K21" i="45"/>
  <c r="K34" i="45"/>
  <c r="K28" i="45"/>
  <c r="K53" i="45"/>
  <c r="K60" i="45"/>
  <c r="K27" i="45"/>
  <c r="K66" i="45"/>
  <c r="K78" i="45"/>
  <c r="K62" i="45"/>
  <c r="K14" i="45"/>
  <c r="K7" i="45"/>
  <c r="K20" i="45"/>
  <c r="K63" i="45"/>
  <c r="K49" i="45"/>
  <c r="K23" i="45"/>
  <c r="K22" i="45" s="1"/>
  <c r="K54" i="45"/>
  <c r="K39" i="45"/>
  <c r="K19" i="45"/>
  <c r="E17" i="11"/>
  <c r="G57" i="11"/>
  <c r="K57" i="11" s="1"/>
  <c r="G76" i="11"/>
  <c r="G61" i="11"/>
  <c r="K61" i="11" s="1"/>
  <c r="G34" i="34"/>
  <c r="K34" i="34" s="1"/>
  <c r="G9" i="11"/>
  <c r="I9" i="11" s="1"/>
  <c r="G7" i="34"/>
  <c r="I7" i="34" s="1"/>
  <c r="P22" i="34"/>
  <c r="F25" i="34"/>
  <c r="P21" i="34" s="1"/>
  <c r="G10" i="34"/>
  <c r="Q10" i="34" s="1"/>
  <c r="P10" i="34"/>
  <c r="F17" i="34"/>
  <c r="P15" i="34" s="1"/>
  <c r="P16" i="34"/>
  <c r="F64" i="34"/>
  <c r="P61" i="34" s="1"/>
  <c r="P62" i="34"/>
  <c r="F40" i="34"/>
  <c r="P37" i="34" s="1"/>
  <c r="P84" i="34" s="1"/>
  <c r="P39" i="34"/>
  <c r="P56" i="34"/>
  <c r="F58" i="34"/>
  <c r="P55" i="34" s="1"/>
  <c r="P85" i="34" s="1"/>
  <c r="P70" i="34"/>
  <c r="F72" i="34"/>
  <c r="E41" i="11"/>
  <c r="G60" i="34"/>
  <c r="Q57" i="34" s="1"/>
  <c r="O57" i="34"/>
  <c r="G77" i="34"/>
  <c r="Q74" i="34" s="1"/>
  <c r="O74" i="34"/>
  <c r="G43" i="34"/>
  <c r="Q40" i="34" s="1"/>
  <c r="O40" i="34"/>
  <c r="G56" i="34"/>
  <c r="Q53" i="34" s="1"/>
  <c r="O53" i="34"/>
  <c r="G37" i="34"/>
  <c r="Q34" i="34" s="1"/>
  <c r="O34" i="34"/>
  <c r="G62" i="34"/>
  <c r="Q59" i="34" s="1"/>
  <c r="O59" i="34"/>
  <c r="G51" i="34"/>
  <c r="Q48" i="34" s="1"/>
  <c r="O48" i="34"/>
  <c r="G54" i="34"/>
  <c r="Q51" i="34" s="1"/>
  <c r="O51" i="34"/>
  <c r="G75" i="34"/>
  <c r="Q72" i="34" s="1"/>
  <c r="O72" i="34"/>
  <c r="G36" i="34"/>
  <c r="Q33" i="34" s="1"/>
  <c r="O33" i="34"/>
  <c r="G35" i="34"/>
  <c r="Q32" i="34" s="1"/>
  <c r="O32" i="34"/>
  <c r="G57" i="34"/>
  <c r="Q54" i="34" s="1"/>
  <c r="O54" i="34"/>
  <c r="G38" i="34"/>
  <c r="Q35" i="34" s="1"/>
  <c r="O35" i="34"/>
  <c r="G21" i="34"/>
  <c r="Q79" i="34" s="1"/>
  <c r="O79" i="34"/>
  <c r="G46" i="34"/>
  <c r="Q43" i="34" s="1"/>
  <c r="O43" i="34"/>
  <c r="G67" i="34"/>
  <c r="Q64" i="34" s="1"/>
  <c r="O64" i="34"/>
  <c r="G19" i="34"/>
  <c r="Q77" i="34" s="1"/>
  <c r="O76" i="34"/>
  <c r="O77" i="34"/>
  <c r="G69" i="34"/>
  <c r="Q66" i="34" s="1"/>
  <c r="O66" i="34"/>
  <c r="G44" i="34"/>
  <c r="Q41" i="34" s="1"/>
  <c r="O41" i="34"/>
  <c r="G74" i="34"/>
  <c r="Q71" i="34" s="1"/>
  <c r="O71" i="34"/>
  <c r="G63" i="34"/>
  <c r="Q60" i="34" s="1"/>
  <c r="O60" i="34"/>
  <c r="G52" i="34"/>
  <c r="Q49" i="34" s="1"/>
  <c r="O49" i="34"/>
  <c r="G55" i="34"/>
  <c r="Q52" i="34" s="1"/>
  <c r="O52" i="34"/>
  <c r="G76" i="34"/>
  <c r="Q73" i="34" s="1"/>
  <c r="O73" i="34"/>
  <c r="G61" i="34"/>
  <c r="Q58" i="34" s="1"/>
  <c r="O58" i="34"/>
  <c r="G78" i="34"/>
  <c r="Q75" i="34" s="1"/>
  <c r="O75" i="34"/>
  <c r="G53" i="34"/>
  <c r="Q50" i="34" s="1"/>
  <c r="O50" i="34"/>
  <c r="G68" i="34"/>
  <c r="Q65" i="34" s="1"/>
  <c r="O65" i="34"/>
  <c r="G42" i="34"/>
  <c r="Q39" i="34" s="1"/>
  <c r="O39" i="34"/>
  <c r="G20" i="34"/>
  <c r="Q78" i="34" s="1"/>
  <c r="O78" i="34"/>
  <c r="G70" i="34"/>
  <c r="Q67" i="34" s="1"/>
  <c r="O67" i="34"/>
  <c r="G48" i="34"/>
  <c r="Q45" i="34" s="1"/>
  <c r="O45" i="34"/>
  <c r="G45" i="34"/>
  <c r="Q42" i="34" s="1"/>
  <c r="O42" i="34"/>
  <c r="G66" i="34"/>
  <c r="Q63" i="34" s="1"/>
  <c r="O63" i="34"/>
  <c r="G39" i="34"/>
  <c r="Q36" i="34" s="1"/>
  <c r="O36" i="34"/>
  <c r="G12" i="34"/>
  <c r="Q13" i="34" s="1"/>
  <c r="O13" i="34"/>
  <c r="G30" i="34"/>
  <c r="Q26" i="34" s="1"/>
  <c r="O26" i="34"/>
  <c r="G16" i="34"/>
  <c r="Q17" i="34" s="1"/>
  <c r="O17" i="34"/>
  <c r="G14" i="34"/>
  <c r="Q14" i="34" s="1"/>
  <c r="O14" i="34"/>
  <c r="G28" i="34"/>
  <c r="Q24" i="34" s="1"/>
  <c r="O24" i="34"/>
  <c r="H17" i="34"/>
  <c r="R15" i="34" s="1"/>
  <c r="R16" i="34"/>
  <c r="G29" i="34"/>
  <c r="Q25" i="34" s="1"/>
  <c r="O25" i="34"/>
  <c r="G23" i="34"/>
  <c r="Q19" i="34" s="1"/>
  <c r="O19" i="34"/>
  <c r="G9" i="34"/>
  <c r="Q9" i="34" s="1"/>
  <c r="O9" i="34"/>
  <c r="G32" i="34"/>
  <c r="Q28" i="34" s="1"/>
  <c r="O28" i="34"/>
  <c r="G27" i="34"/>
  <c r="Q23" i="34" s="1"/>
  <c r="O23" i="34"/>
  <c r="R27" i="34"/>
  <c r="H64" i="34"/>
  <c r="R61" i="34" s="1"/>
  <c r="H72" i="34"/>
  <c r="R69" i="34" s="1"/>
  <c r="H25" i="34"/>
  <c r="R21" i="34" s="1"/>
  <c r="H58" i="34"/>
  <c r="R55" i="34" s="1"/>
  <c r="R85" i="34" s="1"/>
  <c r="H40" i="34"/>
  <c r="R37" i="34" s="1"/>
  <c r="R84" i="34" s="1"/>
  <c r="G26" i="34"/>
  <c r="Q22" i="34" s="1"/>
  <c r="E25" i="34"/>
  <c r="O21" i="34" s="1"/>
  <c r="G73" i="34"/>
  <c r="Q70" i="34" s="1"/>
  <c r="E72" i="34"/>
  <c r="G41" i="34"/>
  <c r="Q38" i="34" s="1"/>
  <c r="E40" i="34"/>
  <c r="O37" i="34" s="1"/>
  <c r="G15" i="34"/>
  <c r="Q16" i="34" s="1"/>
  <c r="E17" i="34"/>
  <c r="O15" i="34" s="1"/>
  <c r="G59" i="34"/>
  <c r="Q56" i="34" s="1"/>
  <c r="E58" i="34"/>
  <c r="O55" i="34" s="1"/>
  <c r="O85" i="34" s="1"/>
  <c r="G65" i="34"/>
  <c r="Q62" i="34" s="1"/>
  <c r="E64" i="34"/>
  <c r="O61" i="34" s="1"/>
  <c r="H73" i="11"/>
  <c r="K12" i="11"/>
  <c r="K11" i="11" s="1"/>
  <c r="F25" i="11"/>
  <c r="F65" i="11"/>
  <c r="F73" i="11"/>
  <c r="K10" i="11"/>
  <c r="I10" i="11"/>
  <c r="F17" i="11"/>
  <c r="G43" i="11"/>
  <c r="I465" i="18"/>
  <c r="H476" i="18"/>
  <c r="I476" i="18" s="1"/>
  <c r="H469" i="18"/>
  <c r="I469" i="18" s="1"/>
  <c r="M469" i="18"/>
  <c r="L476" i="18"/>
  <c r="M476" i="18" s="1"/>
  <c r="L483" i="18"/>
  <c r="I39" i="11" l="1"/>
  <c r="K49" i="11"/>
  <c r="K33" i="34"/>
  <c r="I78" i="11"/>
  <c r="K63" i="11"/>
  <c r="H80" i="11"/>
  <c r="K49" i="34"/>
  <c r="I50" i="34"/>
  <c r="I26" i="11"/>
  <c r="I42" i="11"/>
  <c r="K46" i="11"/>
  <c r="K15" i="11"/>
  <c r="K6" i="34"/>
  <c r="I36" i="11"/>
  <c r="I55" i="11"/>
  <c r="G17" i="11"/>
  <c r="I74" i="11"/>
  <c r="K66" i="11"/>
  <c r="I60" i="11"/>
  <c r="K71" i="11"/>
  <c r="K37" i="11"/>
  <c r="I23" i="11"/>
  <c r="I64" i="11"/>
  <c r="I52" i="11"/>
  <c r="K47" i="11"/>
  <c r="K51" i="11"/>
  <c r="K29" i="11"/>
  <c r="K67" i="11"/>
  <c r="K21" i="11"/>
  <c r="I70" i="11"/>
  <c r="K79" i="11"/>
  <c r="K45" i="11"/>
  <c r="I20" i="11"/>
  <c r="K16" i="11"/>
  <c r="I16" i="11"/>
  <c r="I17" i="11" s="1"/>
  <c r="K68" i="11"/>
  <c r="K19" i="11"/>
  <c r="I57" i="11"/>
  <c r="I56" i="11"/>
  <c r="I77" i="11"/>
  <c r="K32" i="11"/>
  <c r="K33" i="11"/>
  <c r="I61" i="11"/>
  <c r="K58" i="11"/>
  <c r="I50" i="11"/>
  <c r="K6" i="11"/>
  <c r="I34" i="11"/>
  <c r="I44" i="11"/>
  <c r="I14" i="11"/>
  <c r="I27" i="11"/>
  <c r="I30" i="11"/>
  <c r="K69" i="34"/>
  <c r="U66" i="34" s="1"/>
  <c r="K75" i="11"/>
  <c r="G65" i="11"/>
  <c r="I53" i="11"/>
  <c r="K28" i="11"/>
  <c r="I7" i="11"/>
  <c r="I69" i="11"/>
  <c r="I35" i="11"/>
  <c r="K62" i="11"/>
  <c r="I54" i="11"/>
  <c r="G41" i="11"/>
  <c r="I38" i="11"/>
  <c r="G73" i="11"/>
  <c r="I40" i="11"/>
  <c r="G25" i="11"/>
  <c r="K8" i="45"/>
  <c r="K18" i="45"/>
  <c r="K40" i="45"/>
  <c r="K26" i="45"/>
  <c r="K25" i="45" s="1"/>
  <c r="K65" i="45"/>
  <c r="K64" i="45" s="1"/>
  <c r="K73" i="45"/>
  <c r="K72" i="45" s="1"/>
  <c r="K15" i="45"/>
  <c r="K17" i="45" s="1"/>
  <c r="K59" i="45"/>
  <c r="K58" i="45" s="1"/>
  <c r="G59" i="11"/>
  <c r="E80" i="11"/>
  <c r="I68" i="34"/>
  <c r="S65" i="34" s="1"/>
  <c r="K76" i="11"/>
  <c r="I76" i="11"/>
  <c r="I34" i="34"/>
  <c r="K10" i="34"/>
  <c r="U10" i="34" s="1"/>
  <c r="K9" i="11"/>
  <c r="K8" i="11" s="1"/>
  <c r="I10" i="34"/>
  <c r="S10" i="34" s="1"/>
  <c r="K36" i="34"/>
  <c r="U33" i="34" s="1"/>
  <c r="K7" i="34"/>
  <c r="I20" i="34"/>
  <c r="S78" i="34" s="1"/>
  <c r="K20" i="34"/>
  <c r="U78" i="34" s="1"/>
  <c r="K68" i="34"/>
  <c r="U65" i="34" s="1"/>
  <c r="K21" i="34"/>
  <c r="U79" i="34" s="1"/>
  <c r="K57" i="34"/>
  <c r="U54" i="34" s="1"/>
  <c r="I66" i="34"/>
  <c r="S63" i="34" s="1"/>
  <c r="I48" i="34"/>
  <c r="S45" i="34" s="1"/>
  <c r="K67" i="34"/>
  <c r="U64" i="34" s="1"/>
  <c r="K66" i="34"/>
  <c r="U63" i="34" s="1"/>
  <c r="K48" i="34"/>
  <c r="U45" i="34" s="1"/>
  <c r="I69" i="34"/>
  <c r="S66" i="34" s="1"/>
  <c r="K55" i="34"/>
  <c r="U52" i="34" s="1"/>
  <c r="I62" i="34"/>
  <c r="S59" i="34" s="1"/>
  <c r="I54" i="34"/>
  <c r="S51" i="34" s="1"/>
  <c r="K56" i="34"/>
  <c r="U53" i="34" s="1"/>
  <c r="K77" i="34"/>
  <c r="U74" i="34" s="1"/>
  <c r="I16" i="34"/>
  <c r="S17" i="34" s="1"/>
  <c r="I55" i="34"/>
  <c r="S52" i="34" s="1"/>
  <c r="K12" i="34"/>
  <c r="K11" i="34" s="1"/>
  <c r="I44" i="34"/>
  <c r="S41" i="34" s="1"/>
  <c r="K63" i="34"/>
  <c r="U60" i="34" s="1"/>
  <c r="K61" i="34"/>
  <c r="U58" i="34" s="1"/>
  <c r="I63" i="34"/>
  <c r="S60" i="34" s="1"/>
  <c r="K44" i="34"/>
  <c r="U41" i="34" s="1"/>
  <c r="I61" i="34"/>
  <c r="S58" i="34" s="1"/>
  <c r="I32" i="34"/>
  <c r="S28" i="34" s="1"/>
  <c r="K32" i="34"/>
  <c r="U28" i="34" s="1"/>
  <c r="K23" i="34"/>
  <c r="U19" i="34" s="1"/>
  <c r="K19" i="34"/>
  <c r="U77" i="34" s="1"/>
  <c r="I14" i="34"/>
  <c r="S14" i="34" s="1"/>
  <c r="I30" i="34"/>
  <c r="S26" i="34" s="1"/>
  <c r="K14" i="34"/>
  <c r="U14" i="34" s="1"/>
  <c r="K30" i="34"/>
  <c r="U26" i="34" s="1"/>
  <c r="I23" i="34"/>
  <c r="S19" i="34" s="1"/>
  <c r="I77" i="34"/>
  <c r="S74" i="34" s="1"/>
  <c r="K75" i="34"/>
  <c r="U72" i="34" s="1"/>
  <c r="K54" i="34"/>
  <c r="U51" i="34" s="1"/>
  <c r="I67" i="34"/>
  <c r="S64" i="34" s="1"/>
  <c r="I46" i="34"/>
  <c r="S43" i="34" s="1"/>
  <c r="I21" i="34"/>
  <c r="S79" i="34" s="1"/>
  <c r="I36" i="34"/>
  <c r="S33" i="34" s="1"/>
  <c r="K62" i="34"/>
  <c r="U59" i="34" s="1"/>
  <c r="I56" i="34"/>
  <c r="S53" i="34" s="1"/>
  <c r="I57" i="34"/>
  <c r="S54" i="34" s="1"/>
  <c r="K35" i="34"/>
  <c r="U32" i="34" s="1"/>
  <c r="Q27" i="34"/>
  <c r="K29" i="34"/>
  <c r="U25" i="34" s="1"/>
  <c r="K43" i="34"/>
  <c r="U40" i="34" s="1"/>
  <c r="K60" i="34"/>
  <c r="U57" i="34" s="1"/>
  <c r="I27" i="34"/>
  <c r="S23" i="34" s="1"/>
  <c r="K28" i="34"/>
  <c r="U24" i="34" s="1"/>
  <c r="I35" i="34"/>
  <c r="S32" i="34" s="1"/>
  <c r="K16" i="34"/>
  <c r="U17" i="34" s="1"/>
  <c r="I19" i="34"/>
  <c r="S77" i="34" s="1"/>
  <c r="I75" i="34"/>
  <c r="S72" i="34" s="1"/>
  <c r="I12" i="34"/>
  <c r="S13" i="34" s="1"/>
  <c r="K46" i="34"/>
  <c r="U43" i="34" s="1"/>
  <c r="I51" i="34"/>
  <c r="S48" i="34" s="1"/>
  <c r="K37" i="34"/>
  <c r="U34" i="34" s="1"/>
  <c r="I9" i="34"/>
  <c r="S9" i="34" s="1"/>
  <c r="I38" i="34"/>
  <c r="S35" i="34" s="1"/>
  <c r="I29" i="34"/>
  <c r="S25" i="34" s="1"/>
  <c r="I43" i="34"/>
  <c r="S40" i="34" s="1"/>
  <c r="I60" i="34"/>
  <c r="S57" i="34" s="1"/>
  <c r="K27" i="34"/>
  <c r="U23" i="34" s="1"/>
  <c r="I28" i="34"/>
  <c r="S24" i="34" s="1"/>
  <c r="K51" i="34"/>
  <c r="U48" i="34" s="1"/>
  <c r="I37" i="34"/>
  <c r="S34" i="34" s="1"/>
  <c r="K9" i="34"/>
  <c r="U9" i="34" s="1"/>
  <c r="K38" i="34"/>
  <c r="U35" i="34" s="1"/>
  <c r="K53" i="34"/>
  <c r="U50" i="34" s="1"/>
  <c r="I74" i="34"/>
  <c r="S71" i="34" s="1"/>
  <c r="I78" i="34"/>
  <c r="S75" i="34" s="1"/>
  <c r="I45" i="34"/>
  <c r="S42" i="34" s="1"/>
  <c r="P69" i="34"/>
  <c r="F79" i="34"/>
  <c r="P80" i="34" s="1"/>
  <c r="P83" i="34"/>
  <c r="I53" i="34"/>
  <c r="S50" i="34" s="1"/>
  <c r="K45" i="34"/>
  <c r="U42" i="34" s="1"/>
  <c r="K74" i="34"/>
  <c r="U71" i="34" s="1"/>
  <c r="I70" i="34"/>
  <c r="S67" i="34" s="1"/>
  <c r="I42" i="34"/>
  <c r="S39" i="34" s="1"/>
  <c r="I76" i="34"/>
  <c r="S73" i="34" s="1"/>
  <c r="I52" i="34"/>
  <c r="S49" i="34" s="1"/>
  <c r="I39" i="34"/>
  <c r="S36" i="34" s="1"/>
  <c r="O83" i="34"/>
  <c r="K78" i="34"/>
  <c r="U75" i="34" s="1"/>
  <c r="K70" i="34"/>
  <c r="U67" i="34" s="1"/>
  <c r="K42" i="34"/>
  <c r="U39" i="34" s="1"/>
  <c r="K76" i="34"/>
  <c r="U73" i="34" s="1"/>
  <c r="K52" i="34"/>
  <c r="U49" i="34" s="1"/>
  <c r="K39" i="34"/>
  <c r="U36" i="34" s="1"/>
  <c r="O27" i="34"/>
  <c r="O84" i="34"/>
  <c r="O69" i="34"/>
  <c r="E79" i="34"/>
  <c r="O80" i="34" s="1"/>
  <c r="R83" i="34"/>
  <c r="H79" i="34"/>
  <c r="R80" i="34" s="1"/>
  <c r="G64" i="34"/>
  <c r="Q61" i="34" s="1"/>
  <c r="K65" i="34"/>
  <c r="I65" i="34"/>
  <c r="I15" i="34"/>
  <c r="G17" i="34"/>
  <c r="Q15" i="34" s="1"/>
  <c r="K15" i="34"/>
  <c r="I73" i="34"/>
  <c r="G72" i="34"/>
  <c r="Q69" i="34" s="1"/>
  <c r="K73" i="34"/>
  <c r="G58" i="34"/>
  <c r="Q55" i="34" s="1"/>
  <c r="Q85" i="34" s="1"/>
  <c r="K59" i="34"/>
  <c r="I59" i="34"/>
  <c r="I41" i="34"/>
  <c r="G40" i="34"/>
  <c r="Q37" i="34" s="1"/>
  <c r="Q84" i="34" s="1"/>
  <c r="K41" i="34"/>
  <c r="G25" i="34"/>
  <c r="Q21" i="34" s="1"/>
  <c r="Q83" i="34" s="1"/>
  <c r="K26" i="34"/>
  <c r="I26" i="34"/>
  <c r="F80" i="11"/>
  <c r="K43" i="11"/>
  <c r="I43" i="11"/>
  <c r="L485" i="18"/>
  <c r="M485" i="18" s="1"/>
  <c r="M483" i="18"/>
  <c r="L486" i="18"/>
  <c r="M486" i="18" s="1"/>
  <c r="H483" i="18"/>
  <c r="K25" i="11" l="1"/>
  <c r="K59" i="11"/>
  <c r="K13" i="11"/>
  <c r="I59" i="11"/>
  <c r="K17" i="11"/>
  <c r="I65" i="11"/>
  <c r="K65" i="11"/>
  <c r="K18" i="11"/>
  <c r="I73" i="11"/>
  <c r="K41" i="11"/>
  <c r="K73" i="11"/>
  <c r="K72" i="11" s="1"/>
  <c r="I41" i="11"/>
  <c r="I25" i="11"/>
  <c r="G80" i="11"/>
  <c r="U8" i="34"/>
  <c r="K71" i="45"/>
  <c r="K79" i="45"/>
  <c r="K24" i="45"/>
  <c r="K13" i="45"/>
  <c r="K18" i="34"/>
  <c r="K22" i="34"/>
  <c r="U27" i="34"/>
  <c r="U13" i="34"/>
  <c r="K8" i="34"/>
  <c r="S27" i="34"/>
  <c r="I40" i="34"/>
  <c r="S37" i="34" s="1"/>
  <c r="S84" i="34" s="1"/>
  <c r="S38" i="34"/>
  <c r="K72" i="34"/>
  <c r="U69" i="34" s="1"/>
  <c r="U70" i="34"/>
  <c r="I64" i="34"/>
  <c r="S61" i="34" s="1"/>
  <c r="S62" i="34"/>
  <c r="K40" i="34"/>
  <c r="U37" i="34" s="1"/>
  <c r="U84" i="34" s="1"/>
  <c r="U38" i="34"/>
  <c r="I58" i="34"/>
  <c r="S55" i="34" s="1"/>
  <c r="S85" i="34" s="1"/>
  <c r="S56" i="34"/>
  <c r="K64" i="34"/>
  <c r="U61" i="34" s="1"/>
  <c r="U62" i="34"/>
  <c r="K58" i="34"/>
  <c r="U55" i="34" s="1"/>
  <c r="U85" i="34" s="1"/>
  <c r="U56" i="34"/>
  <c r="I72" i="34"/>
  <c r="S69" i="34" s="1"/>
  <c r="S70" i="34"/>
  <c r="K17" i="34"/>
  <c r="U15" i="34" s="1"/>
  <c r="U16" i="34"/>
  <c r="I17" i="34"/>
  <c r="S15" i="34" s="1"/>
  <c r="S16" i="34"/>
  <c r="U18" i="34"/>
  <c r="K25" i="34"/>
  <c r="U21" i="34" s="1"/>
  <c r="U22" i="34"/>
  <c r="I25" i="34"/>
  <c r="S21" i="34" s="1"/>
  <c r="S22" i="34"/>
  <c r="K13" i="34"/>
  <c r="G79" i="34"/>
  <c r="Q80" i="34" s="1"/>
  <c r="H486" i="18"/>
  <c r="I486" i="18" s="1"/>
  <c r="H485" i="18"/>
  <c r="I485" i="18" s="1"/>
  <c r="I483" i="18"/>
  <c r="I80" i="11" l="1"/>
  <c r="K24" i="11"/>
  <c r="K80" i="11"/>
  <c r="U11" i="34"/>
  <c r="K79" i="34"/>
  <c r="U80" i="34" s="1"/>
  <c r="K71" i="34"/>
  <c r="U83" i="34"/>
  <c r="I79" i="34"/>
  <c r="S80" i="34" s="1"/>
  <c r="S83" i="34"/>
  <c r="K24" i="34"/>
  <c r="H69" i="7" l="1"/>
  <c r="H68" i="7"/>
  <c r="H67" i="7"/>
  <c r="H66" i="7"/>
  <c r="H65" i="7"/>
  <c r="H64" i="7"/>
  <c r="H61" i="7"/>
  <c r="H60" i="7"/>
  <c r="H59" i="7"/>
  <c r="H58" i="7"/>
  <c r="H57" i="7"/>
  <c r="H54" i="7"/>
  <c r="H55" i="7"/>
  <c r="H53" i="7"/>
  <c r="H52" i="7"/>
  <c r="H51" i="7"/>
  <c r="H48" i="7"/>
  <c r="H49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22" i="7"/>
  <c r="H23" i="7"/>
  <c r="H24" i="7"/>
  <c r="H25" i="7"/>
  <c r="H26" i="7"/>
  <c r="H27" i="7"/>
  <c r="H28" i="7"/>
  <c r="H29" i="7"/>
  <c r="H30" i="7"/>
  <c r="H31" i="7"/>
  <c r="H32" i="7"/>
  <c r="H21" i="7"/>
  <c r="H20" i="7"/>
  <c r="H19" i="7"/>
  <c r="H17" i="7"/>
  <c r="H16" i="7"/>
  <c r="H15" i="7"/>
  <c r="H7" i="7"/>
  <c r="H8" i="7"/>
  <c r="H9" i="7"/>
  <c r="H10" i="7"/>
  <c r="H11" i="7"/>
  <c r="H12" i="7"/>
  <c r="H13" i="7"/>
  <c r="H6" i="7"/>
  <c r="F69" i="7"/>
  <c r="F68" i="7"/>
  <c r="F67" i="7"/>
  <c r="F66" i="7"/>
  <c r="F65" i="7"/>
  <c r="F64" i="7"/>
  <c r="F62" i="7"/>
  <c r="F61" i="7"/>
  <c r="F60" i="7"/>
  <c r="F59" i="7"/>
  <c r="F58" i="7"/>
  <c r="F57" i="7"/>
  <c r="F55" i="7"/>
  <c r="F54" i="7"/>
  <c r="F53" i="7"/>
  <c r="F52" i="7"/>
  <c r="F51" i="7"/>
  <c r="F48" i="7"/>
  <c r="F49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22" i="7"/>
  <c r="F23" i="7"/>
  <c r="F24" i="7"/>
  <c r="F25" i="7"/>
  <c r="F26" i="7"/>
  <c r="F27" i="7"/>
  <c r="F28" i="7"/>
  <c r="F29" i="7"/>
  <c r="F30" i="7"/>
  <c r="F31" i="7"/>
  <c r="F32" i="7"/>
  <c r="F21" i="7"/>
  <c r="F20" i="7"/>
  <c r="F19" i="7"/>
  <c r="F16" i="7"/>
  <c r="F17" i="7"/>
  <c r="F15" i="7"/>
  <c r="F7" i="7"/>
  <c r="F8" i="7"/>
  <c r="F9" i="7"/>
  <c r="F10" i="7"/>
  <c r="F11" i="7"/>
  <c r="F12" i="7"/>
  <c r="F13" i="7"/>
  <c r="F6" i="7"/>
  <c r="E61" i="7"/>
  <c r="E58" i="7"/>
  <c r="G58" i="7" s="1"/>
  <c r="J70" i="7"/>
  <c r="D69" i="7"/>
  <c r="D68" i="7"/>
  <c r="D67" i="7"/>
  <c r="D66" i="7"/>
  <c r="D65" i="7"/>
  <c r="D64" i="7"/>
  <c r="J63" i="7"/>
  <c r="H62" i="7"/>
  <c r="D62" i="7"/>
  <c r="D60" i="7"/>
  <c r="D59" i="7"/>
  <c r="D57" i="7"/>
  <c r="J56" i="7"/>
  <c r="D55" i="7"/>
  <c r="D54" i="7"/>
  <c r="D53" i="7"/>
  <c r="D52" i="7"/>
  <c r="D51" i="7"/>
  <c r="J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J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J18" i="7"/>
  <c r="D17" i="7"/>
  <c r="D16" i="7"/>
  <c r="D15" i="7"/>
  <c r="J14" i="7"/>
  <c r="J71" i="7" s="1"/>
  <c r="D13" i="7"/>
  <c r="D12" i="7"/>
  <c r="D10" i="7"/>
  <c r="D9" i="7"/>
  <c r="D8" i="7"/>
  <c r="D7" i="7"/>
  <c r="D6" i="7"/>
  <c r="E44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I58" i="7" l="1"/>
  <c r="H14" i="7"/>
  <c r="H70" i="7"/>
  <c r="H63" i="7"/>
  <c r="K58" i="7"/>
  <c r="H50" i="7"/>
  <c r="G61" i="7"/>
  <c r="F56" i="7"/>
  <c r="F33" i="7"/>
  <c r="F18" i="7"/>
  <c r="H18" i="7"/>
  <c r="F70" i="7"/>
  <c r="F14" i="7"/>
  <c r="H33" i="7"/>
  <c r="F50" i="7"/>
  <c r="H56" i="7"/>
  <c r="E12" i="7"/>
  <c r="E8" i="7"/>
  <c r="G8" i="7" s="1"/>
  <c r="E27" i="7"/>
  <c r="G27" i="7" s="1"/>
  <c r="E23" i="7"/>
  <c r="G23" i="7" s="1"/>
  <c r="E32" i="7"/>
  <c r="G32" i="7" s="1"/>
  <c r="E28" i="7"/>
  <c r="G28" i="7" s="1"/>
  <c r="E42" i="7"/>
  <c r="G42" i="7" s="1"/>
  <c r="E38" i="7"/>
  <c r="G38" i="7" s="1"/>
  <c r="E49" i="7"/>
  <c r="G49" i="7" s="1"/>
  <c r="E45" i="7"/>
  <c r="G45" i="7" s="1"/>
  <c r="E53" i="7"/>
  <c r="G53" i="7" s="1"/>
  <c r="E62" i="7"/>
  <c r="G62" i="7" s="1"/>
  <c r="E66" i="7"/>
  <c r="G66" i="7" s="1"/>
  <c r="E11" i="7"/>
  <c r="G11" i="7" s="1"/>
  <c r="E7" i="7"/>
  <c r="G7" i="7" s="1"/>
  <c r="E26" i="7"/>
  <c r="G26" i="7" s="1"/>
  <c r="E22" i="7"/>
  <c r="G22" i="7" s="1"/>
  <c r="E31" i="7"/>
  <c r="G31" i="7" s="1"/>
  <c r="E34" i="7"/>
  <c r="G34" i="7" s="1"/>
  <c r="E41" i="7"/>
  <c r="G41" i="7" s="1"/>
  <c r="E37" i="7"/>
  <c r="G37" i="7" s="1"/>
  <c r="E48" i="7"/>
  <c r="G48" i="7" s="1"/>
  <c r="E51" i="7"/>
  <c r="G51" i="7" s="1"/>
  <c r="I51" i="7" s="1"/>
  <c r="E52" i="7"/>
  <c r="G52" i="7" s="1"/>
  <c r="E60" i="7"/>
  <c r="G60" i="7" s="1"/>
  <c r="E69" i="7"/>
  <c r="G69" i="7" s="1"/>
  <c r="E10" i="7"/>
  <c r="G10" i="7" s="1"/>
  <c r="E6" i="7"/>
  <c r="G6" i="7" s="1"/>
  <c r="E25" i="7"/>
  <c r="G25" i="7" s="1"/>
  <c r="E21" i="7"/>
  <c r="G21" i="7" s="1"/>
  <c r="E30" i="7"/>
  <c r="G30" i="7" s="1"/>
  <c r="E44" i="7"/>
  <c r="G44" i="7" s="1"/>
  <c r="E40" i="7"/>
  <c r="G40" i="7" s="1"/>
  <c r="E36" i="7"/>
  <c r="G36" i="7" s="1"/>
  <c r="E47" i="7"/>
  <c r="G47" i="7" s="1"/>
  <c r="E55" i="7"/>
  <c r="G55" i="7" s="1"/>
  <c r="E57" i="7"/>
  <c r="G57" i="7" s="1"/>
  <c r="E64" i="7"/>
  <c r="G64" i="7" s="1"/>
  <c r="E68" i="7"/>
  <c r="G68" i="7" s="1"/>
  <c r="E13" i="7"/>
  <c r="E9" i="7"/>
  <c r="G9" i="7" s="1"/>
  <c r="E19" i="7"/>
  <c r="G19" i="7" s="1"/>
  <c r="E24" i="7"/>
  <c r="G24" i="7" s="1"/>
  <c r="E20" i="7"/>
  <c r="G20" i="7" s="1"/>
  <c r="I20" i="7" s="1"/>
  <c r="E29" i="7"/>
  <c r="G29" i="7" s="1"/>
  <c r="E43" i="7"/>
  <c r="G43" i="7" s="1"/>
  <c r="E39" i="7"/>
  <c r="G39" i="7" s="1"/>
  <c r="E35" i="7"/>
  <c r="G35" i="7" s="1"/>
  <c r="E46" i="7"/>
  <c r="G46" i="7" s="1"/>
  <c r="E54" i="7"/>
  <c r="G54" i="7" s="1"/>
  <c r="E59" i="7"/>
  <c r="G59" i="7" s="1"/>
  <c r="E65" i="7"/>
  <c r="G65" i="7" s="1"/>
  <c r="E67" i="7"/>
  <c r="G67" i="7" s="1"/>
  <c r="E17" i="7"/>
  <c r="G17" i="7" s="1"/>
  <c r="E15" i="7"/>
  <c r="G15" i="7" s="1"/>
  <c r="E16" i="7"/>
  <c r="G16" i="7" s="1"/>
  <c r="F63" i="7"/>
  <c r="H12" i="2"/>
  <c r="L571" i="1"/>
  <c r="K571" i="1"/>
  <c r="G571" i="1"/>
  <c r="H571" i="1" s="1"/>
  <c r="L570" i="1"/>
  <c r="K570" i="1"/>
  <c r="G570" i="1"/>
  <c r="H570" i="1" s="1"/>
  <c r="L569" i="1"/>
  <c r="K569" i="1"/>
  <c r="G569" i="1"/>
  <c r="H569" i="1" s="1"/>
  <c r="L568" i="1"/>
  <c r="K568" i="1"/>
  <c r="G568" i="1"/>
  <c r="H568" i="1" s="1"/>
  <c r="L567" i="1"/>
  <c r="K567" i="1"/>
  <c r="G567" i="1"/>
  <c r="H567" i="1" s="1"/>
  <c r="L566" i="1"/>
  <c r="K566" i="1"/>
  <c r="G566" i="1"/>
  <c r="H566" i="1" s="1"/>
  <c r="L565" i="1"/>
  <c r="K565" i="1"/>
  <c r="G565" i="1"/>
  <c r="H565" i="1" s="1"/>
  <c r="L564" i="1"/>
  <c r="K564" i="1"/>
  <c r="G564" i="1"/>
  <c r="H564" i="1" s="1"/>
  <c r="L563" i="1"/>
  <c r="K563" i="1"/>
  <c r="G563" i="1"/>
  <c r="H563" i="1" s="1"/>
  <c r="L562" i="1"/>
  <c r="K562" i="1"/>
  <c r="G562" i="1"/>
  <c r="H562" i="1" s="1"/>
  <c r="L561" i="1"/>
  <c r="K561" i="1"/>
  <c r="G561" i="1"/>
  <c r="H561" i="1" s="1"/>
  <c r="L560" i="1"/>
  <c r="K560" i="1"/>
  <c r="G560" i="1"/>
  <c r="H560" i="1" s="1"/>
  <c r="L559" i="1"/>
  <c r="K559" i="1"/>
  <c r="G559" i="1"/>
  <c r="H559" i="1" s="1"/>
  <c r="L558" i="1"/>
  <c r="K558" i="1"/>
  <c r="G558" i="1"/>
  <c r="H558" i="1" s="1"/>
  <c r="L557" i="1"/>
  <c r="K557" i="1"/>
  <c r="G557" i="1"/>
  <c r="H557" i="1" s="1"/>
  <c r="L556" i="1"/>
  <c r="K556" i="1"/>
  <c r="G556" i="1"/>
  <c r="H556" i="1" s="1"/>
  <c r="L555" i="1"/>
  <c r="K555" i="1"/>
  <c r="G555" i="1"/>
  <c r="H555" i="1" s="1"/>
  <c r="L554" i="1"/>
  <c r="K554" i="1"/>
  <c r="G554" i="1"/>
  <c r="H554" i="1" s="1"/>
  <c r="L553" i="1"/>
  <c r="K553" i="1"/>
  <c r="G553" i="1"/>
  <c r="H553" i="1" s="1"/>
  <c r="L552" i="1"/>
  <c r="K552" i="1"/>
  <c r="G552" i="1"/>
  <c r="H552" i="1" s="1"/>
  <c r="L551" i="1"/>
  <c r="K551" i="1"/>
  <c r="G551" i="1"/>
  <c r="H551" i="1" s="1"/>
  <c r="L550" i="1"/>
  <c r="K550" i="1"/>
  <c r="G550" i="1"/>
  <c r="H550" i="1" s="1"/>
  <c r="L549" i="1"/>
  <c r="K549" i="1"/>
  <c r="G549" i="1"/>
  <c r="H549" i="1" s="1"/>
  <c r="L548" i="1"/>
  <c r="K548" i="1"/>
  <c r="G548" i="1"/>
  <c r="H548" i="1" s="1"/>
  <c r="L547" i="1"/>
  <c r="K547" i="1"/>
  <c r="G547" i="1"/>
  <c r="H547" i="1" s="1"/>
  <c r="L546" i="1"/>
  <c r="K546" i="1"/>
  <c r="G546" i="1"/>
  <c r="H546" i="1" s="1"/>
  <c r="L545" i="1"/>
  <c r="K545" i="1"/>
  <c r="G545" i="1"/>
  <c r="H545" i="1" s="1"/>
  <c r="L544" i="1"/>
  <c r="K544" i="1"/>
  <c r="G544" i="1"/>
  <c r="H544" i="1" s="1"/>
  <c r="L543" i="1"/>
  <c r="K543" i="1"/>
  <c r="G543" i="1"/>
  <c r="H543" i="1" s="1"/>
  <c r="L538" i="1"/>
  <c r="K538" i="1"/>
  <c r="G538" i="1"/>
  <c r="H538" i="1" s="1"/>
  <c r="L537" i="1"/>
  <c r="K537" i="1"/>
  <c r="G537" i="1"/>
  <c r="H537" i="1" s="1"/>
  <c r="L536" i="1"/>
  <c r="K536" i="1"/>
  <c r="G536" i="1"/>
  <c r="H536" i="1" s="1"/>
  <c r="L535" i="1"/>
  <c r="K535" i="1"/>
  <c r="G535" i="1"/>
  <c r="H535" i="1" s="1"/>
  <c r="L534" i="1"/>
  <c r="K534" i="1"/>
  <c r="G534" i="1"/>
  <c r="H534" i="1" s="1"/>
  <c r="L533" i="1"/>
  <c r="K533" i="1"/>
  <c r="G533" i="1"/>
  <c r="H533" i="1" s="1"/>
  <c r="L532" i="1"/>
  <c r="K532" i="1"/>
  <c r="G532" i="1"/>
  <c r="H532" i="1" s="1"/>
  <c r="L531" i="1"/>
  <c r="K531" i="1"/>
  <c r="G531" i="1"/>
  <c r="H531" i="1" s="1"/>
  <c r="L530" i="1"/>
  <c r="K530" i="1"/>
  <c r="G530" i="1"/>
  <c r="H530" i="1" s="1"/>
  <c r="L529" i="1"/>
  <c r="K529" i="1"/>
  <c r="G529" i="1"/>
  <c r="H529" i="1" s="1"/>
  <c r="L528" i="1"/>
  <c r="K528" i="1"/>
  <c r="G528" i="1"/>
  <c r="H528" i="1" s="1"/>
  <c r="L527" i="1"/>
  <c r="K527" i="1"/>
  <c r="G527" i="1"/>
  <c r="H527" i="1" s="1"/>
  <c r="L526" i="1"/>
  <c r="K526" i="1"/>
  <c r="G526" i="1"/>
  <c r="H526" i="1" s="1"/>
  <c r="L525" i="1"/>
  <c r="K525" i="1"/>
  <c r="G525" i="1"/>
  <c r="H525" i="1" s="1"/>
  <c r="L524" i="1"/>
  <c r="K524" i="1"/>
  <c r="G524" i="1"/>
  <c r="H524" i="1" s="1"/>
  <c r="L523" i="1"/>
  <c r="K523" i="1"/>
  <c r="G523" i="1"/>
  <c r="H523" i="1" s="1"/>
  <c r="L521" i="1"/>
  <c r="K521" i="1"/>
  <c r="G521" i="1"/>
  <c r="H521" i="1" s="1"/>
  <c r="L520" i="1"/>
  <c r="K520" i="1"/>
  <c r="G520" i="1"/>
  <c r="H520" i="1" s="1"/>
  <c r="L519" i="1"/>
  <c r="K519" i="1"/>
  <c r="G519" i="1"/>
  <c r="H519" i="1" s="1"/>
  <c r="L518" i="1"/>
  <c r="K518" i="1"/>
  <c r="G518" i="1"/>
  <c r="H518" i="1" s="1"/>
  <c r="L517" i="1"/>
  <c r="K517" i="1"/>
  <c r="G517" i="1"/>
  <c r="H517" i="1" s="1"/>
  <c r="L516" i="1"/>
  <c r="K516" i="1"/>
  <c r="G516" i="1"/>
  <c r="H516" i="1" s="1"/>
  <c r="L515" i="1"/>
  <c r="K515" i="1"/>
  <c r="G515" i="1"/>
  <c r="H515" i="1" s="1"/>
  <c r="L514" i="1"/>
  <c r="K514" i="1"/>
  <c r="G514" i="1"/>
  <c r="H514" i="1" s="1"/>
  <c r="L513" i="1"/>
  <c r="K513" i="1"/>
  <c r="G513" i="1"/>
  <c r="H513" i="1" s="1"/>
  <c r="L512" i="1"/>
  <c r="K512" i="1"/>
  <c r="G512" i="1"/>
  <c r="H512" i="1" s="1"/>
  <c r="L511" i="1"/>
  <c r="K511" i="1"/>
  <c r="G511" i="1"/>
  <c r="H511" i="1" s="1"/>
  <c r="L510" i="1"/>
  <c r="K510" i="1"/>
  <c r="G510" i="1"/>
  <c r="H510" i="1" s="1"/>
  <c r="L509" i="1"/>
  <c r="K509" i="1"/>
  <c r="G509" i="1"/>
  <c r="H509" i="1" s="1"/>
  <c r="L508" i="1"/>
  <c r="K508" i="1"/>
  <c r="G508" i="1"/>
  <c r="H508" i="1" s="1"/>
  <c r="L507" i="1"/>
  <c r="K507" i="1"/>
  <c r="G507" i="1"/>
  <c r="H507" i="1" s="1"/>
  <c r="L506" i="1"/>
  <c r="K506" i="1"/>
  <c r="G506" i="1"/>
  <c r="H506" i="1" s="1"/>
  <c r="L505" i="1"/>
  <c r="K505" i="1"/>
  <c r="G505" i="1"/>
  <c r="H505" i="1" s="1"/>
  <c r="L504" i="1"/>
  <c r="K504" i="1"/>
  <c r="G504" i="1"/>
  <c r="H504" i="1" s="1"/>
  <c r="L503" i="1"/>
  <c r="K503" i="1"/>
  <c r="G503" i="1"/>
  <c r="H503" i="1" s="1"/>
  <c r="L502" i="1"/>
  <c r="K502" i="1"/>
  <c r="G502" i="1"/>
  <c r="H502" i="1" s="1"/>
  <c r="L501" i="1"/>
  <c r="K501" i="1"/>
  <c r="G501" i="1"/>
  <c r="H501" i="1" s="1"/>
  <c r="L500" i="1"/>
  <c r="K500" i="1"/>
  <c r="G500" i="1"/>
  <c r="H500" i="1" s="1"/>
  <c r="L499" i="1"/>
  <c r="K499" i="1"/>
  <c r="G499" i="1"/>
  <c r="H499" i="1" s="1"/>
  <c r="L498" i="1"/>
  <c r="K498" i="1"/>
  <c r="G498" i="1"/>
  <c r="H498" i="1" s="1"/>
  <c r="L497" i="1"/>
  <c r="K497" i="1"/>
  <c r="G497" i="1"/>
  <c r="H497" i="1" s="1"/>
  <c r="L496" i="1"/>
  <c r="K496" i="1"/>
  <c r="G496" i="1"/>
  <c r="H496" i="1" s="1"/>
  <c r="L495" i="1"/>
  <c r="K495" i="1"/>
  <c r="G495" i="1"/>
  <c r="H495" i="1" s="1"/>
  <c r="L494" i="1"/>
  <c r="K494" i="1"/>
  <c r="G494" i="1"/>
  <c r="H494" i="1" s="1"/>
  <c r="A487" i="1"/>
  <c r="A486" i="1"/>
  <c r="A485" i="1"/>
  <c r="L481" i="1"/>
  <c r="K481" i="1"/>
  <c r="H481" i="1"/>
  <c r="G481" i="1"/>
  <c r="L480" i="1"/>
  <c r="K480" i="1"/>
  <c r="H480" i="1"/>
  <c r="G480" i="1"/>
  <c r="L479" i="1"/>
  <c r="K479" i="1"/>
  <c r="H479" i="1"/>
  <c r="G479" i="1"/>
  <c r="L478" i="1"/>
  <c r="K478" i="1"/>
  <c r="H478" i="1"/>
  <c r="G478" i="1"/>
  <c r="L477" i="1"/>
  <c r="K477" i="1"/>
  <c r="H477" i="1"/>
  <c r="G477" i="1"/>
  <c r="L476" i="1"/>
  <c r="K476" i="1"/>
  <c r="H476" i="1"/>
  <c r="G476" i="1"/>
  <c r="L475" i="1"/>
  <c r="K475" i="1"/>
  <c r="H475" i="1"/>
  <c r="G475" i="1"/>
  <c r="L474" i="1"/>
  <c r="K474" i="1"/>
  <c r="H474" i="1"/>
  <c r="G474" i="1"/>
  <c r="L473" i="1"/>
  <c r="K473" i="1"/>
  <c r="H473" i="1"/>
  <c r="G473" i="1"/>
  <c r="L472" i="1"/>
  <c r="K472" i="1"/>
  <c r="H472" i="1"/>
  <c r="G472" i="1"/>
  <c r="L471" i="1"/>
  <c r="K471" i="1"/>
  <c r="H471" i="1"/>
  <c r="G471" i="1"/>
  <c r="L470" i="1"/>
  <c r="K470" i="1"/>
  <c r="H470" i="1"/>
  <c r="G470" i="1"/>
  <c r="L469" i="1"/>
  <c r="K469" i="1"/>
  <c r="H469" i="1"/>
  <c r="G469" i="1"/>
  <c r="L468" i="1"/>
  <c r="K468" i="1"/>
  <c r="H468" i="1"/>
  <c r="G468" i="1"/>
  <c r="L467" i="1"/>
  <c r="K467" i="1"/>
  <c r="H467" i="1"/>
  <c r="G467" i="1"/>
  <c r="L466" i="1"/>
  <c r="K466" i="1"/>
  <c r="H466" i="1"/>
  <c r="G466" i="1"/>
  <c r="L465" i="1"/>
  <c r="L484" i="1" s="1"/>
  <c r="K465" i="1"/>
  <c r="H465" i="1"/>
  <c r="H484" i="1" s="1"/>
  <c r="G465" i="1"/>
  <c r="L458" i="1"/>
  <c r="K458" i="1"/>
  <c r="H458" i="1"/>
  <c r="G458" i="1"/>
  <c r="L457" i="1"/>
  <c r="K457" i="1"/>
  <c r="H457" i="1"/>
  <c r="G457" i="1"/>
  <c r="L456" i="1"/>
  <c r="K456" i="1"/>
  <c r="H456" i="1"/>
  <c r="G456" i="1"/>
  <c r="L455" i="1"/>
  <c r="K455" i="1"/>
  <c r="H455" i="1"/>
  <c r="G455" i="1"/>
  <c r="L454" i="1"/>
  <c r="K454" i="1"/>
  <c r="H454" i="1"/>
  <c r="G454" i="1"/>
  <c r="L453" i="1"/>
  <c r="K453" i="1"/>
  <c r="H453" i="1"/>
  <c r="G453" i="1"/>
  <c r="L452" i="1"/>
  <c r="K452" i="1"/>
  <c r="H452" i="1"/>
  <c r="G452" i="1"/>
  <c r="L451" i="1"/>
  <c r="K451" i="1"/>
  <c r="H451" i="1"/>
  <c r="G451" i="1"/>
  <c r="L450" i="1"/>
  <c r="K450" i="1"/>
  <c r="H450" i="1"/>
  <c r="G450" i="1"/>
  <c r="L449" i="1"/>
  <c r="K449" i="1"/>
  <c r="H449" i="1"/>
  <c r="G449" i="1"/>
  <c r="L448" i="1"/>
  <c r="K448" i="1"/>
  <c r="H448" i="1"/>
  <c r="G448" i="1"/>
  <c r="L447" i="1"/>
  <c r="K447" i="1"/>
  <c r="H447" i="1"/>
  <c r="G447" i="1"/>
  <c r="L446" i="1"/>
  <c r="K446" i="1"/>
  <c r="H446" i="1"/>
  <c r="G446" i="1"/>
  <c r="L445" i="1"/>
  <c r="K445" i="1"/>
  <c r="H445" i="1"/>
  <c r="G445" i="1"/>
  <c r="L444" i="1"/>
  <c r="K444" i="1"/>
  <c r="H444" i="1"/>
  <c r="G444" i="1"/>
  <c r="L443" i="1"/>
  <c r="K443" i="1"/>
  <c r="H443" i="1"/>
  <c r="G443" i="1"/>
  <c r="L442" i="1"/>
  <c r="K442" i="1"/>
  <c r="H442" i="1"/>
  <c r="G442" i="1"/>
  <c r="L441" i="1"/>
  <c r="K441" i="1"/>
  <c r="H441" i="1"/>
  <c r="G441" i="1"/>
  <c r="L440" i="1"/>
  <c r="K440" i="1"/>
  <c r="H440" i="1"/>
  <c r="G440" i="1"/>
  <c r="L439" i="1"/>
  <c r="K439" i="1"/>
  <c r="H439" i="1"/>
  <c r="G439" i="1"/>
  <c r="L438" i="1"/>
  <c r="K438" i="1"/>
  <c r="H438" i="1"/>
  <c r="G438" i="1"/>
  <c r="L437" i="1"/>
  <c r="K437" i="1"/>
  <c r="H437" i="1"/>
  <c r="G437" i="1"/>
  <c r="L436" i="1"/>
  <c r="K436" i="1"/>
  <c r="H436" i="1"/>
  <c r="G436" i="1"/>
  <c r="L435" i="1"/>
  <c r="K435" i="1"/>
  <c r="H435" i="1"/>
  <c r="G435" i="1"/>
  <c r="L434" i="1"/>
  <c r="K434" i="1"/>
  <c r="H434" i="1"/>
  <c r="G434" i="1"/>
  <c r="L433" i="1"/>
  <c r="K433" i="1"/>
  <c r="H433" i="1"/>
  <c r="G433" i="1"/>
  <c r="L432" i="1"/>
  <c r="K432" i="1"/>
  <c r="H432" i="1"/>
  <c r="G432" i="1"/>
  <c r="L431" i="1"/>
  <c r="K431" i="1"/>
  <c r="H431" i="1"/>
  <c r="G431" i="1"/>
  <c r="L430" i="1"/>
  <c r="K430" i="1"/>
  <c r="H430" i="1"/>
  <c r="G430" i="1"/>
  <c r="L429" i="1"/>
  <c r="K429" i="1"/>
  <c r="H429" i="1"/>
  <c r="G429" i="1"/>
  <c r="L428" i="1"/>
  <c r="K428" i="1"/>
  <c r="H428" i="1"/>
  <c r="G428" i="1"/>
  <c r="L427" i="1"/>
  <c r="K427" i="1"/>
  <c r="H427" i="1"/>
  <c r="G427" i="1"/>
  <c r="L426" i="1"/>
  <c r="K426" i="1"/>
  <c r="H426" i="1"/>
  <c r="G426" i="1"/>
  <c r="L425" i="1"/>
  <c r="K425" i="1"/>
  <c r="H425" i="1"/>
  <c r="G425" i="1"/>
  <c r="L424" i="1"/>
  <c r="K424" i="1"/>
  <c r="H424" i="1"/>
  <c r="G424" i="1"/>
  <c r="L423" i="1"/>
  <c r="K423" i="1"/>
  <c r="H423" i="1"/>
  <c r="G423" i="1"/>
  <c r="L422" i="1"/>
  <c r="K422" i="1"/>
  <c r="H422" i="1"/>
  <c r="G422" i="1"/>
  <c r="L421" i="1"/>
  <c r="K421" i="1"/>
  <c r="H421" i="1"/>
  <c r="G421" i="1"/>
  <c r="L420" i="1"/>
  <c r="K420" i="1"/>
  <c r="H420" i="1"/>
  <c r="G420" i="1"/>
  <c r="L419" i="1"/>
  <c r="K419" i="1"/>
  <c r="H419" i="1"/>
  <c r="G419" i="1"/>
  <c r="L418" i="1"/>
  <c r="K418" i="1"/>
  <c r="H418" i="1"/>
  <c r="G418" i="1"/>
  <c r="L417" i="1"/>
  <c r="K417" i="1"/>
  <c r="H417" i="1"/>
  <c r="G417" i="1"/>
  <c r="L416" i="1"/>
  <c r="K416" i="1"/>
  <c r="H416" i="1"/>
  <c r="G416" i="1"/>
  <c r="L415" i="1"/>
  <c r="K415" i="1"/>
  <c r="H415" i="1"/>
  <c r="G415" i="1"/>
  <c r="L414" i="1"/>
  <c r="K414" i="1"/>
  <c r="H414" i="1"/>
  <c r="G414" i="1"/>
  <c r="L413" i="1"/>
  <c r="K413" i="1"/>
  <c r="H413" i="1"/>
  <c r="G413" i="1"/>
  <c r="L412" i="1"/>
  <c r="K412" i="1"/>
  <c r="H412" i="1"/>
  <c r="G412" i="1"/>
  <c r="L411" i="1"/>
  <c r="K411" i="1"/>
  <c r="H411" i="1"/>
  <c r="G411" i="1"/>
  <c r="L410" i="1"/>
  <c r="K410" i="1"/>
  <c r="H410" i="1"/>
  <c r="G410" i="1"/>
  <c r="L409" i="1"/>
  <c r="K409" i="1"/>
  <c r="H409" i="1"/>
  <c r="G409" i="1"/>
  <c r="L408" i="1"/>
  <c r="K408" i="1"/>
  <c r="H408" i="1"/>
  <c r="G408" i="1"/>
  <c r="L407" i="1"/>
  <c r="K407" i="1"/>
  <c r="H407" i="1"/>
  <c r="G407" i="1"/>
  <c r="L406" i="1"/>
  <c r="K406" i="1"/>
  <c r="H406" i="1"/>
  <c r="G406" i="1"/>
  <c r="L405" i="1"/>
  <c r="K405" i="1"/>
  <c r="H405" i="1"/>
  <c r="G405" i="1"/>
  <c r="L404" i="1"/>
  <c r="K404" i="1"/>
  <c r="H404" i="1"/>
  <c r="G404" i="1"/>
  <c r="L403" i="1"/>
  <c r="K403" i="1"/>
  <c r="H403" i="1"/>
  <c r="G403" i="1"/>
  <c r="L402" i="1"/>
  <c r="K402" i="1"/>
  <c r="H402" i="1"/>
  <c r="G402" i="1"/>
  <c r="L401" i="1"/>
  <c r="K401" i="1"/>
  <c r="H401" i="1"/>
  <c r="G401" i="1"/>
  <c r="L400" i="1"/>
  <c r="K400" i="1"/>
  <c r="H400" i="1"/>
  <c r="G400" i="1"/>
  <c r="L399" i="1"/>
  <c r="K399" i="1"/>
  <c r="H399" i="1"/>
  <c r="G399" i="1"/>
  <c r="L398" i="1"/>
  <c r="K398" i="1"/>
  <c r="H398" i="1"/>
  <c r="G398" i="1"/>
  <c r="L397" i="1"/>
  <c r="K397" i="1"/>
  <c r="H397" i="1"/>
  <c r="G397" i="1"/>
  <c r="L396" i="1"/>
  <c r="K396" i="1"/>
  <c r="H396" i="1"/>
  <c r="G396" i="1"/>
  <c r="L395" i="1"/>
  <c r="K395" i="1"/>
  <c r="H395" i="1"/>
  <c r="G395" i="1"/>
  <c r="L394" i="1"/>
  <c r="K394" i="1"/>
  <c r="H394" i="1"/>
  <c r="G394" i="1"/>
  <c r="L393" i="1"/>
  <c r="K393" i="1"/>
  <c r="H393" i="1"/>
  <c r="G393" i="1"/>
  <c r="L392" i="1"/>
  <c r="K392" i="1"/>
  <c r="H392" i="1"/>
  <c r="G392" i="1"/>
  <c r="L391" i="1"/>
  <c r="K391" i="1"/>
  <c r="H391" i="1"/>
  <c r="G391" i="1"/>
  <c r="L390" i="1"/>
  <c r="K390" i="1"/>
  <c r="H390" i="1"/>
  <c r="G390" i="1"/>
  <c r="L389" i="1"/>
  <c r="K389" i="1"/>
  <c r="H389" i="1"/>
  <c r="G389" i="1"/>
  <c r="L388" i="1"/>
  <c r="K388" i="1"/>
  <c r="H388" i="1"/>
  <c r="G388" i="1"/>
  <c r="L387" i="1"/>
  <c r="K387" i="1"/>
  <c r="H387" i="1"/>
  <c r="G387" i="1"/>
  <c r="L386" i="1"/>
  <c r="K386" i="1"/>
  <c r="H386" i="1"/>
  <c r="G386" i="1"/>
  <c r="L385" i="1"/>
  <c r="K385" i="1"/>
  <c r="H385" i="1"/>
  <c r="G385" i="1"/>
  <c r="L384" i="1"/>
  <c r="K384" i="1"/>
  <c r="H384" i="1"/>
  <c r="G384" i="1"/>
  <c r="L383" i="1"/>
  <c r="K383" i="1"/>
  <c r="H383" i="1"/>
  <c r="G383" i="1"/>
  <c r="L382" i="1"/>
  <c r="K382" i="1"/>
  <c r="H382" i="1"/>
  <c r="G382" i="1"/>
  <c r="L381" i="1"/>
  <c r="K381" i="1"/>
  <c r="H381" i="1"/>
  <c r="G381" i="1"/>
  <c r="L380" i="1"/>
  <c r="K380" i="1"/>
  <c r="H380" i="1"/>
  <c r="G380" i="1"/>
  <c r="L379" i="1"/>
  <c r="K379" i="1"/>
  <c r="H379" i="1"/>
  <c r="G379" i="1"/>
  <c r="L378" i="1"/>
  <c r="K378" i="1"/>
  <c r="H378" i="1"/>
  <c r="G378" i="1"/>
  <c r="L377" i="1"/>
  <c r="K377" i="1"/>
  <c r="H377" i="1"/>
  <c r="G377" i="1"/>
  <c r="L376" i="1"/>
  <c r="K376" i="1"/>
  <c r="H376" i="1"/>
  <c r="G376" i="1"/>
  <c r="L375" i="1"/>
  <c r="K375" i="1"/>
  <c r="H375" i="1"/>
  <c r="G375" i="1"/>
  <c r="L374" i="1"/>
  <c r="K374" i="1"/>
  <c r="H374" i="1"/>
  <c r="G374" i="1"/>
  <c r="L373" i="1"/>
  <c r="K373" i="1"/>
  <c r="H373" i="1"/>
  <c r="G373" i="1"/>
  <c r="L372" i="1"/>
  <c r="K372" i="1"/>
  <c r="H372" i="1"/>
  <c r="G372" i="1"/>
  <c r="L371" i="1"/>
  <c r="K371" i="1"/>
  <c r="H371" i="1"/>
  <c r="G371" i="1"/>
  <c r="L370" i="1"/>
  <c r="K370" i="1"/>
  <c r="H370" i="1"/>
  <c r="G370" i="1"/>
  <c r="L369" i="1"/>
  <c r="K369" i="1"/>
  <c r="H369" i="1"/>
  <c r="G369" i="1"/>
  <c r="L368" i="1"/>
  <c r="K368" i="1"/>
  <c r="H368" i="1"/>
  <c r="G368" i="1"/>
  <c r="L367" i="1"/>
  <c r="K367" i="1"/>
  <c r="H367" i="1"/>
  <c r="G367" i="1"/>
  <c r="L366" i="1"/>
  <c r="K366" i="1"/>
  <c r="H366" i="1"/>
  <c r="G366" i="1"/>
  <c r="L365" i="1"/>
  <c r="K365" i="1"/>
  <c r="H365" i="1"/>
  <c r="G365" i="1"/>
  <c r="L364" i="1"/>
  <c r="K364" i="1"/>
  <c r="H364" i="1"/>
  <c r="G364" i="1"/>
  <c r="L363" i="1"/>
  <c r="K363" i="1"/>
  <c r="H363" i="1"/>
  <c r="G363" i="1"/>
  <c r="L362" i="1"/>
  <c r="K362" i="1"/>
  <c r="H362" i="1"/>
  <c r="G362" i="1"/>
  <c r="L361" i="1"/>
  <c r="K361" i="1"/>
  <c r="H361" i="1"/>
  <c r="G361" i="1"/>
  <c r="L360" i="1"/>
  <c r="K360" i="1"/>
  <c r="H360" i="1"/>
  <c r="G360" i="1"/>
  <c r="L359" i="1"/>
  <c r="K359" i="1"/>
  <c r="H359" i="1"/>
  <c r="G359" i="1"/>
  <c r="L358" i="1"/>
  <c r="K358" i="1"/>
  <c r="H358" i="1"/>
  <c r="G358" i="1"/>
  <c r="L357" i="1"/>
  <c r="K357" i="1"/>
  <c r="H357" i="1"/>
  <c r="G357" i="1"/>
  <c r="L356" i="1"/>
  <c r="K356" i="1"/>
  <c r="H356" i="1"/>
  <c r="G356" i="1"/>
  <c r="L355" i="1"/>
  <c r="K355" i="1"/>
  <c r="H355" i="1"/>
  <c r="G355" i="1"/>
  <c r="L354" i="1"/>
  <c r="K354" i="1"/>
  <c r="H354" i="1"/>
  <c r="G354" i="1"/>
  <c r="L353" i="1"/>
  <c r="K353" i="1"/>
  <c r="H353" i="1"/>
  <c r="G353" i="1"/>
  <c r="L352" i="1"/>
  <c r="K352" i="1"/>
  <c r="H352" i="1"/>
  <c r="G352" i="1"/>
  <c r="L351" i="1"/>
  <c r="K351" i="1"/>
  <c r="H351" i="1"/>
  <c r="G351" i="1"/>
  <c r="L350" i="1"/>
  <c r="K350" i="1"/>
  <c r="H350" i="1"/>
  <c r="G350" i="1"/>
  <c r="L349" i="1"/>
  <c r="K349" i="1"/>
  <c r="H349" i="1"/>
  <c r="G349" i="1"/>
  <c r="L348" i="1"/>
  <c r="K348" i="1"/>
  <c r="H348" i="1"/>
  <c r="G348" i="1"/>
  <c r="L347" i="1"/>
  <c r="K347" i="1"/>
  <c r="H347" i="1"/>
  <c r="G347" i="1"/>
  <c r="L346" i="1"/>
  <c r="K346" i="1"/>
  <c r="H346" i="1"/>
  <c r="G346" i="1"/>
  <c r="L345" i="1"/>
  <c r="K345" i="1"/>
  <c r="H345" i="1"/>
  <c r="G345" i="1"/>
  <c r="L344" i="1"/>
  <c r="K344" i="1"/>
  <c r="H344" i="1"/>
  <c r="G344" i="1"/>
  <c r="L343" i="1"/>
  <c r="K343" i="1"/>
  <c r="H343" i="1"/>
  <c r="G343" i="1"/>
  <c r="L342" i="1"/>
  <c r="K342" i="1"/>
  <c r="H342" i="1"/>
  <c r="G342" i="1"/>
  <c r="L341" i="1"/>
  <c r="K341" i="1"/>
  <c r="H341" i="1"/>
  <c r="G341" i="1"/>
  <c r="L340" i="1"/>
  <c r="K340" i="1"/>
  <c r="H340" i="1"/>
  <c r="G340" i="1"/>
  <c r="L339" i="1"/>
  <c r="K339" i="1"/>
  <c r="H339" i="1"/>
  <c r="G339" i="1"/>
  <c r="L338" i="1"/>
  <c r="K338" i="1"/>
  <c r="H338" i="1"/>
  <c r="G338" i="1"/>
  <c r="L337" i="1"/>
  <c r="K337" i="1"/>
  <c r="H337" i="1"/>
  <c r="G337" i="1"/>
  <c r="L336" i="1"/>
  <c r="K336" i="1"/>
  <c r="H336" i="1"/>
  <c r="G336" i="1"/>
  <c r="L335" i="1"/>
  <c r="K335" i="1"/>
  <c r="H335" i="1"/>
  <c r="G335" i="1"/>
  <c r="L334" i="1"/>
  <c r="K334" i="1"/>
  <c r="H334" i="1"/>
  <c r="G334" i="1"/>
  <c r="L333" i="1"/>
  <c r="K333" i="1"/>
  <c r="H333" i="1"/>
  <c r="G333" i="1"/>
  <c r="L332" i="1"/>
  <c r="K332" i="1"/>
  <c r="H332" i="1"/>
  <c r="G332" i="1"/>
  <c r="L331" i="1"/>
  <c r="K331" i="1"/>
  <c r="H331" i="1"/>
  <c r="G331" i="1"/>
  <c r="L330" i="1"/>
  <c r="K330" i="1"/>
  <c r="H330" i="1"/>
  <c r="G330" i="1"/>
  <c r="L329" i="1"/>
  <c r="K329" i="1"/>
  <c r="H329" i="1"/>
  <c r="G329" i="1"/>
  <c r="L328" i="1"/>
  <c r="K328" i="1"/>
  <c r="H328" i="1"/>
  <c r="G328" i="1"/>
  <c r="L327" i="1"/>
  <c r="K327" i="1"/>
  <c r="H327" i="1"/>
  <c r="G327" i="1"/>
  <c r="L326" i="1"/>
  <c r="K326" i="1"/>
  <c r="H326" i="1"/>
  <c r="G326" i="1"/>
  <c r="L325" i="1"/>
  <c r="K325" i="1"/>
  <c r="H325" i="1"/>
  <c r="G325" i="1"/>
  <c r="L324" i="1"/>
  <c r="K324" i="1"/>
  <c r="H324" i="1"/>
  <c r="G324" i="1"/>
  <c r="L323" i="1"/>
  <c r="K323" i="1"/>
  <c r="H323" i="1"/>
  <c r="G323" i="1"/>
  <c r="L322" i="1"/>
  <c r="K322" i="1"/>
  <c r="H322" i="1"/>
  <c r="G322" i="1"/>
  <c r="L321" i="1"/>
  <c r="K321" i="1"/>
  <c r="H321" i="1"/>
  <c r="G321" i="1"/>
  <c r="L320" i="1"/>
  <c r="K320" i="1"/>
  <c r="H320" i="1"/>
  <c r="G320" i="1"/>
  <c r="L319" i="1"/>
  <c r="K319" i="1"/>
  <c r="H319" i="1"/>
  <c r="G319" i="1"/>
  <c r="L318" i="1"/>
  <c r="K318" i="1"/>
  <c r="H318" i="1"/>
  <c r="G318" i="1"/>
  <c r="L317" i="1"/>
  <c r="K317" i="1"/>
  <c r="H317" i="1"/>
  <c r="G317" i="1"/>
  <c r="L316" i="1"/>
  <c r="K316" i="1"/>
  <c r="H316" i="1"/>
  <c r="G316" i="1"/>
  <c r="L315" i="1"/>
  <c r="K315" i="1"/>
  <c r="H315" i="1"/>
  <c r="G315" i="1"/>
  <c r="L314" i="1"/>
  <c r="K314" i="1"/>
  <c r="H314" i="1"/>
  <c r="G314" i="1"/>
  <c r="L313" i="1"/>
  <c r="K313" i="1"/>
  <c r="H313" i="1"/>
  <c r="G313" i="1"/>
  <c r="L312" i="1"/>
  <c r="K312" i="1"/>
  <c r="H312" i="1"/>
  <c r="G312" i="1"/>
  <c r="L311" i="1"/>
  <c r="K311" i="1"/>
  <c r="H311" i="1"/>
  <c r="G311" i="1"/>
  <c r="L310" i="1"/>
  <c r="K310" i="1"/>
  <c r="H310" i="1"/>
  <c r="G310" i="1"/>
  <c r="L309" i="1"/>
  <c r="K309" i="1"/>
  <c r="H309" i="1"/>
  <c r="G309" i="1"/>
  <c r="L308" i="1"/>
  <c r="K308" i="1"/>
  <c r="H308" i="1"/>
  <c r="G308" i="1"/>
  <c r="L307" i="1"/>
  <c r="K307" i="1"/>
  <c r="H307" i="1"/>
  <c r="G307" i="1"/>
  <c r="L306" i="1"/>
  <c r="K306" i="1"/>
  <c r="H306" i="1"/>
  <c r="G306" i="1"/>
  <c r="L305" i="1"/>
  <c r="K305" i="1"/>
  <c r="H305" i="1"/>
  <c r="G305" i="1"/>
  <c r="L304" i="1"/>
  <c r="K304" i="1"/>
  <c r="H304" i="1"/>
  <c r="G304" i="1"/>
  <c r="L303" i="1"/>
  <c r="K303" i="1"/>
  <c r="H303" i="1"/>
  <c r="G303" i="1"/>
  <c r="L302" i="1"/>
  <c r="K302" i="1"/>
  <c r="H302" i="1"/>
  <c r="G302" i="1"/>
  <c r="L301" i="1"/>
  <c r="K301" i="1"/>
  <c r="H301" i="1"/>
  <c r="G301" i="1"/>
  <c r="L300" i="1"/>
  <c r="K300" i="1"/>
  <c r="H300" i="1"/>
  <c r="G300" i="1"/>
  <c r="L299" i="1"/>
  <c r="K299" i="1"/>
  <c r="H299" i="1"/>
  <c r="G299" i="1"/>
  <c r="L298" i="1"/>
  <c r="K298" i="1"/>
  <c r="H298" i="1"/>
  <c r="G298" i="1"/>
  <c r="L297" i="1"/>
  <c r="K297" i="1"/>
  <c r="H297" i="1"/>
  <c r="G297" i="1"/>
  <c r="L296" i="1"/>
  <c r="K296" i="1"/>
  <c r="H296" i="1"/>
  <c r="G296" i="1"/>
  <c r="L295" i="1"/>
  <c r="K295" i="1"/>
  <c r="H295" i="1"/>
  <c r="G295" i="1"/>
  <c r="L294" i="1"/>
  <c r="K294" i="1"/>
  <c r="H294" i="1"/>
  <c r="G294" i="1"/>
  <c r="L293" i="1"/>
  <c r="K293" i="1"/>
  <c r="H293" i="1"/>
  <c r="G293" i="1"/>
  <c r="L292" i="1"/>
  <c r="K292" i="1"/>
  <c r="H292" i="1"/>
  <c r="G292" i="1"/>
  <c r="L291" i="1"/>
  <c r="K291" i="1"/>
  <c r="H291" i="1"/>
  <c r="G291" i="1"/>
  <c r="L290" i="1"/>
  <c r="K290" i="1"/>
  <c r="H290" i="1"/>
  <c r="G290" i="1"/>
  <c r="L289" i="1"/>
  <c r="K289" i="1"/>
  <c r="H289" i="1"/>
  <c r="G289" i="1"/>
  <c r="L288" i="1"/>
  <c r="K288" i="1"/>
  <c r="H288" i="1"/>
  <c r="G288" i="1"/>
  <c r="L287" i="1"/>
  <c r="K287" i="1"/>
  <c r="H287" i="1"/>
  <c r="G287" i="1"/>
  <c r="L286" i="1"/>
  <c r="K286" i="1"/>
  <c r="H286" i="1"/>
  <c r="G286" i="1"/>
  <c r="L285" i="1"/>
  <c r="K285" i="1"/>
  <c r="H285" i="1"/>
  <c r="G285" i="1"/>
  <c r="L284" i="1"/>
  <c r="K284" i="1"/>
  <c r="H284" i="1"/>
  <c r="G284" i="1"/>
  <c r="L283" i="1"/>
  <c r="K283" i="1"/>
  <c r="H283" i="1"/>
  <c r="G283" i="1"/>
  <c r="L282" i="1"/>
  <c r="K282" i="1"/>
  <c r="H282" i="1"/>
  <c r="G282" i="1"/>
  <c r="L281" i="1"/>
  <c r="K281" i="1"/>
  <c r="H281" i="1"/>
  <c r="G281" i="1"/>
  <c r="L280" i="1"/>
  <c r="K280" i="1"/>
  <c r="H280" i="1"/>
  <c r="G280" i="1"/>
  <c r="L279" i="1"/>
  <c r="K279" i="1"/>
  <c r="H279" i="1"/>
  <c r="G279" i="1"/>
  <c r="L278" i="1"/>
  <c r="K278" i="1"/>
  <c r="H278" i="1"/>
  <c r="G278" i="1"/>
  <c r="L277" i="1"/>
  <c r="K277" i="1"/>
  <c r="H277" i="1"/>
  <c r="G277" i="1"/>
  <c r="L276" i="1"/>
  <c r="K276" i="1"/>
  <c r="H276" i="1"/>
  <c r="G276" i="1"/>
  <c r="L275" i="1"/>
  <c r="K275" i="1"/>
  <c r="H275" i="1"/>
  <c r="G275" i="1"/>
  <c r="L274" i="1"/>
  <c r="K274" i="1"/>
  <c r="H274" i="1"/>
  <c r="G274" i="1"/>
  <c r="L273" i="1"/>
  <c r="K273" i="1"/>
  <c r="H273" i="1"/>
  <c r="G273" i="1"/>
  <c r="L272" i="1"/>
  <c r="K272" i="1"/>
  <c r="H272" i="1"/>
  <c r="G272" i="1"/>
  <c r="L271" i="1"/>
  <c r="K271" i="1"/>
  <c r="H271" i="1"/>
  <c r="G271" i="1"/>
  <c r="L270" i="1"/>
  <c r="K270" i="1"/>
  <c r="H270" i="1"/>
  <c r="G270" i="1"/>
  <c r="L269" i="1"/>
  <c r="K269" i="1"/>
  <c r="H269" i="1"/>
  <c r="G269" i="1"/>
  <c r="L268" i="1"/>
  <c r="K268" i="1"/>
  <c r="H268" i="1"/>
  <c r="G268" i="1"/>
  <c r="L267" i="1"/>
  <c r="K267" i="1"/>
  <c r="H267" i="1"/>
  <c r="G267" i="1"/>
  <c r="L266" i="1"/>
  <c r="K266" i="1"/>
  <c r="H266" i="1"/>
  <c r="G266" i="1"/>
  <c r="L265" i="1"/>
  <c r="K265" i="1"/>
  <c r="H265" i="1"/>
  <c r="G265" i="1"/>
  <c r="L264" i="1"/>
  <c r="K264" i="1"/>
  <c r="H264" i="1"/>
  <c r="G264" i="1"/>
  <c r="L263" i="1"/>
  <c r="K263" i="1"/>
  <c r="H263" i="1"/>
  <c r="G263" i="1"/>
  <c r="L262" i="1"/>
  <c r="K262" i="1"/>
  <c r="H262" i="1"/>
  <c r="G262" i="1"/>
  <c r="L261" i="1"/>
  <c r="K261" i="1"/>
  <c r="H261" i="1"/>
  <c r="G261" i="1"/>
  <c r="L260" i="1"/>
  <c r="K260" i="1"/>
  <c r="H260" i="1"/>
  <c r="G260" i="1"/>
  <c r="L259" i="1"/>
  <c r="K259" i="1"/>
  <c r="H259" i="1"/>
  <c r="G259" i="1"/>
  <c r="L258" i="1"/>
  <c r="K258" i="1"/>
  <c r="H258" i="1"/>
  <c r="G258" i="1"/>
  <c r="L257" i="1"/>
  <c r="K257" i="1"/>
  <c r="H257" i="1"/>
  <c r="G257" i="1"/>
  <c r="L256" i="1"/>
  <c r="K256" i="1"/>
  <c r="H256" i="1"/>
  <c r="G256" i="1"/>
  <c r="L255" i="1"/>
  <c r="K255" i="1"/>
  <c r="H255" i="1"/>
  <c r="G255" i="1"/>
  <c r="L254" i="1"/>
  <c r="K254" i="1"/>
  <c r="H254" i="1"/>
  <c r="G254" i="1"/>
  <c r="L253" i="1"/>
  <c r="K253" i="1"/>
  <c r="H253" i="1"/>
  <c r="G253" i="1"/>
  <c r="L252" i="1"/>
  <c r="K252" i="1"/>
  <c r="H252" i="1"/>
  <c r="G252" i="1"/>
  <c r="L251" i="1"/>
  <c r="K251" i="1"/>
  <c r="H251" i="1"/>
  <c r="G251" i="1"/>
  <c r="L250" i="1"/>
  <c r="K250" i="1"/>
  <c r="H250" i="1"/>
  <c r="G250" i="1"/>
  <c r="L249" i="1"/>
  <c r="K249" i="1"/>
  <c r="H249" i="1"/>
  <c r="G249" i="1"/>
  <c r="L248" i="1"/>
  <c r="K248" i="1"/>
  <c r="H248" i="1"/>
  <c r="G248" i="1"/>
  <c r="L247" i="1"/>
  <c r="K247" i="1"/>
  <c r="H247" i="1"/>
  <c r="G247" i="1"/>
  <c r="L246" i="1"/>
  <c r="K246" i="1"/>
  <c r="H246" i="1"/>
  <c r="G246" i="1"/>
  <c r="L245" i="1"/>
  <c r="K245" i="1"/>
  <c r="H245" i="1"/>
  <c r="G245" i="1"/>
  <c r="L244" i="1"/>
  <c r="K244" i="1"/>
  <c r="H244" i="1"/>
  <c r="G244" i="1"/>
  <c r="L243" i="1"/>
  <c r="K243" i="1"/>
  <c r="H243" i="1"/>
  <c r="G243" i="1"/>
  <c r="L242" i="1"/>
  <c r="K242" i="1"/>
  <c r="H242" i="1"/>
  <c r="G242" i="1"/>
  <c r="L241" i="1"/>
  <c r="K241" i="1"/>
  <c r="H241" i="1"/>
  <c r="G241" i="1"/>
  <c r="L240" i="1"/>
  <c r="K240" i="1"/>
  <c r="H240" i="1"/>
  <c r="G240" i="1"/>
  <c r="L239" i="1"/>
  <c r="K239" i="1"/>
  <c r="H239" i="1"/>
  <c r="G239" i="1"/>
  <c r="L238" i="1"/>
  <c r="K238" i="1"/>
  <c r="H238" i="1"/>
  <c r="G238" i="1"/>
  <c r="L237" i="1"/>
  <c r="K237" i="1"/>
  <c r="H237" i="1"/>
  <c r="G237" i="1"/>
  <c r="L236" i="1"/>
  <c r="K236" i="1"/>
  <c r="H236" i="1"/>
  <c r="G236" i="1"/>
  <c r="L235" i="1"/>
  <c r="K235" i="1"/>
  <c r="H235" i="1"/>
  <c r="G235" i="1"/>
  <c r="L234" i="1"/>
  <c r="K234" i="1"/>
  <c r="H234" i="1"/>
  <c r="G234" i="1"/>
  <c r="L233" i="1"/>
  <c r="K233" i="1"/>
  <c r="H233" i="1"/>
  <c r="G233" i="1"/>
  <c r="L232" i="1"/>
  <c r="L460" i="1" s="1"/>
  <c r="M460" i="1" s="1"/>
  <c r="K232" i="1"/>
  <c r="H232" i="1"/>
  <c r="H460" i="1" s="1"/>
  <c r="I460" i="1" s="1"/>
  <c r="G232" i="1"/>
  <c r="M226" i="1"/>
  <c r="L224" i="1"/>
  <c r="K224" i="1"/>
  <c r="H224" i="1"/>
  <c r="G224" i="1"/>
  <c r="L223" i="1"/>
  <c r="K223" i="1"/>
  <c r="H223" i="1"/>
  <c r="G223" i="1"/>
  <c r="L222" i="1"/>
  <c r="K222" i="1"/>
  <c r="H222" i="1"/>
  <c r="G222" i="1"/>
  <c r="L221" i="1"/>
  <c r="K221" i="1"/>
  <c r="H221" i="1"/>
  <c r="G221" i="1"/>
  <c r="L220" i="1"/>
  <c r="K220" i="1"/>
  <c r="H220" i="1"/>
  <c r="G220" i="1"/>
  <c r="L219" i="1"/>
  <c r="K219" i="1"/>
  <c r="H219" i="1"/>
  <c r="G219" i="1"/>
  <c r="L218" i="1"/>
  <c r="K218" i="1"/>
  <c r="H218" i="1"/>
  <c r="G218" i="1"/>
  <c r="L217" i="1"/>
  <c r="K217" i="1"/>
  <c r="H217" i="1"/>
  <c r="G217" i="1"/>
  <c r="L216" i="1"/>
  <c r="K216" i="1"/>
  <c r="H216" i="1"/>
  <c r="G216" i="1"/>
  <c r="L215" i="1"/>
  <c r="K215" i="1"/>
  <c r="H215" i="1"/>
  <c r="G215" i="1"/>
  <c r="L214" i="1"/>
  <c r="K214" i="1"/>
  <c r="H214" i="1"/>
  <c r="G214" i="1"/>
  <c r="L213" i="1"/>
  <c r="K213" i="1"/>
  <c r="H213" i="1"/>
  <c r="G213" i="1"/>
  <c r="L212" i="1"/>
  <c r="K212" i="1"/>
  <c r="H212" i="1"/>
  <c r="G212" i="1"/>
  <c r="L211" i="1"/>
  <c r="K211" i="1"/>
  <c r="H211" i="1"/>
  <c r="G211" i="1"/>
  <c r="L210" i="1"/>
  <c r="K210" i="1"/>
  <c r="H210" i="1"/>
  <c r="G210" i="1"/>
  <c r="L209" i="1"/>
  <c r="K209" i="1"/>
  <c r="H209" i="1"/>
  <c r="G209" i="1"/>
  <c r="L208" i="1"/>
  <c r="K208" i="1"/>
  <c r="H208" i="1"/>
  <c r="G208" i="1"/>
  <c r="L207" i="1"/>
  <c r="K207" i="1"/>
  <c r="H207" i="1"/>
  <c r="G207" i="1"/>
  <c r="L206" i="1"/>
  <c r="K206" i="1"/>
  <c r="H206" i="1"/>
  <c r="G206" i="1"/>
  <c r="L205" i="1"/>
  <c r="K205" i="1"/>
  <c r="H205" i="1"/>
  <c r="G205" i="1"/>
  <c r="L204" i="1"/>
  <c r="K204" i="1"/>
  <c r="H204" i="1"/>
  <c r="G204" i="1"/>
  <c r="L203" i="1"/>
  <c r="K203" i="1"/>
  <c r="H203" i="1"/>
  <c r="G203" i="1"/>
  <c r="L202" i="1"/>
  <c r="K202" i="1"/>
  <c r="H202" i="1"/>
  <c r="G202" i="1"/>
  <c r="L201" i="1"/>
  <c r="K201" i="1"/>
  <c r="H201" i="1"/>
  <c r="G201" i="1"/>
  <c r="L200" i="1"/>
  <c r="K200" i="1"/>
  <c r="H200" i="1"/>
  <c r="G200" i="1"/>
  <c r="L199" i="1"/>
  <c r="K199" i="1"/>
  <c r="H199" i="1"/>
  <c r="G199" i="1"/>
  <c r="L198" i="1"/>
  <c r="L226" i="1" s="1"/>
  <c r="K198" i="1"/>
  <c r="H198" i="1"/>
  <c r="H226" i="1" s="1"/>
  <c r="I226" i="1" s="1"/>
  <c r="G198" i="1"/>
  <c r="L193" i="1"/>
  <c r="K193" i="1"/>
  <c r="H193" i="1"/>
  <c r="G193" i="1"/>
  <c r="L192" i="1"/>
  <c r="K192" i="1"/>
  <c r="H192" i="1"/>
  <c r="G192" i="1"/>
  <c r="L191" i="1"/>
  <c r="K191" i="1"/>
  <c r="H191" i="1"/>
  <c r="G191" i="1"/>
  <c r="L190" i="1"/>
  <c r="K190" i="1"/>
  <c r="H190" i="1"/>
  <c r="G190" i="1"/>
  <c r="L189" i="1"/>
  <c r="K189" i="1"/>
  <c r="H189" i="1"/>
  <c r="G189" i="1"/>
  <c r="L188" i="1"/>
  <c r="K188" i="1"/>
  <c r="H188" i="1"/>
  <c r="G188" i="1"/>
  <c r="L187" i="1"/>
  <c r="K187" i="1"/>
  <c r="H187" i="1"/>
  <c r="G187" i="1"/>
  <c r="L186" i="1"/>
  <c r="K186" i="1"/>
  <c r="H186" i="1"/>
  <c r="G186" i="1"/>
  <c r="L185" i="1"/>
  <c r="K185" i="1"/>
  <c r="H185" i="1"/>
  <c r="G185" i="1"/>
  <c r="L184" i="1"/>
  <c r="K184" i="1"/>
  <c r="H184" i="1"/>
  <c r="G184" i="1"/>
  <c r="L183" i="1"/>
  <c r="K183" i="1"/>
  <c r="H183" i="1"/>
  <c r="G183" i="1"/>
  <c r="L182" i="1"/>
  <c r="K182" i="1"/>
  <c r="H182" i="1"/>
  <c r="G182" i="1"/>
  <c r="L181" i="1"/>
  <c r="K181" i="1"/>
  <c r="H181" i="1"/>
  <c r="G181" i="1"/>
  <c r="K180" i="1"/>
  <c r="L180" i="1" s="1"/>
  <c r="H180" i="1"/>
  <c r="G180" i="1"/>
  <c r="K179" i="1"/>
  <c r="L179" i="1" s="1"/>
  <c r="H179" i="1"/>
  <c r="G179" i="1"/>
  <c r="K178" i="1"/>
  <c r="L178" i="1" s="1"/>
  <c r="H178" i="1"/>
  <c r="G178" i="1"/>
  <c r="K177" i="1"/>
  <c r="L177" i="1" s="1"/>
  <c r="H177" i="1"/>
  <c r="G177" i="1"/>
  <c r="K176" i="1"/>
  <c r="L176" i="1" s="1"/>
  <c r="H176" i="1"/>
  <c r="G176" i="1"/>
  <c r="K175" i="1"/>
  <c r="L175" i="1" s="1"/>
  <c r="H175" i="1"/>
  <c r="G175" i="1"/>
  <c r="K174" i="1"/>
  <c r="L174" i="1" s="1"/>
  <c r="H174" i="1"/>
  <c r="G174" i="1"/>
  <c r="K173" i="1"/>
  <c r="L173" i="1" s="1"/>
  <c r="H173" i="1"/>
  <c r="G173" i="1"/>
  <c r="K172" i="1"/>
  <c r="L172" i="1" s="1"/>
  <c r="H172" i="1"/>
  <c r="G172" i="1"/>
  <c r="K171" i="1"/>
  <c r="L171" i="1" s="1"/>
  <c r="H171" i="1"/>
  <c r="G171" i="1"/>
  <c r="K170" i="1"/>
  <c r="L170" i="1" s="1"/>
  <c r="H170" i="1"/>
  <c r="G170" i="1"/>
  <c r="K169" i="1"/>
  <c r="L169" i="1" s="1"/>
  <c r="H169" i="1"/>
  <c r="G169" i="1"/>
  <c r="K168" i="1"/>
  <c r="L168" i="1" s="1"/>
  <c r="H168" i="1"/>
  <c r="G168" i="1"/>
  <c r="K167" i="1"/>
  <c r="L167" i="1" s="1"/>
  <c r="H167" i="1"/>
  <c r="G167" i="1"/>
  <c r="K166" i="1"/>
  <c r="L166" i="1" s="1"/>
  <c r="H166" i="1"/>
  <c r="G166" i="1"/>
  <c r="K165" i="1"/>
  <c r="L165" i="1" s="1"/>
  <c r="H165" i="1"/>
  <c r="G165" i="1"/>
  <c r="K164" i="1"/>
  <c r="L164" i="1" s="1"/>
  <c r="H164" i="1"/>
  <c r="G164" i="1"/>
  <c r="K163" i="1"/>
  <c r="L163" i="1" s="1"/>
  <c r="H163" i="1"/>
  <c r="G163" i="1"/>
  <c r="K162" i="1"/>
  <c r="L162" i="1" s="1"/>
  <c r="H162" i="1"/>
  <c r="G162" i="1"/>
  <c r="K161" i="1"/>
  <c r="L161" i="1" s="1"/>
  <c r="H161" i="1"/>
  <c r="G161" i="1"/>
  <c r="K160" i="1"/>
  <c r="L160" i="1" s="1"/>
  <c r="H160" i="1"/>
  <c r="G160" i="1"/>
  <c r="K159" i="1"/>
  <c r="L159" i="1" s="1"/>
  <c r="H159" i="1"/>
  <c r="G159" i="1"/>
  <c r="K158" i="1"/>
  <c r="L158" i="1" s="1"/>
  <c r="H158" i="1"/>
  <c r="G158" i="1"/>
  <c r="K157" i="1"/>
  <c r="L157" i="1" s="1"/>
  <c r="H157" i="1"/>
  <c r="G157" i="1"/>
  <c r="K156" i="1"/>
  <c r="L156" i="1" s="1"/>
  <c r="H156" i="1"/>
  <c r="G156" i="1"/>
  <c r="K155" i="1"/>
  <c r="L155" i="1" s="1"/>
  <c r="H155" i="1"/>
  <c r="G155" i="1"/>
  <c r="K154" i="1"/>
  <c r="L154" i="1" s="1"/>
  <c r="H154" i="1"/>
  <c r="G154" i="1"/>
  <c r="K153" i="1"/>
  <c r="L153" i="1" s="1"/>
  <c r="H153" i="1"/>
  <c r="G153" i="1"/>
  <c r="K152" i="1"/>
  <c r="L152" i="1" s="1"/>
  <c r="H152" i="1"/>
  <c r="G152" i="1"/>
  <c r="K151" i="1"/>
  <c r="L151" i="1" s="1"/>
  <c r="H151" i="1"/>
  <c r="G151" i="1"/>
  <c r="K150" i="1"/>
  <c r="L150" i="1" s="1"/>
  <c r="H150" i="1"/>
  <c r="G150" i="1"/>
  <c r="K149" i="1"/>
  <c r="L149" i="1" s="1"/>
  <c r="H149" i="1"/>
  <c r="G149" i="1"/>
  <c r="K148" i="1"/>
  <c r="L148" i="1" s="1"/>
  <c r="H148" i="1"/>
  <c r="G148" i="1"/>
  <c r="K147" i="1"/>
  <c r="L147" i="1" s="1"/>
  <c r="H147" i="1"/>
  <c r="G147" i="1"/>
  <c r="K146" i="1"/>
  <c r="L146" i="1" s="1"/>
  <c r="H146" i="1"/>
  <c r="G146" i="1"/>
  <c r="K145" i="1"/>
  <c r="L145" i="1" s="1"/>
  <c r="H145" i="1"/>
  <c r="G145" i="1"/>
  <c r="K144" i="1"/>
  <c r="L144" i="1" s="1"/>
  <c r="H144" i="1"/>
  <c r="G144" i="1"/>
  <c r="K143" i="1"/>
  <c r="L143" i="1" s="1"/>
  <c r="H143" i="1"/>
  <c r="G143" i="1"/>
  <c r="K142" i="1"/>
  <c r="L142" i="1" s="1"/>
  <c r="H142" i="1"/>
  <c r="G142" i="1"/>
  <c r="K141" i="1"/>
  <c r="L141" i="1" s="1"/>
  <c r="H141" i="1"/>
  <c r="G141" i="1"/>
  <c r="K140" i="1"/>
  <c r="L140" i="1" s="1"/>
  <c r="H140" i="1"/>
  <c r="G140" i="1"/>
  <c r="K139" i="1"/>
  <c r="L139" i="1" s="1"/>
  <c r="H139" i="1"/>
  <c r="G139" i="1"/>
  <c r="K138" i="1"/>
  <c r="L138" i="1" s="1"/>
  <c r="H138" i="1"/>
  <c r="G138" i="1"/>
  <c r="K137" i="1"/>
  <c r="L137" i="1" s="1"/>
  <c r="G137" i="1"/>
  <c r="H137" i="1" s="1"/>
  <c r="K136" i="1"/>
  <c r="L136" i="1" s="1"/>
  <c r="G136" i="1"/>
  <c r="H136" i="1" s="1"/>
  <c r="L135" i="1"/>
  <c r="K135" i="1"/>
  <c r="G135" i="1"/>
  <c r="H135" i="1" s="1"/>
  <c r="L134" i="1"/>
  <c r="K134" i="1"/>
  <c r="G134" i="1"/>
  <c r="H134" i="1" s="1"/>
  <c r="K133" i="1"/>
  <c r="L133" i="1" s="1"/>
  <c r="G133" i="1"/>
  <c r="H133" i="1" s="1"/>
  <c r="K132" i="1"/>
  <c r="L132" i="1" s="1"/>
  <c r="G132" i="1"/>
  <c r="H132" i="1" s="1"/>
  <c r="L131" i="1"/>
  <c r="K131" i="1"/>
  <c r="G131" i="1"/>
  <c r="H131" i="1" s="1"/>
  <c r="L130" i="1"/>
  <c r="K130" i="1"/>
  <c r="G130" i="1"/>
  <c r="H130" i="1" s="1"/>
  <c r="K129" i="1"/>
  <c r="L129" i="1" s="1"/>
  <c r="G129" i="1"/>
  <c r="H129" i="1" s="1"/>
  <c r="K128" i="1"/>
  <c r="L128" i="1" s="1"/>
  <c r="G128" i="1"/>
  <c r="H128" i="1" s="1"/>
  <c r="L127" i="1"/>
  <c r="K127" i="1"/>
  <c r="G127" i="1"/>
  <c r="H127" i="1" s="1"/>
  <c r="L126" i="1"/>
  <c r="K126" i="1"/>
  <c r="G126" i="1"/>
  <c r="H126" i="1" s="1"/>
  <c r="K125" i="1"/>
  <c r="L125" i="1" s="1"/>
  <c r="G125" i="1"/>
  <c r="H125" i="1" s="1"/>
  <c r="K124" i="1"/>
  <c r="L124" i="1" s="1"/>
  <c r="G124" i="1"/>
  <c r="H124" i="1" s="1"/>
  <c r="L123" i="1"/>
  <c r="K123" i="1"/>
  <c r="G123" i="1"/>
  <c r="H123" i="1" s="1"/>
  <c r="L122" i="1"/>
  <c r="K122" i="1"/>
  <c r="G122" i="1"/>
  <c r="H122" i="1" s="1"/>
  <c r="K121" i="1"/>
  <c r="L121" i="1" s="1"/>
  <c r="G121" i="1"/>
  <c r="H121" i="1" s="1"/>
  <c r="K120" i="1"/>
  <c r="L120" i="1" s="1"/>
  <c r="G120" i="1"/>
  <c r="H120" i="1" s="1"/>
  <c r="L119" i="1"/>
  <c r="K119" i="1"/>
  <c r="G119" i="1"/>
  <c r="H119" i="1" s="1"/>
  <c r="L118" i="1"/>
  <c r="K118" i="1"/>
  <c r="G118" i="1"/>
  <c r="H118" i="1" s="1"/>
  <c r="K117" i="1"/>
  <c r="L117" i="1" s="1"/>
  <c r="G117" i="1"/>
  <c r="H117" i="1" s="1"/>
  <c r="K116" i="1"/>
  <c r="L116" i="1" s="1"/>
  <c r="G116" i="1"/>
  <c r="H116" i="1" s="1"/>
  <c r="L115" i="1"/>
  <c r="K115" i="1"/>
  <c r="G115" i="1"/>
  <c r="H115" i="1" s="1"/>
  <c r="L114" i="1"/>
  <c r="K114" i="1"/>
  <c r="G114" i="1"/>
  <c r="H114" i="1" s="1"/>
  <c r="K113" i="1"/>
  <c r="L113" i="1" s="1"/>
  <c r="G113" i="1"/>
  <c r="H113" i="1" s="1"/>
  <c r="K112" i="1"/>
  <c r="L112" i="1" s="1"/>
  <c r="G112" i="1"/>
  <c r="H112" i="1" s="1"/>
  <c r="L111" i="1"/>
  <c r="K111" i="1"/>
  <c r="G111" i="1"/>
  <c r="H111" i="1" s="1"/>
  <c r="L110" i="1"/>
  <c r="K110" i="1"/>
  <c r="G110" i="1"/>
  <c r="H110" i="1" s="1"/>
  <c r="K109" i="1"/>
  <c r="L109" i="1" s="1"/>
  <c r="G109" i="1"/>
  <c r="H109" i="1" s="1"/>
  <c r="K108" i="1"/>
  <c r="L108" i="1" s="1"/>
  <c r="G108" i="1"/>
  <c r="H108" i="1" s="1"/>
  <c r="L107" i="1"/>
  <c r="K107" i="1"/>
  <c r="G107" i="1"/>
  <c r="H107" i="1" s="1"/>
  <c r="L106" i="1"/>
  <c r="K106" i="1"/>
  <c r="G106" i="1"/>
  <c r="H106" i="1" s="1"/>
  <c r="K105" i="1"/>
  <c r="L105" i="1" s="1"/>
  <c r="G105" i="1"/>
  <c r="H105" i="1" s="1"/>
  <c r="K104" i="1"/>
  <c r="L104" i="1" s="1"/>
  <c r="G104" i="1"/>
  <c r="H104" i="1" s="1"/>
  <c r="L103" i="1"/>
  <c r="K103" i="1"/>
  <c r="G103" i="1"/>
  <c r="H103" i="1" s="1"/>
  <c r="K102" i="1"/>
  <c r="L102" i="1" s="1"/>
  <c r="G102" i="1"/>
  <c r="H102" i="1" s="1"/>
  <c r="K101" i="1"/>
  <c r="L101" i="1" s="1"/>
  <c r="G101" i="1"/>
  <c r="H101" i="1" s="1"/>
  <c r="K100" i="1"/>
  <c r="L100" i="1" s="1"/>
  <c r="G100" i="1"/>
  <c r="H100" i="1" s="1"/>
  <c r="L99" i="1"/>
  <c r="K99" i="1"/>
  <c r="G99" i="1"/>
  <c r="H99" i="1" s="1"/>
  <c r="K98" i="1"/>
  <c r="L98" i="1" s="1"/>
  <c r="G98" i="1"/>
  <c r="H98" i="1" s="1"/>
  <c r="K97" i="1"/>
  <c r="L97" i="1" s="1"/>
  <c r="G97" i="1"/>
  <c r="H97" i="1" s="1"/>
  <c r="K96" i="1"/>
  <c r="L96" i="1" s="1"/>
  <c r="G96" i="1"/>
  <c r="H96" i="1" s="1"/>
  <c r="L95" i="1"/>
  <c r="K95" i="1"/>
  <c r="G95" i="1"/>
  <c r="H95" i="1" s="1"/>
  <c r="K94" i="1"/>
  <c r="L94" i="1" s="1"/>
  <c r="G94" i="1"/>
  <c r="H94" i="1" s="1"/>
  <c r="K93" i="1"/>
  <c r="L93" i="1" s="1"/>
  <c r="G93" i="1"/>
  <c r="H93" i="1" s="1"/>
  <c r="K92" i="1"/>
  <c r="L92" i="1" s="1"/>
  <c r="G92" i="1"/>
  <c r="H92" i="1" s="1"/>
  <c r="L91" i="1"/>
  <c r="K91" i="1"/>
  <c r="G91" i="1"/>
  <c r="H91" i="1" s="1"/>
  <c r="K90" i="1"/>
  <c r="L90" i="1" s="1"/>
  <c r="G90" i="1"/>
  <c r="H90" i="1" s="1"/>
  <c r="K89" i="1"/>
  <c r="L89" i="1" s="1"/>
  <c r="G89" i="1"/>
  <c r="H89" i="1" s="1"/>
  <c r="K88" i="1"/>
  <c r="L88" i="1" s="1"/>
  <c r="G88" i="1"/>
  <c r="H88" i="1" s="1"/>
  <c r="L87" i="1"/>
  <c r="K87" i="1"/>
  <c r="G87" i="1"/>
  <c r="H87" i="1" s="1"/>
  <c r="K86" i="1"/>
  <c r="L86" i="1" s="1"/>
  <c r="G86" i="1"/>
  <c r="H86" i="1" s="1"/>
  <c r="K85" i="1"/>
  <c r="L85" i="1" s="1"/>
  <c r="G85" i="1"/>
  <c r="H85" i="1" s="1"/>
  <c r="K84" i="1"/>
  <c r="L84" i="1" s="1"/>
  <c r="G84" i="1"/>
  <c r="H84" i="1" s="1"/>
  <c r="L83" i="1"/>
  <c r="K83" i="1"/>
  <c r="G83" i="1"/>
  <c r="H83" i="1" s="1"/>
  <c r="K82" i="1"/>
  <c r="L82" i="1" s="1"/>
  <c r="G82" i="1"/>
  <c r="H82" i="1" s="1"/>
  <c r="K81" i="1"/>
  <c r="L81" i="1" s="1"/>
  <c r="G81" i="1"/>
  <c r="H81" i="1" s="1"/>
  <c r="K80" i="1"/>
  <c r="L80" i="1" s="1"/>
  <c r="G80" i="1"/>
  <c r="H80" i="1" s="1"/>
  <c r="L79" i="1"/>
  <c r="K79" i="1"/>
  <c r="G79" i="1"/>
  <c r="H79" i="1" s="1"/>
  <c r="K78" i="1"/>
  <c r="L78" i="1" s="1"/>
  <c r="G78" i="1"/>
  <c r="H78" i="1" s="1"/>
  <c r="K77" i="1"/>
  <c r="L77" i="1" s="1"/>
  <c r="G77" i="1"/>
  <c r="H77" i="1" s="1"/>
  <c r="K76" i="1"/>
  <c r="L76" i="1" s="1"/>
  <c r="G76" i="1"/>
  <c r="H76" i="1" s="1"/>
  <c r="L75" i="1"/>
  <c r="K75" i="1"/>
  <c r="G75" i="1"/>
  <c r="H75" i="1" s="1"/>
  <c r="K74" i="1"/>
  <c r="L74" i="1" s="1"/>
  <c r="G74" i="1"/>
  <c r="H74" i="1" s="1"/>
  <c r="K73" i="1"/>
  <c r="L73" i="1" s="1"/>
  <c r="G73" i="1"/>
  <c r="H73" i="1" s="1"/>
  <c r="K72" i="1"/>
  <c r="L72" i="1" s="1"/>
  <c r="G72" i="1"/>
  <c r="H72" i="1" s="1"/>
  <c r="L71" i="1"/>
  <c r="K71" i="1"/>
  <c r="G71" i="1"/>
  <c r="H71" i="1" s="1"/>
  <c r="K70" i="1"/>
  <c r="L70" i="1" s="1"/>
  <c r="G70" i="1"/>
  <c r="H70" i="1" s="1"/>
  <c r="K69" i="1"/>
  <c r="L69" i="1" s="1"/>
  <c r="G69" i="1"/>
  <c r="H69" i="1" s="1"/>
  <c r="K68" i="1"/>
  <c r="L68" i="1" s="1"/>
  <c r="G68" i="1"/>
  <c r="H68" i="1" s="1"/>
  <c r="L67" i="1"/>
  <c r="K67" i="1"/>
  <c r="G67" i="1"/>
  <c r="H67" i="1" s="1"/>
  <c r="K66" i="1"/>
  <c r="L66" i="1" s="1"/>
  <c r="G66" i="1"/>
  <c r="H66" i="1" s="1"/>
  <c r="K65" i="1"/>
  <c r="L65" i="1" s="1"/>
  <c r="G65" i="1"/>
  <c r="H65" i="1" s="1"/>
  <c r="K64" i="1"/>
  <c r="L64" i="1" s="1"/>
  <c r="G64" i="1"/>
  <c r="H64" i="1" s="1"/>
  <c r="L63" i="1"/>
  <c r="K63" i="1"/>
  <c r="G63" i="1"/>
  <c r="H63" i="1" s="1"/>
  <c r="K62" i="1"/>
  <c r="L62" i="1" s="1"/>
  <c r="G62" i="1"/>
  <c r="H62" i="1" s="1"/>
  <c r="K61" i="1"/>
  <c r="L61" i="1" s="1"/>
  <c r="G61" i="1"/>
  <c r="H61" i="1" s="1"/>
  <c r="K60" i="1"/>
  <c r="L60" i="1" s="1"/>
  <c r="G60" i="1"/>
  <c r="H60" i="1" s="1"/>
  <c r="L59" i="1"/>
  <c r="K59" i="1"/>
  <c r="G59" i="1"/>
  <c r="H59" i="1" s="1"/>
  <c r="L58" i="1"/>
  <c r="K58" i="1"/>
  <c r="G58" i="1"/>
  <c r="H58" i="1" s="1"/>
  <c r="L57" i="1"/>
  <c r="K57" i="1"/>
  <c r="G57" i="1"/>
  <c r="H57" i="1" s="1"/>
  <c r="L56" i="1"/>
  <c r="K56" i="1"/>
  <c r="G56" i="1"/>
  <c r="H56" i="1" s="1"/>
  <c r="L55" i="1"/>
  <c r="K55" i="1"/>
  <c r="G55" i="1"/>
  <c r="H55" i="1" s="1"/>
  <c r="L54" i="1"/>
  <c r="K54" i="1"/>
  <c r="G54" i="1"/>
  <c r="H54" i="1" s="1"/>
  <c r="L53" i="1"/>
  <c r="K53" i="1"/>
  <c r="G53" i="1"/>
  <c r="H53" i="1" s="1"/>
  <c r="L52" i="1"/>
  <c r="K52" i="1"/>
  <c r="G52" i="1"/>
  <c r="H52" i="1" s="1"/>
  <c r="L51" i="1"/>
  <c r="K51" i="1"/>
  <c r="G51" i="1"/>
  <c r="H51" i="1" s="1"/>
  <c r="L50" i="1"/>
  <c r="K50" i="1"/>
  <c r="G50" i="1"/>
  <c r="H50" i="1" s="1"/>
  <c r="L49" i="1"/>
  <c r="K49" i="1"/>
  <c r="G49" i="1"/>
  <c r="H49" i="1" s="1"/>
  <c r="L48" i="1"/>
  <c r="K48" i="1"/>
  <c r="G48" i="1"/>
  <c r="H48" i="1" s="1"/>
  <c r="L47" i="1"/>
  <c r="K47" i="1"/>
  <c r="G47" i="1"/>
  <c r="H47" i="1" s="1"/>
  <c r="L46" i="1"/>
  <c r="K46" i="1"/>
  <c r="G46" i="1"/>
  <c r="H46" i="1" s="1"/>
  <c r="L45" i="1"/>
  <c r="K45" i="1"/>
  <c r="G45" i="1"/>
  <c r="H45" i="1" s="1"/>
  <c r="L44" i="1"/>
  <c r="K44" i="1"/>
  <c r="G44" i="1"/>
  <c r="H44" i="1" s="1"/>
  <c r="L43" i="1"/>
  <c r="K43" i="1"/>
  <c r="G43" i="1"/>
  <c r="H43" i="1" s="1"/>
  <c r="L42" i="1"/>
  <c r="K42" i="1"/>
  <c r="G42" i="1"/>
  <c r="H42" i="1" s="1"/>
  <c r="L41" i="1"/>
  <c r="K41" i="1"/>
  <c r="G41" i="1"/>
  <c r="H41" i="1" s="1"/>
  <c r="L40" i="1"/>
  <c r="K40" i="1"/>
  <c r="G40" i="1"/>
  <c r="H40" i="1" s="1"/>
  <c r="L39" i="1"/>
  <c r="K39" i="1"/>
  <c r="G39" i="1"/>
  <c r="H39" i="1" s="1"/>
  <c r="L38" i="1"/>
  <c r="K38" i="1"/>
  <c r="G38" i="1"/>
  <c r="H38" i="1" s="1"/>
  <c r="L37" i="1"/>
  <c r="K37" i="1"/>
  <c r="G37" i="1"/>
  <c r="H37" i="1" s="1"/>
  <c r="L36" i="1"/>
  <c r="K36" i="1"/>
  <c r="G36" i="1"/>
  <c r="H36" i="1" s="1"/>
  <c r="L30" i="1"/>
  <c r="K30" i="1"/>
  <c r="G30" i="1"/>
  <c r="H30" i="1" s="1"/>
  <c r="L29" i="1"/>
  <c r="K29" i="1"/>
  <c r="G29" i="1"/>
  <c r="H29" i="1" s="1"/>
  <c r="L28" i="1"/>
  <c r="K28" i="1"/>
  <c r="G28" i="1"/>
  <c r="H28" i="1" s="1"/>
  <c r="L27" i="1"/>
  <c r="K27" i="1"/>
  <c r="G27" i="1"/>
  <c r="H27" i="1" s="1"/>
  <c r="L26" i="1"/>
  <c r="K26" i="1"/>
  <c r="G26" i="1"/>
  <c r="H26" i="1" s="1"/>
  <c r="L25" i="1"/>
  <c r="K25" i="1"/>
  <c r="G25" i="1"/>
  <c r="H25" i="1" s="1"/>
  <c r="L24" i="1"/>
  <c r="L32" i="1" s="1"/>
  <c r="M32" i="1" s="1"/>
  <c r="K24" i="1"/>
  <c r="G24" i="1"/>
  <c r="H24" i="1" s="1"/>
  <c r="H32" i="1" s="1"/>
  <c r="I32" i="1" s="1"/>
  <c r="L18" i="1"/>
  <c r="K18" i="1"/>
  <c r="G18" i="1"/>
  <c r="H18" i="1" s="1"/>
  <c r="L17" i="1"/>
  <c r="K17" i="1"/>
  <c r="G17" i="1"/>
  <c r="H17" i="1" s="1"/>
  <c r="L16" i="1"/>
  <c r="K16" i="1"/>
  <c r="G16" i="1"/>
  <c r="H16" i="1" s="1"/>
  <c r="L15" i="1"/>
  <c r="K15" i="1"/>
  <c r="G15" i="1"/>
  <c r="H15" i="1" s="1"/>
  <c r="L14" i="1"/>
  <c r="K14" i="1"/>
  <c r="G14" i="1"/>
  <c r="H14" i="1" s="1"/>
  <c r="L13" i="1"/>
  <c r="K13" i="1"/>
  <c r="G13" i="1"/>
  <c r="H13" i="1" s="1"/>
  <c r="L12" i="1"/>
  <c r="K12" i="1"/>
  <c r="G12" i="1"/>
  <c r="H12" i="1" s="1"/>
  <c r="L11" i="1"/>
  <c r="K11" i="1"/>
  <c r="G11" i="1"/>
  <c r="H11" i="1" s="1"/>
  <c r="L10" i="1"/>
  <c r="K10" i="1"/>
  <c r="G10" i="1"/>
  <c r="H10" i="1" s="1"/>
  <c r="L9" i="1"/>
  <c r="K9" i="1"/>
  <c r="G9" i="1"/>
  <c r="H9" i="1" s="1"/>
  <c r="L8" i="1"/>
  <c r="K8" i="1"/>
  <c r="G8" i="1"/>
  <c r="H8" i="1" s="1"/>
  <c r="L7" i="1"/>
  <c r="K7" i="1"/>
  <c r="G7" i="1"/>
  <c r="H7" i="1" s="1"/>
  <c r="L6" i="1"/>
  <c r="K6" i="1"/>
  <c r="G6" i="1"/>
  <c r="H6" i="1" s="1"/>
  <c r="L5" i="1"/>
  <c r="L21" i="1" s="1"/>
  <c r="K5" i="1"/>
  <c r="G5" i="1"/>
  <c r="H5" i="1" s="1"/>
  <c r="E14" i="7" l="1"/>
  <c r="G13" i="7"/>
  <c r="I13" i="7" s="1"/>
  <c r="H71" i="7"/>
  <c r="K15" i="7"/>
  <c r="I15" i="7"/>
  <c r="K11" i="7"/>
  <c r="I11" i="7"/>
  <c r="K24" i="7"/>
  <c r="I24" i="7"/>
  <c r="K64" i="7"/>
  <c r="I64" i="7"/>
  <c r="K10" i="7"/>
  <c r="I10" i="7"/>
  <c r="K65" i="7"/>
  <c r="I65" i="7"/>
  <c r="K16" i="7"/>
  <c r="I16" i="7"/>
  <c r="K7" i="7"/>
  <c r="I7" i="7"/>
  <c r="K25" i="7"/>
  <c r="I25" i="7"/>
  <c r="K60" i="7"/>
  <c r="I60" i="7"/>
  <c r="K59" i="7"/>
  <c r="I59" i="7"/>
  <c r="K39" i="7"/>
  <c r="I39" i="7"/>
  <c r="K21" i="7"/>
  <c r="I21" i="7"/>
  <c r="K55" i="7"/>
  <c r="I55" i="7"/>
  <c r="K44" i="7"/>
  <c r="I44" i="7"/>
  <c r="K52" i="7"/>
  <c r="I52" i="7"/>
  <c r="K41" i="7"/>
  <c r="I41" i="7"/>
  <c r="K26" i="7"/>
  <c r="I26" i="7"/>
  <c r="K62" i="7"/>
  <c r="I62" i="7"/>
  <c r="K38" i="7"/>
  <c r="I38" i="7"/>
  <c r="K23" i="7"/>
  <c r="I23" i="7"/>
  <c r="K8" i="7"/>
  <c r="I8" i="7"/>
  <c r="K54" i="7"/>
  <c r="I54" i="7"/>
  <c r="K43" i="7"/>
  <c r="I43" i="7"/>
  <c r="K68" i="7"/>
  <c r="I68" i="7"/>
  <c r="K47" i="7"/>
  <c r="I47" i="7"/>
  <c r="K30" i="7"/>
  <c r="I30" i="7"/>
  <c r="K34" i="7"/>
  <c r="I34" i="7"/>
  <c r="K53" i="7"/>
  <c r="I53" i="7"/>
  <c r="K42" i="7"/>
  <c r="I42" i="7"/>
  <c r="K27" i="7"/>
  <c r="I27" i="7"/>
  <c r="K61" i="7"/>
  <c r="I61" i="7"/>
  <c r="K67" i="7"/>
  <c r="I67" i="7"/>
  <c r="K46" i="7"/>
  <c r="I46" i="7"/>
  <c r="K29" i="7"/>
  <c r="I29" i="7"/>
  <c r="K36" i="7"/>
  <c r="I36" i="7"/>
  <c r="K69" i="7"/>
  <c r="I69" i="7"/>
  <c r="K48" i="7"/>
  <c r="I48" i="7"/>
  <c r="K45" i="7"/>
  <c r="I45" i="7"/>
  <c r="K28" i="7"/>
  <c r="I28" i="7"/>
  <c r="K17" i="7"/>
  <c r="I17" i="7"/>
  <c r="K31" i="7"/>
  <c r="I31" i="7"/>
  <c r="K9" i="7"/>
  <c r="I9" i="7"/>
  <c r="K6" i="7"/>
  <c r="I6" i="7"/>
  <c r="K19" i="7"/>
  <c r="I19" i="7"/>
  <c r="K57" i="7"/>
  <c r="I57" i="7"/>
  <c r="K35" i="7"/>
  <c r="I35" i="7"/>
  <c r="K40" i="7"/>
  <c r="I40" i="7"/>
  <c r="K37" i="7"/>
  <c r="I37" i="7"/>
  <c r="K22" i="7"/>
  <c r="I22" i="7"/>
  <c r="K66" i="7"/>
  <c r="I66" i="7"/>
  <c r="K49" i="7"/>
  <c r="I49" i="7"/>
  <c r="K32" i="7"/>
  <c r="I32" i="7"/>
  <c r="F71" i="7"/>
  <c r="E50" i="7"/>
  <c r="E33" i="7"/>
  <c r="G50" i="7"/>
  <c r="E56" i="7"/>
  <c r="G63" i="7"/>
  <c r="E70" i="7"/>
  <c r="G70" i="7"/>
  <c r="E63" i="7"/>
  <c r="G18" i="7"/>
  <c r="E18" i="7"/>
  <c r="G12" i="7"/>
  <c r="K51" i="7"/>
  <c r="G56" i="7"/>
  <c r="G33" i="7"/>
  <c r="K20" i="7"/>
  <c r="L485" i="1"/>
  <c r="M485" i="1" s="1"/>
  <c r="M21" i="1"/>
  <c r="H195" i="1"/>
  <c r="I195" i="1" s="1"/>
  <c r="H21" i="1"/>
  <c r="L195" i="1"/>
  <c r="M195" i="1" s="1"/>
  <c r="L487" i="1"/>
  <c r="M487" i="1" s="1"/>
  <c r="L486" i="1"/>
  <c r="M486" i="1" s="1"/>
  <c r="M484" i="1"/>
  <c r="H486" i="1"/>
  <c r="I486" i="1" s="1"/>
  <c r="I484" i="1"/>
  <c r="K13" i="7" l="1"/>
  <c r="K70" i="7"/>
  <c r="K63" i="7"/>
  <c r="K18" i="7"/>
  <c r="K56" i="7"/>
  <c r="I63" i="7"/>
  <c r="K50" i="7"/>
  <c r="I33" i="7"/>
  <c r="I56" i="7"/>
  <c r="K33" i="7"/>
  <c r="I50" i="7"/>
  <c r="I18" i="7"/>
  <c r="K12" i="7"/>
  <c r="I12" i="7"/>
  <c r="I14" i="7" s="1"/>
  <c r="I70" i="7"/>
  <c r="E71" i="7"/>
  <c r="G14" i="7"/>
  <c r="G71" i="7" s="1"/>
  <c r="H485" i="1"/>
  <c r="I485" i="1" s="1"/>
  <c r="I21" i="1"/>
  <c r="H487" i="1"/>
  <c r="I487" i="1" s="1"/>
  <c r="K14" i="7" l="1"/>
  <c r="K71" i="7" s="1"/>
  <c r="I71" i="7"/>
  <c r="D8" i="2"/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" i="1"/>
  <c r="I70" i="2"/>
  <c r="J70" i="2"/>
  <c r="I50" i="2"/>
  <c r="J50" i="2"/>
  <c r="I56" i="2"/>
  <c r="J56" i="2"/>
  <c r="I69" i="2"/>
  <c r="J69" i="2"/>
  <c r="I62" i="2"/>
  <c r="J62" i="2"/>
  <c r="E49" i="2"/>
  <c r="I33" i="2"/>
  <c r="J33" i="2"/>
  <c r="I18" i="2"/>
  <c r="J18" i="2"/>
  <c r="I14" i="2"/>
  <c r="J14" i="2"/>
  <c r="D13" i="2"/>
  <c r="E9" i="2" l="1"/>
  <c r="F9" i="2"/>
  <c r="H9" i="2"/>
  <c r="D9" i="2"/>
  <c r="F6" i="2"/>
  <c r="H6" i="2"/>
  <c r="F7" i="2"/>
  <c r="H7" i="2"/>
  <c r="E7" i="2"/>
  <c r="E12" i="2"/>
  <c r="E13" i="2"/>
  <c r="E6" i="2"/>
  <c r="D20" i="2"/>
  <c r="D26" i="2"/>
  <c r="D23" i="2"/>
  <c r="D25" i="2"/>
  <c r="D27" i="2"/>
  <c r="D24" i="2"/>
  <c r="D21" i="2"/>
  <c r="D28" i="2"/>
  <c r="D29" i="2"/>
  <c r="D51" i="2"/>
  <c r="D52" i="2"/>
  <c r="D53" i="2"/>
  <c r="D54" i="2"/>
  <c r="D46" i="2"/>
  <c r="D39" i="2"/>
  <c r="D40" i="2"/>
  <c r="D38" i="2"/>
  <c r="D43" i="2"/>
  <c r="D47" i="2"/>
  <c r="D48" i="2"/>
  <c r="D41" i="2"/>
  <c r="D34" i="2"/>
  <c r="D35" i="2"/>
  <c r="D42" i="2"/>
  <c r="D44" i="2"/>
  <c r="D37" i="2"/>
  <c r="D36" i="2"/>
  <c r="D22" i="2"/>
  <c r="D59" i="2"/>
  <c r="D63" i="2"/>
  <c r="D64" i="2"/>
  <c r="D65" i="2"/>
  <c r="D66" i="2"/>
  <c r="D32" i="2"/>
  <c r="D31" i="2"/>
  <c r="D30" i="2"/>
  <c r="D55" i="2"/>
  <c r="D15" i="2"/>
  <c r="D16" i="2"/>
  <c r="D60" i="2"/>
  <c r="D61" i="2"/>
  <c r="D45" i="2"/>
  <c r="D67" i="2"/>
  <c r="D68" i="2"/>
  <c r="D49" i="2"/>
  <c r="D17" i="2"/>
  <c r="D19" i="2"/>
  <c r="D10" i="2"/>
  <c r="D57" i="2"/>
  <c r="D11" i="2"/>
  <c r="D7" i="2"/>
  <c r="D12" i="2"/>
  <c r="D6" i="2"/>
  <c r="E14" i="2" l="1"/>
  <c r="G7" i="2"/>
  <c r="K7" i="2" s="1"/>
  <c r="G9" i="2"/>
  <c r="K9" i="2" s="1"/>
  <c r="G6" i="2"/>
  <c r="E20" i="2"/>
  <c r="F20" i="2"/>
  <c r="E26" i="2"/>
  <c r="F26" i="2"/>
  <c r="E23" i="2"/>
  <c r="F23" i="2"/>
  <c r="E25" i="2"/>
  <c r="F25" i="2"/>
  <c r="E27" i="2"/>
  <c r="F27" i="2"/>
  <c r="E24" i="2"/>
  <c r="F24" i="2"/>
  <c r="E21" i="2"/>
  <c r="F21" i="2"/>
  <c r="E28" i="2"/>
  <c r="F28" i="2"/>
  <c r="E29" i="2"/>
  <c r="F29" i="2"/>
  <c r="E51" i="2"/>
  <c r="F51" i="2"/>
  <c r="E52" i="2"/>
  <c r="F52" i="2"/>
  <c r="E53" i="2"/>
  <c r="F53" i="2"/>
  <c r="E54" i="2"/>
  <c r="F54" i="2"/>
  <c r="E46" i="2"/>
  <c r="E39" i="2"/>
  <c r="E40" i="2"/>
  <c r="E38" i="2"/>
  <c r="E43" i="2"/>
  <c r="E47" i="2"/>
  <c r="E48" i="2"/>
  <c r="E41" i="2"/>
  <c r="E34" i="2"/>
  <c r="E35" i="2"/>
  <c r="E42" i="2"/>
  <c r="E37" i="2"/>
  <c r="E36" i="2"/>
  <c r="F22" i="2"/>
  <c r="E22" i="2"/>
  <c r="E10" i="2"/>
  <c r="F10" i="2"/>
  <c r="K6" i="2" l="1"/>
  <c r="G21" i="2"/>
  <c r="G20" i="2"/>
  <c r="G23" i="2"/>
  <c r="G34" i="2"/>
  <c r="G40" i="2"/>
  <c r="G51" i="2"/>
  <c r="G25" i="2"/>
  <c r="G44" i="2"/>
  <c r="G47" i="2"/>
  <c r="G54" i="2"/>
  <c r="G46" i="2"/>
  <c r="G10" i="2"/>
  <c r="G48" i="2"/>
  <c r="G52" i="2"/>
  <c r="G28" i="2"/>
  <c r="G27" i="2"/>
  <c r="G26" i="2"/>
  <c r="G35" i="2"/>
  <c r="G37" i="2"/>
  <c r="G38" i="2"/>
  <c r="G41" i="2"/>
  <c r="G29" i="2"/>
  <c r="G36" i="2"/>
  <c r="G39" i="2"/>
  <c r="G42" i="2"/>
  <c r="G43" i="2"/>
  <c r="G53" i="2"/>
  <c r="G24" i="2"/>
  <c r="G22" i="2"/>
  <c r="H38" i="2"/>
  <c r="E59" i="2"/>
  <c r="F59" i="2"/>
  <c r="E63" i="2"/>
  <c r="F63" i="2"/>
  <c r="E64" i="2"/>
  <c r="F64" i="2"/>
  <c r="E65" i="2"/>
  <c r="F65" i="2"/>
  <c r="E66" i="2"/>
  <c r="F66" i="2"/>
  <c r="E32" i="2"/>
  <c r="F32" i="2"/>
  <c r="E31" i="2"/>
  <c r="F31" i="2"/>
  <c r="E30" i="2"/>
  <c r="F30" i="2"/>
  <c r="E55" i="2"/>
  <c r="E56" i="2" s="1"/>
  <c r="F55" i="2"/>
  <c r="F56" i="2" s="1"/>
  <c r="E15" i="2"/>
  <c r="F15" i="2"/>
  <c r="E16" i="2"/>
  <c r="F16" i="2"/>
  <c r="E60" i="2"/>
  <c r="F60" i="2"/>
  <c r="E61" i="2"/>
  <c r="F61" i="2"/>
  <c r="E45" i="2"/>
  <c r="E50" i="2" s="1"/>
  <c r="E67" i="2"/>
  <c r="F67" i="2"/>
  <c r="E68" i="2"/>
  <c r="F68" i="2"/>
  <c r="E17" i="2"/>
  <c r="F17" i="2"/>
  <c r="E19" i="2"/>
  <c r="F19" i="2"/>
  <c r="E57" i="2"/>
  <c r="F57" i="2"/>
  <c r="E11" i="2"/>
  <c r="F11" i="2"/>
  <c r="E8" i="2"/>
  <c r="F8" i="2"/>
  <c r="F13" i="2"/>
  <c r="F12" i="2"/>
  <c r="E33" i="2" l="1"/>
  <c r="F14" i="2"/>
  <c r="F50" i="2"/>
  <c r="F33" i="2"/>
  <c r="E62" i="2"/>
  <c r="F62" i="2"/>
  <c r="F18" i="2"/>
  <c r="F69" i="2"/>
  <c r="E69" i="2"/>
  <c r="E18" i="2"/>
  <c r="G17" i="2"/>
  <c r="G67" i="2"/>
  <c r="K38" i="2"/>
  <c r="G60" i="2"/>
  <c r="G8" i="2"/>
  <c r="G11" i="2"/>
  <c r="G65" i="2"/>
  <c r="G16" i="2"/>
  <c r="G66" i="2"/>
  <c r="G68" i="2"/>
  <c r="G15" i="2"/>
  <c r="G31" i="2"/>
  <c r="G63" i="2"/>
  <c r="G57" i="2"/>
  <c r="G49" i="2"/>
  <c r="G19" i="2"/>
  <c r="G45" i="2"/>
  <c r="G55" i="2"/>
  <c r="G56" i="2" s="1"/>
  <c r="G32" i="2"/>
  <c r="G59" i="2"/>
  <c r="G61" i="2"/>
  <c r="G30" i="2"/>
  <c r="G64" i="2"/>
  <c r="G13" i="2"/>
  <c r="G12" i="2"/>
  <c r="H20" i="2"/>
  <c r="H26" i="2"/>
  <c r="K26" i="2" s="1"/>
  <c r="H23" i="2"/>
  <c r="K23" i="2" s="1"/>
  <c r="H25" i="2"/>
  <c r="K25" i="2" s="1"/>
  <c r="H27" i="2"/>
  <c r="K27" i="2" s="1"/>
  <c r="H24" i="2"/>
  <c r="K24" i="2" s="1"/>
  <c r="H21" i="2"/>
  <c r="K21" i="2" s="1"/>
  <c r="H28" i="2"/>
  <c r="K28" i="2" s="1"/>
  <c r="H29" i="2"/>
  <c r="K29" i="2" s="1"/>
  <c r="H51" i="2"/>
  <c r="H52" i="2"/>
  <c r="K52" i="2" s="1"/>
  <c r="H53" i="2"/>
  <c r="K53" i="2" s="1"/>
  <c r="H54" i="2"/>
  <c r="K54" i="2" s="1"/>
  <c r="H46" i="2"/>
  <c r="K46" i="2" s="1"/>
  <c r="H39" i="2"/>
  <c r="K39" i="2" s="1"/>
  <c r="H40" i="2"/>
  <c r="K40" i="2" s="1"/>
  <c r="H43" i="2"/>
  <c r="K43" i="2" s="1"/>
  <c r="H47" i="2"/>
  <c r="K47" i="2" s="1"/>
  <c r="H48" i="2"/>
  <c r="K48" i="2" s="1"/>
  <c r="H41" i="2"/>
  <c r="K41" i="2" s="1"/>
  <c r="H34" i="2"/>
  <c r="H35" i="2"/>
  <c r="K35" i="2" s="1"/>
  <c r="H42" i="2"/>
  <c r="K42" i="2" s="1"/>
  <c r="H44" i="2"/>
  <c r="K44" i="2" s="1"/>
  <c r="H37" i="2"/>
  <c r="K37" i="2" s="1"/>
  <c r="H36" i="2"/>
  <c r="K36" i="2" s="1"/>
  <c r="H22" i="2"/>
  <c r="K22" i="2" s="1"/>
  <c r="B57" i="2"/>
  <c r="H57" i="2" s="1"/>
  <c r="H59" i="2"/>
  <c r="H63" i="2"/>
  <c r="H64" i="2"/>
  <c r="H65" i="2"/>
  <c r="H66" i="2"/>
  <c r="H32" i="2"/>
  <c r="H31" i="2"/>
  <c r="H30" i="2"/>
  <c r="H55" i="2"/>
  <c r="H15" i="2"/>
  <c r="H16" i="2"/>
  <c r="H60" i="2"/>
  <c r="H61" i="2"/>
  <c r="H45" i="2"/>
  <c r="H67" i="2"/>
  <c r="H68" i="2"/>
  <c r="H49" i="2"/>
  <c r="H17" i="2"/>
  <c r="K17" i="2" s="1"/>
  <c r="H19" i="2"/>
  <c r="H10" i="2"/>
  <c r="K10" i="2" s="1"/>
  <c r="H13" i="2"/>
  <c r="H11" i="2"/>
  <c r="H8" i="2"/>
  <c r="K67" i="2" l="1"/>
  <c r="E70" i="2"/>
  <c r="F70" i="2"/>
  <c r="G14" i="2"/>
  <c r="G50" i="2"/>
  <c r="G69" i="2"/>
  <c r="K20" i="2"/>
  <c r="H33" i="2"/>
  <c r="K51" i="2"/>
  <c r="H56" i="2"/>
  <c r="K60" i="2"/>
  <c r="G18" i="2"/>
  <c r="H69" i="2"/>
  <c r="K34" i="2"/>
  <c r="H50" i="2"/>
  <c r="H14" i="2"/>
  <c r="H62" i="2"/>
  <c r="G33" i="2"/>
  <c r="G62" i="2"/>
  <c r="H18" i="2"/>
  <c r="K8" i="2"/>
  <c r="K65" i="2"/>
  <c r="K59" i="2"/>
  <c r="K32" i="2"/>
  <c r="K11" i="2"/>
  <c r="K68" i="2"/>
  <c r="K13" i="2"/>
  <c r="K64" i="2"/>
  <c r="K45" i="2"/>
  <c r="K57" i="2"/>
  <c r="K16" i="2"/>
  <c r="K30" i="2"/>
  <c r="K19" i="2"/>
  <c r="K63" i="2"/>
  <c r="K61" i="2"/>
  <c r="K31" i="2"/>
  <c r="K15" i="2"/>
  <c r="K55" i="2"/>
  <c r="K49" i="2"/>
  <c r="K66" i="2"/>
  <c r="K12" i="2"/>
  <c r="G70" i="2" l="1"/>
  <c r="K50" i="2"/>
  <c r="K18" i="2"/>
  <c r="H70" i="2"/>
  <c r="K69" i="2"/>
  <c r="K14" i="2"/>
  <c r="K33" i="2"/>
  <c r="K62" i="2"/>
  <c r="K56" i="2"/>
  <c r="K70" i="2" l="1"/>
</calcChain>
</file>

<file path=xl/comments1.xml><?xml version="1.0" encoding="utf-8"?>
<comments xmlns="http://schemas.openxmlformats.org/spreadsheetml/2006/main">
  <authors>
    <author>立花 舞</author>
  </authors>
  <commentList>
    <comment ref="N8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立花 舞:</t>
        </r>
        <r>
          <rPr>
            <sz val="9"/>
            <color indexed="81"/>
            <rFont val="MS P ゴシック"/>
            <family val="3"/>
            <charset val="128"/>
          </rPr>
          <t xml:space="preserve">
9/1転籍</t>
        </r>
      </text>
    </comment>
  </commentList>
</comments>
</file>

<file path=xl/comments2.xml><?xml version="1.0" encoding="utf-8"?>
<comments xmlns="http://schemas.openxmlformats.org/spreadsheetml/2006/main">
  <authors>
    <author>立花 舞</author>
  </authors>
  <commentList>
    <comment ref="N8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立花 舞:</t>
        </r>
        <r>
          <rPr>
            <sz val="9"/>
            <color indexed="81"/>
            <rFont val="MS P ゴシック"/>
            <family val="3"/>
            <charset val="128"/>
          </rPr>
          <t xml:space="preserve">
9/1転籍</t>
        </r>
      </text>
    </comment>
  </commentList>
</comments>
</file>

<file path=xl/comments3.xml><?xml version="1.0" encoding="utf-8"?>
<comments xmlns="http://schemas.openxmlformats.org/spreadsheetml/2006/main">
  <authors>
    <author>立花 舞</author>
  </authors>
  <commentList>
    <comment ref="D11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立花 舞:</t>
        </r>
        <r>
          <rPr>
            <sz val="9"/>
            <color indexed="81"/>
            <rFont val="MS P ゴシック"/>
            <family val="3"/>
            <charset val="128"/>
          </rPr>
          <t xml:space="preserve">
9/30退職</t>
        </r>
      </text>
    </comment>
    <comment ref="D337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立花 舞: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<sst xmlns="http://schemas.openxmlformats.org/spreadsheetml/2006/main" count="25971" uniqueCount="1914">
  <si>
    <t>基準年月日</t>
    <rPh sb="0" eb="2">
      <t>キジュン</t>
    </rPh>
    <rPh sb="2" eb="3">
      <t>ネンツキ</t>
    </rPh>
    <rPh sb="3" eb="4">
      <t>ツキ</t>
    </rPh>
    <rPh sb="4" eb="5">
      <t>ヒ</t>
    </rPh>
    <phoneticPr fontId="5"/>
  </si>
  <si>
    <t>社員番号</t>
  </si>
  <si>
    <t>氏名</t>
  </si>
  <si>
    <t>性別</t>
    <rPh sb="0" eb="2">
      <t>セイベツ</t>
    </rPh>
    <phoneticPr fontId="5"/>
  </si>
  <si>
    <t>生年月日</t>
    <rPh sb="0" eb="2">
      <t>セイネン</t>
    </rPh>
    <rPh sb="2" eb="4">
      <t>ガッピ</t>
    </rPh>
    <phoneticPr fontId="5"/>
  </si>
  <si>
    <t>入社　 
年月</t>
    <rPh sb="0" eb="2">
      <t>ニュウシャ</t>
    </rPh>
    <rPh sb="5" eb="7">
      <t>ネンゲツ</t>
    </rPh>
    <phoneticPr fontId="5"/>
  </si>
  <si>
    <t>学歴</t>
    <rPh sb="0" eb="2">
      <t>ガクレキ</t>
    </rPh>
    <phoneticPr fontId="5"/>
  </si>
  <si>
    <t>部門</t>
    <rPh sb="0" eb="2">
      <t>ブモン</t>
    </rPh>
    <phoneticPr fontId="2"/>
  </si>
  <si>
    <t>直間コード</t>
    <rPh sb="0" eb="1">
      <t>チョク</t>
    </rPh>
    <rPh sb="1" eb="2">
      <t>カン</t>
    </rPh>
    <phoneticPr fontId="5"/>
  </si>
  <si>
    <t>職専コード</t>
    <rPh sb="0" eb="1">
      <t>ショク</t>
    </rPh>
    <rPh sb="1" eb="2">
      <t>セン</t>
    </rPh>
    <phoneticPr fontId="5"/>
  </si>
  <si>
    <t>コード</t>
    <phoneticPr fontId="2"/>
  </si>
  <si>
    <t>名</t>
    <rPh sb="0" eb="1">
      <t>メイ</t>
    </rPh>
    <phoneticPr fontId="2"/>
  </si>
  <si>
    <t>老沼　信彦</t>
  </si>
  <si>
    <t>総務部羽生総務課</t>
  </si>
  <si>
    <t>高野  博司</t>
  </si>
  <si>
    <t>M</t>
  </si>
  <si>
    <t>8</t>
  </si>
  <si>
    <t>総務部</t>
  </si>
  <si>
    <t>井出　雄三</t>
  </si>
  <si>
    <t>7</t>
  </si>
  <si>
    <t>山本　剛史</t>
  </si>
  <si>
    <t>松原　幸生</t>
  </si>
  <si>
    <t>味志　康平</t>
  </si>
  <si>
    <t>相馬　裕樹</t>
  </si>
  <si>
    <t>経理部経理課</t>
  </si>
  <si>
    <t>石塚  隆司</t>
  </si>
  <si>
    <t>営業部</t>
  </si>
  <si>
    <t>戸田　鉄也</t>
  </si>
  <si>
    <t>松本　和幸</t>
  </si>
  <si>
    <t>袴田　晴夫</t>
  </si>
  <si>
    <t>市川　学</t>
  </si>
  <si>
    <t>清水　優汰</t>
  </si>
  <si>
    <t>中村　友和</t>
  </si>
  <si>
    <t>立花　舞</t>
  </si>
  <si>
    <t>L</t>
  </si>
  <si>
    <t>6</t>
  </si>
  <si>
    <t>堤　　松子</t>
  </si>
  <si>
    <t>青木　博美</t>
  </si>
  <si>
    <t>木下　由紀子</t>
  </si>
  <si>
    <t>尾崎  洋子</t>
  </si>
  <si>
    <t>羽鳥　麻里</t>
  </si>
  <si>
    <t>石田　詩織</t>
    <rPh sb="0" eb="2">
      <t>イシダ</t>
    </rPh>
    <rPh sb="3" eb="5">
      <t>シオリ</t>
    </rPh>
    <phoneticPr fontId="2"/>
  </si>
  <si>
    <t>L</t>
    <phoneticPr fontId="2"/>
  </si>
  <si>
    <t>富岡　広樹</t>
  </si>
  <si>
    <t>正木  成彦</t>
  </si>
  <si>
    <t>生産管理部製品管理課</t>
  </si>
  <si>
    <t>田村　一裕</t>
  </si>
  <si>
    <t>丹羽　一真</t>
  </si>
  <si>
    <t>飯塚     誠</t>
  </si>
  <si>
    <t>生産管理部ＩＴ管理課</t>
  </si>
  <si>
    <t>中條  幸一</t>
  </si>
  <si>
    <t>鈴木  宗則</t>
  </si>
  <si>
    <t>末永　睦</t>
  </si>
  <si>
    <t>生産技術部１課</t>
  </si>
  <si>
    <t>先崎    誠</t>
  </si>
  <si>
    <t>菊地  孝男</t>
  </si>
  <si>
    <t>島野　寿文</t>
  </si>
  <si>
    <t>丸山　浩</t>
  </si>
  <si>
    <t>68</t>
  </si>
  <si>
    <t>姫　紅勇</t>
  </si>
  <si>
    <t>9</t>
  </si>
  <si>
    <t>澁江　泰寛</t>
  </si>
  <si>
    <t>間野　嘉隆</t>
  </si>
  <si>
    <t>只野　学</t>
  </si>
  <si>
    <t>眞野　和輝</t>
  </si>
  <si>
    <t>加藤　洋慈</t>
  </si>
  <si>
    <t>岩井　啓太</t>
  </si>
  <si>
    <t>安齊　海渡</t>
  </si>
  <si>
    <t>大塚　颯大</t>
  </si>
  <si>
    <t>M</t>
    <phoneticPr fontId="2"/>
  </si>
  <si>
    <t>＊</t>
    <phoneticPr fontId="2"/>
  </si>
  <si>
    <t>田中  道明</t>
  </si>
  <si>
    <t>生産技術部２課工機係</t>
  </si>
  <si>
    <t>河野　剛二</t>
  </si>
  <si>
    <t>三浦    弘</t>
  </si>
  <si>
    <t>46</t>
  </si>
  <si>
    <t>村松  孝義</t>
  </si>
  <si>
    <t>26</t>
  </si>
  <si>
    <t>加藤　俊哉</t>
  </si>
  <si>
    <t>小菅　隼弥</t>
  </si>
  <si>
    <t>山田　諒</t>
  </si>
  <si>
    <t>生産技術部２課試作係</t>
  </si>
  <si>
    <t>柴崎  憲一</t>
  </si>
  <si>
    <t>中島    巧</t>
  </si>
  <si>
    <t>生産技術部２課保全係</t>
  </si>
  <si>
    <t>鈴木　豊治</t>
  </si>
  <si>
    <t>海老沢  忠</t>
  </si>
  <si>
    <t>本社工場工場管理課</t>
  </si>
  <si>
    <t>高塚  英喜</t>
  </si>
  <si>
    <t>67</t>
  </si>
  <si>
    <t>吉沢  忠男</t>
  </si>
  <si>
    <t>小池  利明</t>
  </si>
  <si>
    <t>神山  茂輝</t>
  </si>
  <si>
    <t>仲本  忠雄</t>
  </si>
  <si>
    <t>進藤　朋秋</t>
  </si>
  <si>
    <t>相原　永二</t>
  </si>
  <si>
    <t>杉田　航</t>
  </si>
  <si>
    <t>福田　弘幸</t>
  </si>
  <si>
    <t>本社工場改善</t>
  </si>
  <si>
    <t>小笠原　健太</t>
  </si>
  <si>
    <t>野口  建司</t>
  </si>
  <si>
    <t>石川　貴光</t>
  </si>
  <si>
    <t>伊藤  勝正</t>
  </si>
  <si>
    <t>本社工場構内物流</t>
  </si>
  <si>
    <t>神田    正</t>
  </si>
  <si>
    <t>36</t>
  </si>
  <si>
    <t>加藤  靜雄</t>
  </si>
  <si>
    <t>高橋  直弘</t>
  </si>
  <si>
    <t>松本    武</t>
  </si>
  <si>
    <t>三木  茂治</t>
  </si>
  <si>
    <t>愛須  隆司</t>
  </si>
  <si>
    <t>永井　雅夫</t>
  </si>
  <si>
    <t>速水　大介</t>
  </si>
  <si>
    <t>道野　照章</t>
  </si>
  <si>
    <t>川越第二工場管理</t>
  </si>
  <si>
    <t>溝呂木　周次</t>
  </si>
  <si>
    <t>木下    勝</t>
  </si>
  <si>
    <t>山崎　昌史</t>
  </si>
  <si>
    <t>落合　祐介</t>
  </si>
  <si>
    <t>鈴木    昇</t>
  </si>
  <si>
    <t>品質保証部検査課</t>
  </si>
  <si>
    <t>前田　岳彦</t>
  </si>
  <si>
    <t>佐伯　悠斗</t>
  </si>
  <si>
    <t>山田  克平</t>
  </si>
  <si>
    <t>品質保証部品質管理課</t>
  </si>
  <si>
    <t>田中　宏明</t>
  </si>
  <si>
    <t>石山　友樹</t>
  </si>
  <si>
    <t>宮本　和樹</t>
  </si>
  <si>
    <t>菊地　悠太</t>
  </si>
  <si>
    <t>横山　準弥</t>
  </si>
  <si>
    <t>長島    彰</t>
  </si>
  <si>
    <t>生産管理部製品管理課(羽生)</t>
  </si>
  <si>
    <t>堤　隆</t>
  </si>
  <si>
    <t>沖山  尚道</t>
  </si>
  <si>
    <t>生産管理部ＩＴ管理課(羽生)</t>
  </si>
  <si>
    <t>日野　貴史</t>
  </si>
  <si>
    <t>新井　貴文</t>
  </si>
  <si>
    <t>菊地　博之</t>
  </si>
  <si>
    <t>羽生工場構内物流</t>
  </si>
  <si>
    <t>篠崎  忠喜</t>
  </si>
  <si>
    <t>新井　猛哉</t>
  </si>
  <si>
    <t>渋谷　　仁</t>
  </si>
  <si>
    <t>河野　博之</t>
  </si>
  <si>
    <t>鈴木　　誠</t>
  </si>
  <si>
    <t>相京　紀史</t>
  </si>
  <si>
    <t>田辺    清</t>
  </si>
  <si>
    <t>横木    克</t>
  </si>
  <si>
    <t>生産技術部（羽生）</t>
  </si>
  <si>
    <t>藤井  信一</t>
  </si>
  <si>
    <t>青木  伸浩</t>
  </si>
  <si>
    <t>鈴木　春彰</t>
  </si>
  <si>
    <t>持木　崇良</t>
  </si>
  <si>
    <t>中島　健人</t>
  </si>
  <si>
    <t>市ノ川  幸生</t>
  </si>
  <si>
    <t>中島　　亮</t>
  </si>
  <si>
    <t>佐藤　直樹</t>
  </si>
  <si>
    <t>高橋　康介</t>
  </si>
  <si>
    <t>飯塚　悟史</t>
  </si>
  <si>
    <t>生産技術部工機（羽生）</t>
  </si>
  <si>
    <t>江川　　修</t>
  </si>
  <si>
    <t>一ノ瀬　祥太</t>
  </si>
  <si>
    <t>角田　元生</t>
  </si>
  <si>
    <t>羽生工場工場管理課</t>
  </si>
  <si>
    <t>磯村　崇智</t>
  </si>
  <si>
    <t>桐山　尚也</t>
  </si>
  <si>
    <t>品質保証部（羽生）</t>
  </si>
  <si>
    <t>風間　敏明</t>
  </si>
  <si>
    <t>橋本　　誠</t>
  </si>
  <si>
    <t>沢出　　滋</t>
  </si>
  <si>
    <t>和田　健太郎</t>
  </si>
  <si>
    <t>吉崎　　涼</t>
  </si>
  <si>
    <t>岩佐  光浩</t>
  </si>
  <si>
    <t>ＮＥＬ</t>
  </si>
  <si>
    <t>田中　芳明</t>
  </si>
  <si>
    <t>野村  昭夫</t>
  </si>
  <si>
    <t>大渕   清弘</t>
  </si>
  <si>
    <t>山田　哲也</t>
  </si>
  <si>
    <t>莖田　智樹</t>
  </si>
  <si>
    <t>高橋　拓也</t>
  </si>
  <si>
    <t>高橋  重之</t>
  </si>
  <si>
    <t>漆原　康友</t>
  </si>
  <si>
    <t>飯塚　将範</t>
  </si>
  <si>
    <t>小竹　裕幸</t>
  </si>
  <si>
    <t>青木　洋介</t>
  </si>
  <si>
    <t>立木    淳</t>
  </si>
  <si>
    <t>山崎　大輔</t>
  </si>
  <si>
    <t>加茂川　健太</t>
  </si>
  <si>
    <t>森田　　努</t>
  </si>
  <si>
    <t>森　　洋晃</t>
  </si>
  <si>
    <t>宇野　嘉洋</t>
  </si>
  <si>
    <t>下遠野　俊樹</t>
  </si>
  <si>
    <t>田巻　晶</t>
  </si>
  <si>
    <t>松﨑　寛明</t>
  </si>
  <si>
    <t>阿部　真吾</t>
  </si>
  <si>
    <t>赤荻　隼人</t>
  </si>
  <si>
    <t>小野口　裕士</t>
  </si>
  <si>
    <t>中井川　貴彦</t>
  </si>
  <si>
    <t>小林　洋介</t>
  </si>
  <si>
    <t>清水　逸登</t>
  </si>
  <si>
    <t>熊谷　卓也</t>
  </si>
  <si>
    <t>下山　普司</t>
  </si>
  <si>
    <t>小野寺　真矢</t>
  </si>
  <si>
    <t>小林　雅明</t>
  </si>
  <si>
    <t>田尻　拓真</t>
  </si>
  <si>
    <t>相沢  照夫</t>
  </si>
  <si>
    <t>齋藤　正晃</t>
  </si>
  <si>
    <t>宇高　大貴</t>
  </si>
  <si>
    <t>中村　翔</t>
  </si>
  <si>
    <t>鈴木　琢也</t>
  </si>
  <si>
    <t>平林　聖也</t>
  </si>
  <si>
    <t>相坂　準也</t>
  </si>
  <si>
    <t>栗原　政人</t>
  </si>
  <si>
    <t>稲毛田　思惟</t>
  </si>
  <si>
    <t>木村　晴海</t>
  </si>
  <si>
    <t>並松　亮</t>
  </si>
  <si>
    <t>大森　勁生</t>
  </si>
  <si>
    <t>眞野　徹</t>
  </si>
  <si>
    <t>野尻  裕治</t>
  </si>
  <si>
    <t>資材部</t>
  </si>
  <si>
    <t>新井  慎吾</t>
  </si>
  <si>
    <t>白石  勝則</t>
  </si>
  <si>
    <t>元山　明剛</t>
  </si>
  <si>
    <t>金子  伸和</t>
  </si>
  <si>
    <t>島田　昌幸</t>
  </si>
  <si>
    <t>袁　新</t>
  </si>
  <si>
    <t>山本　佳延</t>
  </si>
  <si>
    <t>増田　充利</t>
  </si>
  <si>
    <t>三上　健</t>
  </si>
  <si>
    <t>斎藤　孝太</t>
  </si>
  <si>
    <t>佐藤　雅人</t>
    <rPh sb="0" eb="2">
      <t>サトウ</t>
    </rPh>
    <rPh sb="3" eb="4">
      <t>マサ</t>
    </rPh>
    <rPh sb="4" eb="5">
      <t>ヒト</t>
    </rPh>
    <phoneticPr fontId="2"/>
  </si>
  <si>
    <t>工藤　三枝子</t>
  </si>
  <si>
    <t>大野  陽子</t>
  </si>
  <si>
    <t>岩瀬　安奈</t>
  </si>
  <si>
    <t>田井　陽子</t>
  </si>
  <si>
    <t>山田　季生</t>
  </si>
  <si>
    <t>岩永　朋子</t>
  </si>
  <si>
    <t>高麗　美那</t>
  </si>
  <si>
    <t>比留間　美月</t>
  </si>
  <si>
    <t>吉田　綾那</t>
  </si>
  <si>
    <t>吉野　里咲</t>
  </si>
  <si>
    <t>小室　柚衣</t>
  </si>
  <si>
    <t>久保田　弘子</t>
  </si>
  <si>
    <t>甲斐  昌美</t>
  </si>
  <si>
    <t>長谷川　桃花</t>
  </si>
  <si>
    <t>飯塚　美幸</t>
  </si>
  <si>
    <t>中村  葉子</t>
  </si>
  <si>
    <t>川島　洋子</t>
  </si>
  <si>
    <t>金成　智美</t>
  </si>
  <si>
    <t>春山  智津子</t>
  </si>
  <si>
    <t>阿保　裕子</t>
  </si>
  <si>
    <t>諸星　美咲</t>
  </si>
  <si>
    <t>斉藤　純子</t>
  </si>
  <si>
    <t>高谷　梓代</t>
  </si>
  <si>
    <t>斎藤　満美</t>
  </si>
  <si>
    <t>菊地　由貴</t>
  </si>
  <si>
    <t>長谷川　麻央</t>
  </si>
  <si>
    <t>渡辺　美帆</t>
  </si>
  <si>
    <t>石原  慎二</t>
  </si>
  <si>
    <t>本社工場ＨＹ</t>
  </si>
  <si>
    <t>鈴木　良幸</t>
  </si>
  <si>
    <t>中村　紳太郎</t>
  </si>
  <si>
    <t>田口　亮太</t>
  </si>
  <si>
    <t>山本　永</t>
  </si>
  <si>
    <t>山田　学央</t>
  </si>
  <si>
    <t>小川  信一</t>
  </si>
  <si>
    <t>角田  奈夫行</t>
  </si>
  <si>
    <t>根岸  光男</t>
  </si>
  <si>
    <t>田中    稔</t>
  </si>
  <si>
    <t>岩田　正史</t>
  </si>
  <si>
    <t>黒澤  新一郎</t>
  </si>
  <si>
    <t>沼野　恒平</t>
  </si>
  <si>
    <t>佐藤　功</t>
  </si>
  <si>
    <t>嶋村　健二</t>
  </si>
  <si>
    <t>飯塚　弘樹</t>
  </si>
  <si>
    <t>川邊　瑞輝</t>
  </si>
  <si>
    <t>岸　佑哉</t>
  </si>
  <si>
    <t>永峰　義人</t>
  </si>
  <si>
    <t>金井塚　遼</t>
  </si>
  <si>
    <t>新谷　優斗</t>
    <rPh sb="0" eb="2">
      <t>シンタニ</t>
    </rPh>
    <rPh sb="3" eb="4">
      <t>ユウ</t>
    </rPh>
    <rPh sb="4" eb="5">
      <t>ト</t>
    </rPh>
    <phoneticPr fontId="2"/>
  </si>
  <si>
    <t>小林  直之</t>
  </si>
  <si>
    <t>本社工場ＮＣ</t>
  </si>
  <si>
    <t>守屋　睦実</t>
  </si>
  <si>
    <t>真野　勇希</t>
  </si>
  <si>
    <t>高窪  利行</t>
  </si>
  <si>
    <t>青山  信明</t>
  </si>
  <si>
    <t>須藤　裕保</t>
  </si>
  <si>
    <t>永嶋　宏樹</t>
  </si>
  <si>
    <t>糸賀　涼介</t>
  </si>
  <si>
    <t>谷島　彪流</t>
  </si>
  <si>
    <t>久保田　佳</t>
  </si>
  <si>
    <t>本社工場機械第１</t>
  </si>
  <si>
    <t>高森　直人</t>
  </si>
  <si>
    <t>岡本　光弘</t>
  </si>
  <si>
    <t>森原　健太郎</t>
  </si>
  <si>
    <t>塚田  修久</t>
  </si>
  <si>
    <t>2</t>
  </si>
  <si>
    <t>竹内  一夫</t>
  </si>
  <si>
    <t>加藤  正治</t>
  </si>
  <si>
    <t>林    昭紀</t>
  </si>
  <si>
    <t>宮下　貴志</t>
  </si>
  <si>
    <t>丸山　宜浩</t>
  </si>
  <si>
    <t>寺田　　博</t>
  </si>
  <si>
    <t>市川　大夢</t>
  </si>
  <si>
    <t>永原　優太</t>
    <rPh sb="0" eb="2">
      <t>ナガハラ</t>
    </rPh>
    <rPh sb="3" eb="5">
      <t>ユウタ</t>
    </rPh>
    <phoneticPr fontId="2"/>
  </si>
  <si>
    <t>近藤  光展</t>
  </si>
  <si>
    <t>本社工場組立第１</t>
  </si>
  <si>
    <t>野崎　　豊</t>
  </si>
  <si>
    <t>荒木　柾人</t>
  </si>
  <si>
    <t>茂木　仁志</t>
  </si>
  <si>
    <t>大森  裕行</t>
  </si>
  <si>
    <t>川田  賢一</t>
  </si>
  <si>
    <t>老川　明</t>
  </si>
  <si>
    <t>志村　裕太</t>
  </si>
  <si>
    <t>南部　匠吾</t>
  </si>
  <si>
    <t>久保　孝一</t>
  </si>
  <si>
    <t>加藤　竜也</t>
  </si>
  <si>
    <t>佐藤　盾</t>
    <rPh sb="0" eb="2">
      <t>サトウ</t>
    </rPh>
    <rPh sb="3" eb="4">
      <t>タテ</t>
    </rPh>
    <phoneticPr fontId="2"/>
  </si>
  <si>
    <t>池田　雄二</t>
  </si>
  <si>
    <t>本社工場ＡＣ研磨</t>
  </si>
  <si>
    <t>田部　昂太</t>
  </si>
  <si>
    <t>三友  健一</t>
  </si>
  <si>
    <t>羽鳥  和彦</t>
  </si>
  <si>
    <t>山田  和行</t>
  </si>
  <si>
    <t>岩佐  芳宏</t>
  </si>
  <si>
    <t>三門  智広</t>
  </si>
  <si>
    <t>荒川　裕司</t>
  </si>
  <si>
    <t>下地　直哉</t>
  </si>
  <si>
    <t>福澤　紘規</t>
  </si>
  <si>
    <t>高林　紘輝</t>
  </si>
  <si>
    <t>鈴木　聴</t>
  </si>
  <si>
    <t>高橋  信幸</t>
  </si>
  <si>
    <t>本社工場機械第２</t>
  </si>
  <si>
    <t>大平    茂</t>
  </si>
  <si>
    <t>植田　開陸</t>
  </si>
  <si>
    <t>高橋  将道</t>
  </si>
  <si>
    <t>尾崎  政弘</t>
  </si>
  <si>
    <t>尾花　健吾</t>
  </si>
  <si>
    <t>藤井　勇太</t>
  </si>
  <si>
    <t>福原　正人</t>
  </si>
  <si>
    <t>本社工場組立第２</t>
  </si>
  <si>
    <t>藤田　健太</t>
  </si>
  <si>
    <t>砂田　琢磨</t>
  </si>
  <si>
    <t>内田　裕太</t>
  </si>
  <si>
    <t>中嶋  秀夫</t>
  </si>
  <si>
    <t>猪俣  勝彦</t>
  </si>
  <si>
    <t>4</t>
  </si>
  <si>
    <t>井原　泰弘</t>
  </si>
  <si>
    <t>逸野　誠</t>
  </si>
  <si>
    <t>鈴木　是一</t>
  </si>
  <si>
    <t>本社工場ＴＰ</t>
  </si>
  <si>
    <t>武井　俊輔</t>
  </si>
  <si>
    <t>佐々木　恭平</t>
  </si>
  <si>
    <t>山角　大生</t>
  </si>
  <si>
    <t>星野  真吾</t>
  </si>
  <si>
    <t>和田　俊一</t>
  </si>
  <si>
    <t>山田　　徹</t>
  </si>
  <si>
    <t>小島　豊司</t>
  </si>
  <si>
    <t>山根  智幸</t>
  </si>
  <si>
    <t>関根　直紀</t>
  </si>
  <si>
    <t>岩本　大輝</t>
  </si>
  <si>
    <t>小池　智哉</t>
  </si>
  <si>
    <t>丸山　庫太朗</t>
  </si>
  <si>
    <t>高岡　竜大</t>
  </si>
  <si>
    <t>石川  賢一</t>
  </si>
  <si>
    <t>本社工場ＢＶ</t>
  </si>
  <si>
    <t>鈴木　雄一</t>
  </si>
  <si>
    <t>只野　博之</t>
  </si>
  <si>
    <t>平山  恒夫</t>
  </si>
  <si>
    <t>磯野    勝</t>
  </si>
  <si>
    <t>大坪　隆</t>
  </si>
  <si>
    <t>猪鼻　孝行</t>
  </si>
  <si>
    <t>田中　弘昭</t>
  </si>
  <si>
    <t>増子　祐一朗</t>
  </si>
  <si>
    <t>米坂　秋弥</t>
  </si>
  <si>
    <t>平塚　大</t>
  </si>
  <si>
    <t>吉田　翔</t>
  </si>
  <si>
    <t>山田　一夫</t>
  </si>
  <si>
    <t>本社工場ＳＰ</t>
  </si>
  <si>
    <t>西本　智浩</t>
  </si>
  <si>
    <t>新妻　　豊</t>
  </si>
  <si>
    <t>嶋田　一貴</t>
  </si>
  <si>
    <t>川越第二工場１係</t>
  </si>
  <si>
    <t>羽鳥　　宏</t>
  </si>
  <si>
    <t>川越第二工場２係</t>
  </si>
  <si>
    <t>高橋  義生</t>
  </si>
  <si>
    <t>神山  利一</t>
  </si>
  <si>
    <t>藤崎　哲也</t>
  </si>
  <si>
    <t>稲野　雄太</t>
  </si>
  <si>
    <t>織原  金巳</t>
  </si>
  <si>
    <t>川越第二工場５係</t>
  </si>
  <si>
    <t>細谷　剛志</t>
  </si>
  <si>
    <t>松尾　康介</t>
  </si>
  <si>
    <t>景山　郁弥</t>
  </si>
  <si>
    <t>寺島　隆之</t>
  </si>
  <si>
    <t>後藤　翔</t>
  </si>
  <si>
    <t>武田　　敏</t>
  </si>
  <si>
    <t>川越第二工場鋳造部門</t>
  </si>
  <si>
    <t>鈴木　敏明</t>
  </si>
  <si>
    <t>尾中　伸一</t>
  </si>
  <si>
    <t>尾中　信幸</t>
  </si>
  <si>
    <t>澤田　綱信</t>
  </si>
  <si>
    <t>立石　正人</t>
  </si>
  <si>
    <t>松本　哲也</t>
  </si>
  <si>
    <t>加藤木　昇</t>
  </si>
  <si>
    <t>工藤　健志</t>
  </si>
  <si>
    <t>坂本　鼓太郎</t>
  </si>
  <si>
    <t>市川　亮</t>
  </si>
  <si>
    <t>佐藤　貴信</t>
  </si>
  <si>
    <t>北沢　星也</t>
  </si>
  <si>
    <t>宮内　佑輔</t>
  </si>
  <si>
    <t>渡辺  広義</t>
  </si>
  <si>
    <t>羽生工場構内ＳＰ</t>
  </si>
  <si>
    <t>小川原　友和</t>
  </si>
  <si>
    <t>利根川  光秀</t>
  </si>
  <si>
    <t>青木　誠二</t>
  </si>
  <si>
    <t>高田  裕一</t>
  </si>
  <si>
    <t>羽生工場ＢＣ</t>
  </si>
  <si>
    <t>榎原　祐太</t>
  </si>
  <si>
    <t>安喰　隆司</t>
  </si>
  <si>
    <t>柳島　克美</t>
  </si>
  <si>
    <t>長谷川　駿</t>
  </si>
  <si>
    <t>桜庭  康次</t>
  </si>
  <si>
    <t>羽生工場ＢＢ</t>
  </si>
  <si>
    <t>山口　佑太</t>
  </si>
  <si>
    <t>鈴木　大河</t>
  </si>
  <si>
    <t>大沢  正幸</t>
  </si>
  <si>
    <t>金子　節男</t>
  </si>
  <si>
    <t>松本　広幸</t>
  </si>
  <si>
    <t>大島　匠平</t>
  </si>
  <si>
    <t>羽生工場ＡＳ</t>
  </si>
  <si>
    <t>中野　陽治</t>
  </si>
  <si>
    <t>羽生工場ＭＳＵ</t>
  </si>
  <si>
    <t>島田  一信</t>
  </si>
  <si>
    <t>羽生工場ＶＰ－１</t>
  </si>
  <si>
    <t>馬場　康弘</t>
  </si>
  <si>
    <t>野呂  友彦</t>
  </si>
  <si>
    <t>日野　　章</t>
  </si>
  <si>
    <t>石丸　貴弘</t>
  </si>
  <si>
    <t>豊田　湧二</t>
  </si>
  <si>
    <t>斉藤  和也</t>
  </si>
  <si>
    <t>原　　崇嗣</t>
  </si>
  <si>
    <t>平井　陽介</t>
  </si>
  <si>
    <t>藤本　哲也</t>
  </si>
  <si>
    <t>亀山　　寿</t>
  </si>
  <si>
    <t>中木　雅勝</t>
  </si>
  <si>
    <t>小暮　宇宙</t>
  </si>
  <si>
    <t>三好　和希</t>
  </si>
  <si>
    <t>伊藤　佑一郎</t>
  </si>
  <si>
    <t>加藤　　実</t>
  </si>
  <si>
    <t>羽生工場ＶＰ－２</t>
  </si>
  <si>
    <t>千葉　恒佑</t>
  </si>
  <si>
    <t>山本　大輝</t>
  </si>
  <si>
    <t>須永　竜二</t>
  </si>
  <si>
    <t>田崎  正史</t>
  </si>
  <si>
    <t>井上  喜雄</t>
  </si>
  <si>
    <t>高木  和文</t>
  </si>
  <si>
    <t>降旗　　勝</t>
  </si>
  <si>
    <t>村上　幸嗣</t>
  </si>
  <si>
    <t>渡辺　淳平</t>
  </si>
  <si>
    <t>中村　哲也</t>
  </si>
  <si>
    <t>小関　　努</t>
  </si>
  <si>
    <t>小島　健蔵</t>
  </si>
  <si>
    <t>茂木　一馬</t>
  </si>
  <si>
    <t>能城　和也</t>
  </si>
  <si>
    <t>加納　蒼真</t>
  </si>
  <si>
    <t>倉持    浩</t>
  </si>
  <si>
    <t>羽生工場プレス</t>
  </si>
  <si>
    <t>吉田    功</t>
  </si>
  <si>
    <t>石和  一浩</t>
  </si>
  <si>
    <t>笹本　　孝</t>
  </si>
  <si>
    <t>岡田　政幸</t>
  </si>
  <si>
    <t>前村  健二</t>
  </si>
  <si>
    <t>北林　　彰</t>
  </si>
  <si>
    <t>田嶋　鉄也</t>
  </si>
  <si>
    <t>我妻　　拓</t>
  </si>
  <si>
    <t>堀内　健二</t>
  </si>
  <si>
    <t>羽生工場ＮＣ</t>
  </si>
  <si>
    <t>最上　英勝</t>
  </si>
  <si>
    <t>長谷川　雄貴</t>
  </si>
  <si>
    <t>住吉　聡司</t>
  </si>
  <si>
    <t>中島　達郎</t>
  </si>
  <si>
    <t>神田　健太郎</t>
    <rPh sb="0" eb="2">
      <t>カンダ</t>
    </rPh>
    <rPh sb="3" eb="6">
      <t>ケンタロウ</t>
    </rPh>
    <phoneticPr fontId="2"/>
  </si>
  <si>
    <t>吉澤　　昇</t>
  </si>
  <si>
    <t>羽生工場ＣＢ</t>
  </si>
  <si>
    <t>太刀  秀明</t>
  </si>
  <si>
    <t>羽生工場ＰＳＨ</t>
  </si>
  <si>
    <t>播磨　真一郎</t>
  </si>
  <si>
    <t>金子　　亮</t>
  </si>
  <si>
    <t>仲野　耕造</t>
  </si>
  <si>
    <t>羽生工場ＴＣ</t>
  </si>
  <si>
    <t>龍野　雅洋</t>
  </si>
  <si>
    <t>飯野　貴紀</t>
  </si>
  <si>
    <t>内山  勝利</t>
  </si>
  <si>
    <t>酒井  光男</t>
  </si>
  <si>
    <t>神成  浩輝</t>
  </si>
  <si>
    <t>冨田    聡</t>
  </si>
  <si>
    <t>多田  徹爾</t>
  </si>
  <si>
    <t>大竹　靖之</t>
  </si>
  <si>
    <t>杉下　太志</t>
  </si>
  <si>
    <t>上林　宣彦</t>
  </si>
  <si>
    <t>斉藤　勇輔</t>
  </si>
  <si>
    <t>菊池　理央</t>
  </si>
  <si>
    <t>原口　育也</t>
  </si>
  <si>
    <t>町田　泰輝</t>
  </si>
  <si>
    <t>澤崎　聖矢</t>
  </si>
  <si>
    <t>三木　友宏</t>
  </si>
  <si>
    <t>羽生工場ＥＧＲ</t>
  </si>
  <si>
    <t>戸井田  孝史</t>
  </si>
  <si>
    <t>羽生工場ＢＰＶ</t>
  </si>
  <si>
    <t>齊藤　翔吾</t>
  </si>
  <si>
    <t>岩田　　清</t>
  </si>
  <si>
    <t>永野　　守</t>
  </si>
  <si>
    <t>山本　悠矢</t>
  </si>
  <si>
    <t>仲野　葵</t>
  </si>
  <si>
    <t>入澤　直子</t>
  </si>
  <si>
    <t>小笠原　智恵</t>
  </si>
  <si>
    <t>鈴木　真琴</t>
  </si>
  <si>
    <t>鈴木　久美子</t>
  </si>
  <si>
    <t>鈴木　美香</t>
  </si>
  <si>
    <t>國谷　野登花</t>
  </si>
  <si>
    <t>新井　由唯</t>
  </si>
  <si>
    <t>柿沼　千穂</t>
  </si>
  <si>
    <t>内田　智子</t>
  </si>
  <si>
    <t>柿沼　優花</t>
  </si>
  <si>
    <t>漆原　景子</t>
  </si>
  <si>
    <t>山本　七海</t>
  </si>
  <si>
    <t>加藤　咲希</t>
  </si>
  <si>
    <t>町田　汐理</t>
  </si>
  <si>
    <t>水野　唯奈</t>
  </si>
  <si>
    <t>山口　未羽</t>
  </si>
  <si>
    <t>男性</t>
    <rPh sb="0" eb="2">
      <t>ダンセイ</t>
    </rPh>
    <phoneticPr fontId="2"/>
  </si>
  <si>
    <t>女性</t>
    <rPh sb="0" eb="2">
      <t>ジョセイ</t>
    </rPh>
    <phoneticPr fontId="2"/>
  </si>
  <si>
    <t>全社</t>
    <rPh sb="0" eb="2">
      <t>ゼンシャ</t>
    </rPh>
    <phoneticPr fontId="2"/>
  </si>
  <si>
    <t>志田　　淳</t>
  </si>
  <si>
    <t>新井　和真</t>
  </si>
  <si>
    <t>吉田　　実</t>
  </si>
  <si>
    <t>福本　到</t>
  </si>
  <si>
    <t>岡安　　進</t>
  </si>
  <si>
    <t>岡田　清</t>
  </si>
  <si>
    <t>野坂　雅博</t>
  </si>
  <si>
    <t>山田　平一</t>
  </si>
  <si>
    <t>ﾃｽﾌｧ ﾊｲﾚ ﾃﾞｹﾌ</t>
  </si>
  <si>
    <t>榎本　摂男</t>
  </si>
  <si>
    <t>南雲　角男</t>
  </si>
  <si>
    <t>樋熊　慶喜</t>
  </si>
  <si>
    <t>大塚　春雄</t>
  </si>
  <si>
    <t>蓬田　国雄</t>
  </si>
  <si>
    <t>斎藤　竜一</t>
  </si>
  <si>
    <t>小田原　辰雄</t>
  </si>
  <si>
    <t>大竹　和治</t>
  </si>
  <si>
    <t>伊藤　次光</t>
  </si>
  <si>
    <t>本多　紀彦</t>
  </si>
  <si>
    <t>小川　晴夫</t>
  </si>
  <si>
    <t>浦　　雅彦</t>
  </si>
  <si>
    <t>高橋　雄二</t>
  </si>
  <si>
    <t>竹内　政四郎</t>
  </si>
  <si>
    <t>太田　清正</t>
  </si>
  <si>
    <t>新井　久夫</t>
  </si>
  <si>
    <t>並木　　隆</t>
  </si>
  <si>
    <t>鳥海　頌次</t>
  </si>
  <si>
    <t>清宮　也寸彦</t>
  </si>
  <si>
    <t>村石　享</t>
  </si>
  <si>
    <t>飯高　満</t>
  </si>
  <si>
    <t>熊木　利一</t>
  </si>
  <si>
    <t>川島　　実</t>
  </si>
  <si>
    <t>樋口　博之</t>
  </si>
  <si>
    <t>黒子　敬</t>
  </si>
  <si>
    <t>内田　正夫</t>
  </si>
  <si>
    <t>吉田　和義</t>
  </si>
  <si>
    <t>奥沢　忠</t>
  </si>
  <si>
    <t>小山　巧</t>
  </si>
  <si>
    <t>長島　信次</t>
  </si>
  <si>
    <t>和田　茂</t>
  </si>
  <si>
    <t>高野　誠</t>
  </si>
  <si>
    <t>斉藤　博之</t>
    <rPh sb="0" eb="2">
      <t>サイトウ</t>
    </rPh>
    <rPh sb="3" eb="5">
      <t>ヒロユキ</t>
    </rPh>
    <phoneticPr fontId="2"/>
  </si>
  <si>
    <t>鈴木　和雄</t>
    <rPh sb="0" eb="2">
      <t>スズキ</t>
    </rPh>
    <rPh sb="3" eb="5">
      <t>カズオ</t>
    </rPh>
    <phoneticPr fontId="2"/>
  </si>
  <si>
    <t>福田　政弘</t>
    <rPh sb="0" eb="2">
      <t>フクダ</t>
    </rPh>
    <rPh sb="3" eb="5">
      <t>マサヒロ</t>
    </rPh>
    <phoneticPr fontId="2"/>
  </si>
  <si>
    <t>沢田　厚志</t>
  </si>
  <si>
    <t>長谷川　政和</t>
  </si>
  <si>
    <t>渡辺　幸也</t>
  </si>
  <si>
    <t>藤村　秀夫</t>
  </si>
  <si>
    <t>山﨑　誠治</t>
  </si>
  <si>
    <t>高鳥  敬司</t>
  </si>
  <si>
    <t>紺野  喜和</t>
  </si>
  <si>
    <t>小野塚  竹美</t>
  </si>
  <si>
    <t>渡辺　茂子</t>
  </si>
  <si>
    <t>倉田　二三子</t>
  </si>
  <si>
    <t>岸　　俊子</t>
  </si>
  <si>
    <t>ホ　トラン　ゴツク　ツイ</t>
  </si>
  <si>
    <t>由利　美千代</t>
  </si>
  <si>
    <t>青木　敏枝</t>
  </si>
  <si>
    <t>金子　優子</t>
  </si>
  <si>
    <t>若林　幸枝</t>
  </si>
  <si>
    <t>大矢　マリルウ</t>
  </si>
  <si>
    <t>何　喩　琴</t>
  </si>
  <si>
    <t>荒井　広子</t>
  </si>
  <si>
    <t>星場　小百合</t>
  </si>
  <si>
    <t>松本　浩子</t>
  </si>
  <si>
    <t>鈴木　イルダ　ハルエ</t>
  </si>
  <si>
    <t>泉　　浩美</t>
  </si>
  <si>
    <t>金井　遥香</t>
  </si>
  <si>
    <t>田村　陽子</t>
  </si>
  <si>
    <t>佐藤　アナレア</t>
  </si>
  <si>
    <t>工藤　恭子</t>
  </si>
  <si>
    <t>関根　幸恵</t>
  </si>
  <si>
    <t>金澤　孝子</t>
  </si>
  <si>
    <t>内山　博子</t>
  </si>
  <si>
    <t>立野岡　朱美</t>
  </si>
  <si>
    <t>大谷　和子</t>
  </si>
  <si>
    <t>富山　敦子</t>
    <rPh sb="0" eb="2">
      <t>トミヤマ</t>
    </rPh>
    <rPh sb="3" eb="5">
      <t>アツコ</t>
    </rPh>
    <phoneticPr fontId="2"/>
  </si>
  <si>
    <t>部署コード</t>
    <rPh sb="0" eb="2">
      <t>ブショ</t>
    </rPh>
    <phoneticPr fontId="2"/>
  </si>
  <si>
    <t>部署名</t>
    <rPh sb="0" eb="3">
      <t>ブショメイ</t>
    </rPh>
    <phoneticPr fontId="2"/>
  </si>
  <si>
    <t>正社員</t>
    <rPh sb="0" eb="3">
      <t>セイシャイン</t>
    </rPh>
    <phoneticPr fontId="2"/>
  </si>
  <si>
    <t>パ・嘱</t>
    <rPh sb="2" eb="3">
      <t>ショク</t>
    </rPh>
    <phoneticPr fontId="2"/>
  </si>
  <si>
    <t>計</t>
    <rPh sb="0" eb="1">
      <t>ケイ</t>
    </rPh>
    <phoneticPr fontId="2"/>
  </si>
  <si>
    <t>委託</t>
    <rPh sb="0" eb="2">
      <t>イタク</t>
    </rPh>
    <phoneticPr fontId="2"/>
  </si>
  <si>
    <t>生産管理部</t>
    <rPh sb="0" eb="5">
      <t>セイサンカンリブ</t>
    </rPh>
    <phoneticPr fontId="2"/>
  </si>
  <si>
    <t>生産技術部</t>
    <rPh sb="0" eb="5">
      <t>セイサンギジュツブ</t>
    </rPh>
    <phoneticPr fontId="2"/>
  </si>
  <si>
    <t>川越第二工場</t>
    <rPh sb="0" eb="6">
      <t>カワゴエダイニコウジョウ</t>
    </rPh>
    <phoneticPr fontId="2"/>
  </si>
  <si>
    <t>羽生工場</t>
    <rPh sb="0" eb="4">
      <t>ハニュウコウジョウ</t>
    </rPh>
    <phoneticPr fontId="2"/>
  </si>
  <si>
    <t>本社工場</t>
    <rPh sb="0" eb="4">
      <t>ホンシャコウジョウ</t>
    </rPh>
    <phoneticPr fontId="2"/>
  </si>
  <si>
    <t>2021年7月1日従業員人数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</si>
  <si>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合計</t>
    <rPh sb="0" eb="1">
      <t>ゴウ</t>
    </rPh>
    <rPh sb="1" eb="2">
      <t>ゴウケイ</t>
    </rPh>
    <phoneticPr fontId="2"/>
  </si>
  <si>
    <t>総合計</t>
    <rPh sb="0" eb="1">
      <t>ソウ</t>
    </rPh>
    <rPh sb="1" eb="3">
      <t>ゴウケイ</t>
    </rPh>
    <phoneticPr fontId="2"/>
  </si>
  <si>
    <t>理事、役員、顧問、海外出向者は除く</t>
    <rPh sb="0" eb="2">
      <t>リジ</t>
    </rPh>
    <rPh sb="3" eb="5">
      <t>ヤクイン</t>
    </rPh>
    <rPh sb="6" eb="8">
      <t>コモン</t>
    </rPh>
    <rPh sb="9" eb="14">
      <t>カイガイシュッコウシャ</t>
    </rPh>
    <rPh sb="15" eb="16">
      <t>ノゾ</t>
    </rPh>
    <phoneticPr fontId="2"/>
  </si>
  <si>
    <t>１課</t>
    <rPh sb="1" eb="2">
      <t>カ</t>
    </rPh>
    <phoneticPr fontId="2"/>
  </si>
  <si>
    <t>２課</t>
    <rPh sb="1" eb="2">
      <t>カ</t>
    </rPh>
    <phoneticPr fontId="2"/>
  </si>
  <si>
    <t>３課</t>
    <rPh sb="1" eb="2">
      <t>カ</t>
    </rPh>
    <phoneticPr fontId="2"/>
  </si>
  <si>
    <t>４課</t>
    <rPh sb="1" eb="2">
      <t>カ</t>
    </rPh>
    <phoneticPr fontId="2"/>
  </si>
  <si>
    <t>総務部計</t>
    <rPh sb="0" eb="3">
      <t>ソウムブ</t>
    </rPh>
    <rPh sb="3" eb="4">
      <t>ケイ</t>
    </rPh>
    <phoneticPr fontId="2"/>
  </si>
  <si>
    <t>品質保証部計</t>
    <rPh sb="0" eb="5">
      <t>ヒンシツホショウブ</t>
    </rPh>
    <rPh sb="5" eb="6">
      <t>ケイ</t>
    </rPh>
    <phoneticPr fontId="2"/>
  </si>
  <si>
    <t>L</t>
    <phoneticPr fontId="2"/>
  </si>
  <si>
    <t>コード</t>
    <phoneticPr fontId="2"/>
  </si>
  <si>
    <t xml:space="preserve">M </t>
    <phoneticPr fontId="2"/>
  </si>
  <si>
    <t>L</t>
    <phoneticPr fontId="2"/>
  </si>
  <si>
    <t>M</t>
    <phoneticPr fontId="2"/>
  </si>
  <si>
    <t>＊</t>
    <phoneticPr fontId="2"/>
  </si>
  <si>
    <t>石井　達也</t>
    <rPh sb="0" eb="2">
      <t>イシイ</t>
    </rPh>
    <rPh sb="3" eb="5">
      <t>タツヤ</t>
    </rPh>
    <phoneticPr fontId="2"/>
  </si>
  <si>
    <t>生産管理部調達課</t>
  </si>
  <si>
    <t>生産管理部調達課(羽生)</t>
  </si>
  <si>
    <t>西形</t>
    <rPh sb="0" eb="2">
      <t>ニシカタ</t>
    </rPh>
    <phoneticPr fontId="2"/>
  </si>
  <si>
    <t>管理本部</t>
    <rPh sb="0" eb="2">
      <t>カンリ</t>
    </rPh>
    <rPh sb="2" eb="4">
      <t>ホンブ</t>
    </rPh>
    <phoneticPr fontId="2"/>
  </si>
  <si>
    <t>全社合計</t>
    <rPh sb="0" eb="2">
      <t>ゼンシャ</t>
    </rPh>
    <rPh sb="2" eb="4">
      <t>ゴウケイ</t>
    </rPh>
    <phoneticPr fontId="2"/>
  </si>
  <si>
    <t>本社工場</t>
    <rPh sb="0" eb="2">
      <t>ホンシャ</t>
    </rPh>
    <rPh sb="2" eb="4">
      <t>コウジョウ</t>
    </rPh>
    <phoneticPr fontId="2"/>
  </si>
  <si>
    <t>営業企画室</t>
    <rPh sb="0" eb="2">
      <t>エイギョウ</t>
    </rPh>
    <rPh sb="2" eb="5">
      <t>キカクシツ</t>
    </rPh>
    <phoneticPr fontId="2"/>
  </si>
  <si>
    <t>生産本部</t>
    <rPh sb="0" eb="2">
      <t>セイサン</t>
    </rPh>
    <rPh sb="2" eb="4">
      <t>ホンブ</t>
    </rPh>
    <phoneticPr fontId="2"/>
  </si>
  <si>
    <t>技術本部</t>
    <rPh sb="0" eb="2">
      <t>ギジュツ</t>
    </rPh>
    <rPh sb="2" eb="4">
      <t>ホンブ</t>
    </rPh>
    <phoneticPr fontId="2"/>
  </si>
  <si>
    <t>羽生</t>
    <rPh sb="0" eb="2">
      <t>ハニュウ</t>
    </rPh>
    <phoneticPr fontId="2"/>
  </si>
  <si>
    <t>経理部</t>
    <rPh sb="0" eb="2">
      <t>ケイリ</t>
    </rPh>
    <rPh sb="2" eb="3">
      <t>ブ</t>
    </rPh>
    <phoneticPr fontId="2"/>
  </si>
  <si>
    <t>2021年8月1日従業員人数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</si>
  <si>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ｆ</t>
    <phoneticPr fontId="2"/>
  </si>
  <si>
    <t>営業本部</t>
    <rPh sb="0" eb="2">
      <t>エイギョウ</t>
    </rPh>
    <rPh sb="2" eb="4">
      <t>ホンブ</t>
    </rPh>
    <phoneticPr fontId="2"/>
  </si>
  <si>
    <t>技術本部（生産技術部）</t>
    <rPh sb="0" eb="2">
      <t>ギジュツ</t>
    </rPh>
    <rPh sb="2" eb="4">
      <t>ホンブ</t>
    </rPh>
    <rPh sb="5" eb="7">
      <t>セイサン</t>
    </rPh>
    <rPh sb="7" eb="9">
      <t>ギジュツ</t>
    </rPh>
    <rPh sb="9" eb="10">
      <t>ブ</t>
    </rPh>
    <phoneticPr fontId="2"/>
  </si>
  <si>
    <t>開発本部（ｎｅｌ）</t>
    <rPh sb="0" eb="2">
      <t>カイハツ</t>
    </rPh>
    <rPh sb="2" eb="4">
      <t>ホンブ</t>
    </rPh>
    <phoneticPr fontId="2"/>
  </si>
  <si>
    <t>品質本部（品質保証部）　　</t>
    <rPh sb="0" eb="2">
      <t>ヒンシツ</t>
    </rPh>
    <rPh sb="2" eb="4">
      <t>ホンブ</t>
    </rPh>
    <rPh sb="5" eb="7">
      <t>ヒンシツ</t>
    </rPh>
    <rPh sb="7" eb="9">
      <t>ホショウ</t>
    </rPh>
    <rPh sb="9" eb="10">
      <t>ブ</t>
    </rPh>
    <phoneticPr fontId="2"/>
  </si>
  <si>
    <t>資材本部（資材部）</t>
    <rPh sb="0" eb="2">
      <t>シザイ</t>
    </rPh>
    <rPh sb="2" eb="4">
      <t>ホンブ</t>
    </rPh>
    <rPh sb="5" eb="7">
      <t>シザイ</t>
    </rPh>
    <rPh sb="7" eb="8">
      <t>ブ</t>
    </rPh>
    <phoneticPr fontId="2"/>
  </si>
  <si>
    <t>委託
研修生
シルバー</t>
    <rPh sb="0" eb="2">
      <t>イタク</t>
    </rPh>
    <rPh sb="3" eb="5">
      <t>ケンシュウ</t>
    </rPh>
    <rPh sb="5" eb="6">
      <t>セイ</t>
    </rPh>
    <phoneticPr fontId="2"/>
  </si>
  <si>
    <t>羽生工場BC・BB</t>
    <rPh sb="0" eb="4">
      <t>ハニュウコウジョウ</t>
    </rPh>
    <phoneticPr fontId="2"/>
  </si>
  <si>
    <t>ACは合算する</t>
    <rPh sb="3" eb="5">
      <t>ガッサン</t>
    </rPh>
    <phoneticPr fontId="2"/>
  </si>
  <si>
    <t>BC・BBは合算する</t>
    <rPh sb="6" eb="8">
      <t>ガッサン</t>
    </rPh>
    <phoneticPr fontId="2"/>
  </si>
  <si>
    <t>本社工場ＡＣ組立</t>
    <rPh sb="0" eb="2">
      <t>ホンシャ</t>
    </rPh>
    <rPh sb="2" eb="4">
      <t>コウジョウ</t>
    </rPh>
    <rPh sb="6" eb="8">
      <t>クミタテ</t>
    </rPh>
    <phoneticPr fontId="2"/>
  </si>
  <si>
    <t>*役員６名、理事（上席理事含）４名、顧問４名、海外出向者３名の計１７名は除く（国内出向者は含む）</t>
    <rPh sb="1" eb="3">
      <t>ヤクイン</t>
    </rPh>
    <rPh sb="4" eb="5">
      <t>メイ</t>
    </rPh>
    <rPh sb="6" eb="8">
      <t>リジ</t>
    </rPh>
    <rPh sb="9" eb="11">
      <t>ジョウセキ</t>
    </rPh>
    <rPh sb="11" eb="13">
      <t>リジ</t>
    </rPh>
    <rPh sb="13" eb="14">
      <t>フク</t>
    </rPh>
    <rPh sb="16" eb="17">
      <t>メイ</t>
    </rPh>
    <rPh sb="18" eb="20">
      <t>コモン</t>
    </rPh>
    <rPh sb="21" eb="22">
      <t>メイ</t>
    </rPh>
    <rPh sb="23" eb="28">
      <t>カイガイシュッコウシャ</t>
    </rPh>
    <rPh sb="29" eb="30">
      <t>メイ</t>
    </rPh>
    <rPh sb="31" eb="32">
      <t>ケイ</t>
    </rPh>
    <rPh sb="34" eb="35">
      <t>メイ</t>
    </rPh>
    <rPh sb="36" eb="37">
      <t>ノゾ</t>
    </rPh>
    <rPh sb="39" eb="41">
      <t>コクナイ</t>
    </rPh>
    <rPh sb="41" eb="44">
      <t>シュッコウシャ</t>
    </rPh>
    <rPh sb="45" eb="46">
      <t>フク</t>
    </rPh>
    <phoneticPr fontId="2"/>
  </si>
  <si>
    <t>2021年７月1日従業員人数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</si>
  <si>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M</t>
    <phoneticPr fontId="2"/>
  </si>
  <si>
    <t>ｆ</t>
    <phoneticPr fontId="2"/>
  </si>
  <si>
    <t>M</t>
    <phoneticPr fontId="2"/>
  </si>
  <si>
    <t>ｆ</t>
    <phoneticPr fontId="2"/>
  </si>
  <si>
    <t>事業所別</t>
    <rPh sb="0" eb="4">
      <t>ジギョウショベツ</t>
    </rPh>
    <phoneticPr fontId="2"/>
  </si>
  <si>
    <t>本社</t>
    <rPh sb="0" eb="2">
      <t>ホンシャ</t>
    </rPh>
    <phoneticPr fontId="2"/>
  </si>
  <si>
    <t>川越第二</t>
    <rPh sb="0" eb="4">
      <t>カワゴエダイニ</t>
    </rPh>
    <phoneticPr fontId="2"/>
  </si>
  <si>
    <t>ｆ</t>
    <phoneticPr fontId="2"/>
  </si>
  <si>
    <t>2課</t>
    <rPh sb="1" eb="2">
      <t>カ</t>
    </rPh>
    <phoneticPr fontId="2"/>
  </si>
  <si>
    <t>営業･資材本部</t>
    <rPh sb="0" eb="2">
      <t>エイギョウ</t>
    </rPh>
    <rPh sb="3" eb="5">
      <t>シザイ</t>
    </rPh>
    <rPh sb="5" eb="7">
      <t>ホンブ</t>
    </rPh>
    <phoneticPr fontId="2"/>
  </si>
  <si>
    <t>前月差異</t>
    <rPh sb="0" eb="2">
      <t>ゼンゲツ</t>
    </rPh>
    <rPh sb="2" eb="4">
      <t>サイ</t>
    </rPh>
    <phoneticPr fontId="2"/>
  </si>
  <si>
    <t>本社工場5軸</t>
    <rPh sb="0" eb="2">
      <t>ホンシャ</t>
    </rPh>
    <rPh sb="2" eb="4">
      <t>コウジョウ</t>
    </rPh>
    <rPh sb="5" eb="6">
      <t>ジク</t>
    </rPh>
    <phoneticPr fontId="2"/>
  </si>
  <si>
    <t>コード</t>
    <phoneticPr fontId="2"/>
  </si>
  <si>
    <t xml:space="preserve">M </t>
    <phoneticPr fontId="2"/>
  </si>
  <si>
    <t>L</t>
    <phoneticPr fontId="2"/>
  </si>
  <si>
    <t>M</t>
    <phoneticPr fontId="2"/>
  </si>
  <si>
    <t>＊</t>
    <phoneticPr fontId="2"/>
  </si>
  <si>
    <t>国や　きし　－</t>
    <rPh sb="0" eb="1">
      <t>クニ</t>
    </rPh>
    <phoneticPr fontId="2"/>
  </si>
  <si>
    <t>藤井　長谷川　異動</t>
    <rPh sb="0" eb="2">
      <t>フジイ</t>
    </rPh>
    <rPh sb="3" eb="6">
      <t>ハセガワ</t>
    </rPh>
    <rPh sb="7" eb="9">
      <t>イドウ</t>
    </rPh>
    <phoneticPr fontId="2"/>
  </si>
  <si>
    <t>2021年9月1日従業員人数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</si>
  <si>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入倉　弘介</t>
    <rPh sb="0" eb="2">
      <t>イリクラ</t>
    </rPh>
    <rPh sb="3" eb="4">
      <t>ヒロシ</t>
    </rPh>
    <rPh sb="4" eb="5">
      <t>スケ</t>
    </rPh>
    <phoneticPr fontId="2"/>
  </si>
  <si>
    <t>ｍ</t>
    <phoneticPr fontId="2"/>
  </si>
  <si>
    <t>2021年10月1日従業員人数</t>
    <rPh sb="4" eb="5">
      <t>ネン</t>
    </rPh>
    <rPh sb="7" eb="8">
      <t>ガツ</t>
    </rPh>
    <rPh sb="9" eb="10">
      <t>ヒ</t>
    </rPh>
    <rPh sb="10" eb="13">
      <t>ジュウギョウイン</t>
    </rPh>
    <rPh sb="13" eb="15">
      <t>ニンズウ</t>
    </rPh>
    <phoneticPr fontId="2"/>
  </si>
  <si>
    <t>渡辺　神田　移動</t>
    <rPh sb="0" eb="2">
      <t>ワタナベ</t>
    </rPh>
    <rPh sb="3" eb="5">
      <t>カンダ</t>
    </rPh>
    <rPh sb="6" eb="8">
      <t>イドウ</t>
    </rPh>
    <phoneticPr fontId="2"/>
  </si>
  <si>
    <t>中途4　(石井・入倉・高山・加藤)４名　追加</t>
    <rPh sb="0" eb="2">
      <t>チュウト</t>
    </rPh>
    <rPh sb="5" eb="7">
      <t>イシイ</t>
    </rPh>
    <rPh sb="8" eb="10">
      <t>イリクラ</t>
    </rPh>
    <rPh sb="11" eb="13">
      <t>タカヤマ</t>
    </rPh>
    <rPh sb="14" eb="16">
      <t>カトウ</t>
    </rPh>
    <rPh sb="18" eb="19">
      <t>メイ</t>
    </rPh>
    <rPh sb="20" eb="22">
      <t>ツイカ</t>
    </rPh>
    <phoneticPr fontId="2"/>
  </si>
  <si>
    <t>西形　村石　削除</t>
    <rPh sb="0" eb="2">
      <t>ニシカタ</t>
    </rPh>
    <rPh sb="3" eb="5">
      <t>ムライシ</t>
    </rPh>
    <rPh sb="6" eb="8">
      <t>サクジョ</t>
    </rPh>
    <phoneticPr fontId="2"/>
  </si>
  <si>
    <t>2021年11月1日従業員人数</t>
    <rPh sb="4" eb="5">
      <t>ネン</t>
    </rPh>
    <rPh sb="7" eb="8">
      <t>ガツ</t>
    </rPh>
    <rPh sb="9" eb="10">
      <t>ヒ</t>
    </rPh>
    <rPh sb="10" eb="13">
      <t>ジュウギョウイン</t>
    </rPh>
    <rPh sb="13" eb="15">
      <t>ニンズウ</t>
    </rPh>
    <phoneticPr fontId="2"/>
  </si>
  <si>
    <t>高山・大谷・松本　削除</t>
    <rPh sb="0" eb="2">
      <t>タカヤマ</t>
    </rPh>
    <rPh sb="3" eb="5">
      <t>オオタニ</t>
    </rPh>
    <rPh sb="6" eb="8">
      <t>マツモト</t>
    </rPh>
    <rPh sb="9" eb="11">
      <t>サクジョ</t>
    </rPh>
    <phoneticPr fontId="2"/>
  </si>
  <si>
    <t>田口　公則</t>
    <rPh sb="3" eb="5">
      <t>キミノリ</t>
    </rPh>
    <phoneticPr fontId="2"/>
  </si>
  <si>
    <t>M</t>
    <phoneticPr fontId="2"/>
  </si>
  <si>
    <t>2021年12月1日従業員人数</t>
    <rPh sb="4" eb="5">
      <t>ネン</t>
    </rPh>
    <rPh sb="7" eb="8">
      <t>ガツ</t>
    </rPh>
    <rPh sb="9" eb="10">
      <t>ヒ</t>
    </rPh>
    <rPh sb="10" eb="13">
      <t>ジュウギョウイン</t>
    </rPh>
    <rPh sb="13" eb="15">
      <t>ニンズウ</t>
    </rPh>
    <phoneticPr fontId="2"/>
  </si>
  <si>
    <t>蓬田・金成・新井・榎本　ー</t>
    <rPh sb="0" eb="2">
      <t>ヨモギダ</t>
    </rPh>
    <rPh sb="3" eb="5">
      <t>カナリ</t>
    </rPh>
    <rPh sb="6" eb="8">
      <t>アライ</t>
    </rPh>
    <rPh sb="9" eb="11">
      <t>エノモト</t>
    </rPh>
    <phoneticPr fontId="2"/>
  </si>
  <si>
    <t>相澤　移動</t>
    <rPh sb="0" eb="2">
      <t>アイザワ</t>
    </rPh>
    <rPh sb="3" eb="5">
      <t>イドウ</t>
    </rPh>
    <phoneticPr fontId="2"/>
  </si>
  <si>
    <t>事業企画部</t>
    <rPh sb="0" eb="2">
      <t>ジギョウ</t>
    </rPh>
    <rPh sb="2" eb="4">
      <t>キカク</t>
    </rPh>
    <rPh sb="4" eb="5">
      <t>ブ</t>
    </rPh>
    <phoneticPr fontId="2"/>
  </si>
  <si>
    <t>品質保証部</t>
    <rPh sb="0" eb="2">
      <t>ヒンシツ</t>
    </rPh>
    <rPh sb="2" eb="4">
      <t>ホショウ</t>
    </rPh>
    <rPh sb="4" eb="5">
      <t>ブ</t>
    </rPh>
    <phoneticPr fontId="2"/>
  </si>
  <si>
    <t>事業戦略本部</t>
    <rPh sb="0" eb="2">
      <t>ジギョウ</t>
    </rPh>
    <rPh sb="2" eb="4">
      <t>センリャク</t>
    </rPh>
    <rPh sb="4" eb="6">
      <t>ホンブ</t>
    </rPh>
    <phoneticPr fontId="2"/>
  </si>
  <si>
    <t>長坂・三原・本城・萩原　+</t>
    <rPh sb="0" eb="2">
      <t>ナガサカ</t>
    </rPh>
    <rPh sb="3" eb="5">
      <t>ミハラ</t>
    </rPh>
    <rPh sb="6" eb="8">
      <t>ホンジョウ</t>
    </rPh>
    <rPh sb="9" eb="11">
      <t>ハギワラ</t>
    </rPh>
    <phoneticPr fontId="2"/>
  </si>
  <si>
    <t>三原　繫一</t>
    <rPh sb="0" eb="2">
      <t>ミハラ</t>
    </rPh>
    <rPh sb="3" eb="5">
      <t>シゲカズ</t>
    </rPh>
    <phoneticPr fontId="2"/>
  </si>
  <si>
    <t>M</t>
    <phoneticPr fontId="2"/>
  </si>
  <si>
    <t>萩原　悠平</t>
    <rPh sb="0" eb="2">
      <t>ハギワラ</t>
    </rPh>
    <rPh sb="3" eb="5">
      <t>ユウヘイ</t>
    </rPh>
    <phoneticPr fontId="2"/>
  </si>
  <si>
    <t>2022年1月1日従業員人数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</si>
  <si>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2022年2月1日従業員人数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</si>
  <si>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長島　移動</t>
    <rPh sb="0" eb="2">
      <t>ナガシマ</t>
    </rPh>
    <rPh sb="3" eb="5">
      <t>イドウ</t>
    </rPh>
    <phoneticPr fontId="2"/>
  </si>
  <si>
    <t>三好・森原・長谷川雄・酒井・岡田・鈴木雄･渡辺・</t>
    <rPh sb="0" eb="2">
      <t>ミヨシ</t>
    </rPh>
    <rPh sb="3" eb="5">
      <t>モリハラ</t>
    </rPh>
    <rPh sb="6" eb="9">
      <t>ハセガワ</t>
    </rPh>
    <rPh sb="9" eb="10">
      <t>ユウ</t>
    </rPh>
    <rPh sb="11" eb="13">
      <t>サカイ</t>
    </rPh>
    <rPh sb="14" eb="16">
      <t>オカダ</t>
    </rPh>
    <rPh sb="17" eb="19">
      <t>スズキ</t>
    </rPh>
    <rPh sb="19" eb="20">
      <t>ユウ</t>
    </rPh>
    <rPh sb="21" eb="23">
      <t>ワタナベ</t>
    </rPh>
    <phoneticPr fontId="2"/>
  </si>
  <si>
    <t>M</t>
    <phoneticPr fontId="2"/>
  </si>
  <si>
    <t>ｆ</t>
    <phoneticPr fontId="2"/>
  </si>
  <si>
    <t>総務部</t>
    <rPh sb="0" eb="2">
      <t>ソウム</t>
    </rPh>
    <rPh sb="2" eb="3">
      <t>ブ</t>
    </rPh>
    <phoneticPr fontId="2"/>
  </si>
  <si>
    <t>*役員６名、執行役員・理事（上席理事含）5名、顧問３名、海外出向者３名の計１７名は除く（国内出向者は含む）</t>
    <rPh sb="1" eb="3">
      <t>ヤクイン</t>
    </rPh>
    <rPh sb="4" eb="5">
      <t>メイ</t>
    </rPh>
    <rPh sb="6" eb="8">
      <t>シッコウ</t>
    </rPh>
    <rPh sb="8" eb="10">
      <t>ヤクイン</t>
    </rPh>
    <rPh sb="11" eb="13">
      <t>リジ</t>
    </rPh>
    <rPh sb="14" eb="16">
      <t>ジョウセキ</t>
    </rPh>
    <rPh sb="16" eb="18">
      <t>リジ</t>
    </rPh>
    <rPh sb="18" eb="19">
      <t>フク</t>
    </rPh>
    <rPh sb="21" eb="22">
      <t>メイ</t>
    </rPh>
    <rPh sb="23" eb="25">
      <t>コモン</t>
    </rPh>
    <rPh sb="26" eb="27">
      <t>メイ</t>
    </rPh>
    <rPh sb="28" eb="33">
      <t>カイガイシュッコウシャ</t>
    </rPh>
    <rPh sb="34" eb="35">
      <t>メイ</t>
    </rPh>
    <rPh sb="36" eb="37">
      <t>ケイ</t>
    </rPh>
    <rPh sb="39" eb="40">
      <t>メイ</t>
    </rPh>
    <rPh sb="41" eb="42">
      <t>ノゾ</t>
    </rPh>
    <rPh sb="44" eb="46">
      <t>コクナイ</t>
    </rPh>
    <rPh sb="46" eb="49">
      <t>シュッコウシャ</t>
    </rPh>
    <rPh sb="50" eb="51">
      <t>フク</t>
    </rPh>
    <phoneticPr fontId="2"/>
  </si>
  <si>
    <t>本社工場ＡＣ研磨</t>
    <rPh sb="0" eb="2">
      <t>ホンシャ</t>
    </rPh>
    <rPh sb="2" eb="4">
      <t>コウジョウ</t>
    </rPh>
    <phoneticPr fontId="2"/>
  </si>
  <si>
    <t>本社工場機械第一</t>
    <rPh sb="0" eb="2">
      <t>ホンシャ</t>
    </rPh>
    <rPh sb="2" eb="4">
      <t>コウジョウ</t>
    </rPh>
    <rPh sb="4" eb="6">
      <t>キカイ</t>
    </rPh>
    <rPh sb="6" eb="8">
      <t>ダイイチ</t>
    </rPh>
    <phoneticPr fontId="2"/>
  </si>
  <si>
    <t>青木・立ノ岡・栗原・比留間</t>
    <rPh sb="0" eb="1">
      <t>アオ</t>
    </rPh>
    <rPh sb="1" eb="2">
      <t>キ</t>
    </rPh>
    <rPh sb="3" eb="4">
      <t>タ</t>
    </rPh>
    <rPh sb="5" eb="6">
      <t>オカ</t>
    </rPh>
    <rPh sb="7" eb="9">
      <t>クリバラ</t>
    </rPh>
    <rPh sb="10" eb="13">
      <t>ヒルマ</t>
    </rPh>
    <phoneticPr fontId="2"/>
  </si>
  <si>
    <t>2021年3月1日従業員人数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</si>
  <si>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経営管理部</t>
    <rPh sb="0" eb="2">
      <t>ケイエイ</t>
    </rPh>
    <rPh sb="2" eb="4">
      <t>カンリ</t>
    </rPh>
    <rPh sb="4" eb="5">
      <t>ブ</t>
    </rPh>
    <phoneticPr fontId="2"/>
  </si>
  <si>
    <t>小野・金沢　削除</t>
    <rPh sb="0" eb="2">
      <t>オノ</t>
    </rPh>
    <rPh sb="3" eb="5">
      <t>カナザワ</t>
    </rPh>
    <rPh sb="6" eb="8">
      <t>サクジョ</t>
    </rPh>
    <phoneticPr fontId="2"/>
  </si>
  <si>
    <t>佐々木　祐太</t>
    <rPh sb="4" eb="6">
      <t>ユウタ</t>
    </rPh>
    <phoneticPr fontId="2"/>
  </si>
  <si>
    <t>松本　茂</t>
    <rPh sb="0" eb="2">
      <t>マツモト</t>
    </rPh>
    <rPh sb="3" eb="4">
      <t>シゲ</t>
    </rPh>
    <phoneticPr fontId="2"/>
  </si>
  <si>
    <t>2021年4月1日従業員人数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</si>
  <si>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高橋　良典</t>
    <rPh sb="0" eb="2">
      <t>タカハシ</t>
    </rPh>
    <rPh sb="3" eb="4">
      <t>ヨ</t>
    </rPh>
    <rPh sb="4" eb="5">
      <t>テン</t>
    </rPh>
    <phoneticPr fontId="2"/>
  </si>
  <si>
    <t>原　ゆめか</t>
    <rPh sb="0" eb="1">
      <t>ハラ</t>
    </rPh>
    <phoneticPr fontId="2"/>
  </si>
  <si>
    <t>山下　桃音</t>
    <rPh sb="0" eb="2">
      <t>ヤマシタ</t>
    </rPh>
    <rPh sb="3" eb="4">
      <t>モモ</t>
    </rPh>
    <rPh sb="4" eb="5">
      <t>オト</t>
    </rPh>
    <phoneticPr fontId="2"/>
  </si>
  <si>
    <t>大津　祐汰</t>
    <rPh sb="0" eb="2">
      <t>オオツ</t>
    </rPh>
    <rPh sb="3" eb="4">
      <t>ユウ</t>
    </rPh>
    <rPh sb="4" eb="5">
      <t>タ</t>
    </rPh>
    <phoneticPr fontId="2"/>
  </si>
  <si>
    <t>尾澤　俊成</t>
    <rPh sb="0" eb="2">
      <t>オザワ</t>
    </rPh>
    <rPh sb="3" eb="5">
      <t>トシナリ</t>
    </rPh>
    <phoneticPr fontId="2"/>
  </si>
  <si>
    <t>水野　隆騎</t>
    <rPh sb="0" eb="2">
      <t>ミズノ</t>
    </rPh>
    <rPh sb="3" eb="4">
      <t>リュウ</t>
    </rPh>
    <rPh sb="4" eb="5">
      <t>キ</t>
    </rPh>
    <phoneticPr fontId="2"/>
  </si>
  <si>
    <t>オエタマン</t>
    <phoneticPr fontId="2"/>
  </si>
  <si>
    <t>M</t>
    <phoneticPr fontId="2"/>
  </si>
  <si>
    <t>中野　裕輔</t>
  </si>
  <si>
    <t>中野　裕輔</t>
    <rPh sb="3" eb="5">
      <t>ユウスケ</t>
    </rPh>
    <phoneticPr fontId="2"/>
  </si>
  <si>
    <t>オエタマン　中野　+</t>
    <rPh sb="6" eb="8">
      <t>ナカノ</t>
    </rPh>
    <phoneticPr fontId="2"/>
  </si>
  <si>
    <t>神山  茂輝</t>
    <phoneticPr fontId="2"/>
  </si>
  <si>
    <t>コード</t>
  </si>
  <si>
    <t>退職日</t>
  </si>
  <si>
    <t>生年月日</t>
  </si>
  <si>
    <t>入社日</t>
  </si>
  <si>
    <t>経営管理部</t>
  </si>
  <si>
    <t>染谷    忠</t>
  </si>
  <si>
    <t>井上　千穂</t>
  </si>
  <si>
    <t>外山　亮司</t>
  </si>
  <si>
    <t>人事部</t>
  </si>
  <si>
    <t>人事部羽生</t>
  </si>
  <si>
    <t>石田　詩織</t>
  </si>
  <si>
    <t>佐藤　雅人</t>
  </si>
  <si>
    <t>石井　達矢</t>
  </si>
  <si>
    <t>入倉　弘介</t>
  </si>
  <si>
    <t>長坂　康弘</t>
  </si>
  <si>
    <t>三原　繁一</t>
  </si>
  <si>
    <t>萩原　悠平</t>
  </si>
  <si>
    <t>佐々木　祐太</t>
  </si>
  <si>
    <t>オエマタン　ビクトール</t>
  </si>
  <si>
    <t>秋山    久</t>
  </si>
  <si>
    <t>高橋    均</t>
  </si>
  <si>
    <t>松本    茂</t>
  </si>
  <si>
    <t>野崎　朋子</t>
  </si>
  <si>
    <t>長塩　陽子</t>
  </si>
  <si>
    <t>田巻　　晶</t>
  </si>
  <si>
    <t>安齊　美咲</t>
  </si>
  <si>
    <t>小川　優花</t>
  </si>
  <si>
    <t>山口　柚衣</t>
  </si>
  <si>
    <t>永原　優太</t>
  </si>
  <si>
    <t>神田　健太朗</t>
  </si>
  <si>
    <t>高橋　良典</t>
  </si>
  <si>
    <t>原　ゆめか</t>
  </si>
  <si>
    <t>山下　桃音</t>
  </si>
  <si>
    <t>大津　祐汰</t>
  </si>
  <si>
    <t>尾澤　俊成</t>
  </si>
  <si>
    <t>水野　隆綺</t>
  </si>
  <si>
    <t>五十嵐  実</t>
  </si>
  <si>
    <t>長島　峯</t>
  </si>
  <si>
    <t>顧問</t>
  </si>
  <si>
    <t>西海　孝夫</t>
  </si>
  <si>
    <t>長島　利一</t>
  </si>
  <si>
    <t>宮島　文夫</t>
  </si>
  <si>
    <t>鈴木　孝幸</t>
  </si>
  <si>
    <t>佐藤　浩二</t>
  </si>
  <si>
    <t>富山　敦子</t>
  </si>
  <si>
    <t>亀山　幸恵</t>
  </si>
  <si>
    <t>奥沢　　忠</t>
  </si>
  <si>
    <t>斎藤　博之</t>
  </si>
  <si>
    <t>鈴木　和雄</t>
  </si>
  <si>
    <t>福田　政弘</t>
  </si>
  <si>
    <t>高鳥　敬司</t>
  </si>
  <si>
    <t>紺野　喜和</t>
  </si>
  <si>
    <t>小野塚　竹美</t>
  </si>
  <si>
    <t>岩佐　光浩</t>
  </si>
  <si>
    <t>藤井　信一</t>
  </si>
  <si>
    <t>渡辺　広義</t>
  </si>
  <si>
    <t>神田　正</t>
  </si>
  <si>
    <t>相沢　照夫</t>
  </si>
  <si>
    <t>長島　彰</t>
  </si>
  <si>
    <t>新妻　豊</t>
  </si>
  <si>
    <t>人事部</t>
    <phoneticPr fontId="2"/>
  </si>
  <si>
    <t>田村　－</t>
    <rPh sb="0" eb="2">
      <t>タムラ</t>
    </rPh>
    <phoneticPr fontId="2"/>
  </si>
  <si>
    <t>高橋・内藤・富樫・中山　+</t>
    <rPh sb="0" eb="2">
      <t>タカハシ</t>
    </rPh>
    <rPh sb="3" eb="5">
      <t>ナイトウ</t>
    </rPh>
    <rPh sb="6" eb="8">
      <t>トガシ</t>
    </rPh>
    <rPh sb="9" eb="11">
      <t>ナカヤマ</t>
    </rPh>
    <phoneticPr fontId="2"/>
  </si>
  <si>
    <t>高橋　久美子</t>
    <rPh sb="0" eb="2">
      <t>タカハシ</t>
    </rPh>
    <rPh sb="3" eb="6">
      <t>クミコ</t>
    </rPh>
    <phoneticPr fontId="2"/>
  </si>
  <si>
    <t>L</t>
    <phoneticPr fontId="2"/>
  </si>
  <si>
    <t>内藤　一樹</t>
    <rPh sb="0" eb="2">
      <t>ナイトウ</t>
    </rPh>
    <rPh sb="3" eb="5">
      <t>カズキ</t>
    </rPh>
    <phoneticPr fontId="2"/>
  </si>
  <si>
    <t>富樫　恵一郎</t>
    <rPh sb="0" eb="2">
      <t>トガシ</t>
    </rPh>
    <rPh sb="3" eb="6">
      <t>エイチロウ</t>
    </rPh>
    <phoneticPr fontId="2"/>
  </si>
  <si>
    <t>中山　りゅうせい</t>
    <rPh sb="0" eb="2">
      <t>ナカヤマ</t>
    </rPh>
    <phoneticPr fontId="2"/>
  </si>
  <si>
    <t>M</t>
    <phoneticPr fontId="2"/>
  </si>
  <si>
    <t>星野    真吾</t>
    <phoneticPr fontId="2"/>
  </si>
  <si>
    <t>山根    智幸</t>
    <phoneticPr fontId="2"/>
  </si>
  <si>
    <t>石川    賢一</t>
    <phoneticPr fontId="2"/>
  </si>
  <si>
    <t>高橋  義生</t>
    <phoneticPr fontId="2"/>
  </si>
  <si>
    <t>山田　（出向)</t>
    <rPh sb="0" eb="2">
      <t>ヤマダ</t>
    </rPh>
    <rPh sb="4" eb="6">
      <t>シュッコウ</t>
    </rPh>
    <phoneticPr fontId="2"/>
  </si>
  <si>
    <t>2022年7月1日従業員人数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</si>
  <si>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山角・青木-</t>
    <rPh sb="0" eb="1">
      <t>ヤマ</t>
    </rPh>
    <rPh sb="1" eb="2">
      <t>ツノ</t>
    </rPh>
    <rPh sb="3" eb="4">
      <t>アオ</t>
    </rPh>
    <rPh sb="4" eb="5">
      <t>キ</t>
    </rPh>
    <phoneticPr fontId="2"/>
  </si>
  <si>
    <t>安斉・長濱+</t>
    <rPh sb="0" eb="2">
      <t>アンザイ</t>
    </rPh>
    <rPh sb="3" eb="4">
      <t>ナガ</t>
    </rPh>
    <rPh sb="4" eb="5">
      <t>ハマ</t>
    </rPh>
    <phoneticPr fontId="2"/>
  </si>
  <si>
    <t>安斉　昆太</t>
    <rPh sb="0" eb="2">
      <t>アンザイ</t>
    </rPh>
    <rPh sb="3" eb="4">
      <t>コン</t>
    </rPh>
    <rPh sb="4" eb="5">
      <t>タ</t>
    </rPh>
    <phoneticPr fontId="2"/>
  </si>
  <si>
    <t>長濱　薫平</t>
    <rPh sb="0" eb="1">
      <t>ナガ</t>
    </rPh>
    <rPh sb="1" eb="2">
      <t>ハマ</t>
    </rPh>
    <rPh sb="3" eb="4">
      <t>クン</t>
    </rPh>
    <rPh sb="4" eb="5">
      <t>タイラ</t>
    </rPh>
    <phoneticPr fontId="2"/>
  </si>
  <si>
    <t>*役員5名、執行役員5名、顧問2名、海外出向者４名の計１６名は除く（国内出向者は含む）</t>
    <rPh sb="1" eb="3">
      <t>ヤクイン</t>
    </rPh>
    <rPh sb="4" eb="5">
      <t>メイ</t>
    </rPh>
    <rPh sb="6" eb="8">
      <t>シッコウ</t>
    </rPh>
    <rPh sb="8" eb="10">
      <t>ヤクイン</t>
    </rPh>
    <rPh sb="11" eb="12">
      <t>メイ</t>
    </rPh>
    <rPh sb="13" eb="15">
      <t>コモン</t>
    </rPh>
    <rPh sb="16" eb="17">
      <t>メイ</t>
    </rPh>
    <rPh sb="18" eb="23">
      <t>カイガイシュッコウシャ</t>
    </rPh>
    <rPh sb="24" eb="25">
      <t>メイ</t>
    </rPh>
    <rPh sb="26" eb="27">
      <t>ケイ</t>
    </rPh>
    <rPh sb="29" eb="30">
      <t>メイ</t>
    </rPh>
    <rPh sb="31" eb="32">
      <t>ノゾ</t>
    </rPh>
    <rPh sb="34" eb="36">
      <t>コクナイ</t>
    </rPh>
    <rPh sb="36" eb="39">
      <t>シュッコウシャ</t>
    </rPh>
    <rPh sb="40" eb="41">
      <t>フク</t>
    </rPh>
    <phoneticPr fontId="2"/>
  </si>
  <si>
    <t>高野さん嘱託へ</t>
    <rPh sb="0" eb="2">
      <t>タカノ</t>
    </rPh>
    <rPh sb="4" eb="6">
      <t>ショクタク</t>
    </rPh>
    <phoneticPr fontId="2"/>
  </si>
  <si>
    <t>山田平一　-</t>
    <rPh sb="0" eb="2">
      <t>ヤマダ</t>
    </rPh>
    <rPh sb="2" eb="4">
      <t>ヘイイチ</t>
    </rPh>
    <phoneticPr fontId="2"/>
  </si>
  <si>
    <t>景山・久保・稲野－</t>
    <rPh sb="0" eb="2">
      <t>カゲヤマ</t>
    </rPh>
    <rPh sb="3" eb="5">
      <t>クボ</t>
    </rPh>
    <rPh sb="6" eb="8">
      <t>イナノ</t>
    </rPh>
    <phoneticPr fontId="2"/>
  </si>
  <si>
    <t>倉田-</t>
    <rPh sb="0" eb="2">
      <t>クラタ</t>
    </rPh>
    <phoneticPr fontId="2"/>
  </si>
  <si>
    <t>2022年9月1日従業員人数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</si>
  <si>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深谷　正幸</t>
    <rPh sb="0" eb="2">
      <t>フカヤ</t>
    </rPh>
    <rPh sb="3" eb="5">
      <t>マサユキ</t>
    </rPh>
    <phoneticPr fontId="2"/>
  </si>
  <si>
    <t>間野・加藤・新谷・千葉</t>
    <rPh sb="0" eb="2">
      <t>マノ</t>
    </rPh>
    <rPh sb="3" eb="5">
      <t>カトウ</t>
    </rPh>
    <rPh sb="6" eb="8">
      <t>シンタニ</t>
    </rPh>
    <rPh sb="9" eb="11">
      <t>チバ</t>
    </rPh>
    <phoneticPr fontId="2"/>
  </si>
  <si>
    <t>金子・仲・高山　＋</t>
    <rPh sb="0" eb="2">
      <t>カネコ</t>
    </rPh>
    <rPh sb="3" eb="4">
      <t>ナカ</t>
    </rPh>
    <rPh sb="5" eb="7">
      <t>タカヤマ</t>
    </rPh>
    <phoneticPr fontId="2"/>
  </si>
  <si>
    <t>2022年10月1日従業員人数</t>
    <rPh sb="4" eb="5">
      <t>ネン</t>
    </rPh>
    <rPh sb="7" eb="8">
      <t>ガツ</t>
    </rPh>
    <rPh sb="9" eb="10">
      <t>ヒ</t>
    </rPh>
    <rPh sb="10" eb="13">
      <t>ジュウギョウイン</t>
    </rPh>
    <rPh sb="13" eb="15">
      <t>ニンズウ</t>
    </rPh>
    <phoneticPr fontId="2"/>
  </si>
  <si>
    <t>中里　浩二</t>
    <rPh sb="0" eb="2">
      <t>ナカザト</t>
    </rPh>
    <rPh sb="3" eb="5">
      <t>コウジ</t>
    </rPh>
    <phoneticPr fontId="2"/>
  </si>
  <si>
    <t>仲　智史</t>
    <rPh sb="0" eb="1">
      <t>ナカ</t>
    </rPh>
    <rPh sb="2" eb="3">
      <t>サトシ</t>
    </rPh>
    <rPh sb="3" eb="4">
      <t>フミ</t>
    </rPh>
    <phoneticPr fontId="2"/>
  </si>
  <si>
    <t>高山　貴則</t>
    <rPh sb="0" eb="2">
      <t>タカヤマ</t>
    </rPh>
    <rPh sb="3" eb="4">
      <t>タカシ</t>
    </rPh>
    <rPh sb="4" eb="5">
      <t>ノリ</t>
    </rPh>
    <phoneticPr fontId="2"/>
  </si>
  <si>
    <t>竹間　浩</t>
    <rPh sb="0" eb="2">
      <t>チクマ</t>
    </rPh>
    <rPh sb="3" eb="4">
      <t>ヒロシ</t>
    </rPh>
    <phoneticPr fontId="2"/>
  </si>
  <si>
    <t>岩田　清　正社員から嘱託</t>
    <rPh sb="0" eb="2">
      <t>イワタ</t>
    </rPh>
    <rPh sb="3" eb="4">
      <t>キヨシ</t>
    </rPh>
    <rPh sb="5" eb="8">
      <t>セイシャイン</t>
    </rPh>
    <rPh sb="10" eb="12">
      <t>ショクタク</t>
    </rPh>
    <phoneticPr fontId="2"/>
  </si>
  <si>
    <t>竹間　＋</t>
    <rPh sb="0" eb="2">
      <t>チクマ</t>
    </rPh>
    <phoneticPr fontId="2"/>
  </si>
  <si>
    <t>事業所名称</t>
  </si>
  <si>
    <t>給与体系</t>
  </si>
  <si>
    <t>三輪精機株式会社</t>
  </si>
  <si>
    <t>田口　公則</t>
  </si>
  <si>
    <t>高橋　久美子</t>
  </si>
  <si>
    <t>内藤　一樹</t>
  </si>
  <si>
    <t>富樫　恵一郎</t>
  </si>
  <si>
    <t>中山　瑠晟</t>
  </si>
  <si>
    <t>安済　昴太</t>
  </si>
  <si>
    <t>深谷　正幸</t>
  </si>
  <si>
    <t>中里　浩二</t>
  </si>
  <si>
    <t>仲　智史</t>
  </si>
  <si>
    <t>高山　貴則</t>
  </si>
  <si>
    <t>堤　松子</t>
  </si>
  <si>
    <t>川上　紘輝</t>
  </si>
  <si>
    <t>岩田　清</t>
  </si>
  <si>
    <t>西海</t>
    <rPh sb="0" eb="2">
      <t>ニシウミ</t>
    </rPh>
    <phoneticPr fontId="2"/>
  </si>
  <si>
    <t>佐藤</t>
    <rPh sb="0" eb="2">
      <t>サトウ</t>
    </rPh>
    <phoneticPr fontId="2"/>
  </si>
  <si>
    <t>秋山</t>
    <rPh sb="0" eb="2">
      <t>アキヤマ</t>
    </rPh>
    <phoneticPr fontId="2"/>
  </si>
  <si>
    <t>外山</t>
    <rPh sb="0" eb="2">
      <t>トヤマ</t>
    </rPh>
    <phoneticPr fontId="2"/>
  </si>
  <si>
    <t>吉野</t>
    <rPh sb="0" eb="2">
      <t>ヨシノ</t>
    </rPh>
    <phoneticPr fontId="2"/>
  </si>
  <si>
    <t>時田</t>
    <rPh sb="0" eb="2">
      <t>トキタ</t>
    </rPh>
    <phoneticPr fontId="2"/>
  </si>
  <si>
    <t>石塚</t>
    <rPh sb="0" eb="2">
      <t>イシヅカ</t>
    </rPh>
    <phoneticPr fontId="2"/>
  </si>
  <si>
    <t>茂木</t>
    <rPh sb="0" eb="2">
      <t>モギ</t>
    </rPh>
    <phoneticPr fontId="2"/>
  </si>
  <si>
    <t>五十嵐</t>
    <rPh sb="0" eb="3">
      <t>イガラシ</t>
    </rPh>
    <phoneticPr fontId="2"/>
  </si>
  <si>
    <t>高橋</t>
    <rPh sb="0" eb="2">
      <t>タカハシ</t>
    </rPh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</si>
  <si>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</si>
  <si>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</si>
  <si>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染谷</t>
    <rPh sb="0" eb="2">
      <t>ソメヤ</t>
    </rPh>
    <phoneticPr fontId="2"/>
  </si>
  <si>
    <t>山田</t>
    <rPh sb="0" eb="2">
      <t>ヤマダ</t>
    </rPh>
    <phoneticPr fontId="2"/>
  </si>
  <si>
    <t>吉田</t>
    <rPh sb="0" eb="2">
      <t>ヨシダ</t>
    </rPh>
    <phoneticPr fontId="2"/>
  </si>
  <si>
    <t>上原</t>
    <rPh sb="0" eb="2">
      <t>ウエハラ</t>
    </rPh>
    <phoneticPr fontId="2"/>
  </si>
  <si>
    <t>小林　秀二</t>
    <rPh sb="0" eb="2">
      <t>コバヤシ</t>
    </rPh>
    <rPh sb="3" eb="5">
      <t>シュウジ</t>
    </rPh>
    <phoneticPr fontId="2"/>
  </si>
  <si>
    <t>関根　智</t>
    <rPh sb="3" eb="4">
      <t>サトシ</t>
    </rPh>
    <phoneticPr fontId="2"/>
  </si>
  <si>
    <t>M</t>
    <phoneticPr fontId="2"/>
  </si>
  <si>
    <t>立花　萌凪</t>
    <rPh sb="0" eb="2">
      <t>タチバナ</t>
    </rPh>
    <rPh sb="3" eb="4">
      <t>モ</t>
    </rPh>
    <rPh sb="4" eb="5">
      <t>ナギ</t>
    </rPh>
    <phoneticPr fontId="2"/>
  </si>
  <si>
    <t>L</t>
    <phoneticPr fontId="2"/>
  </si>
  <si>
    <t>瀬戸　洋子</t>
    <rPh sb="0" eb="2">
      <t>セト</t>
    </rPh>
    <rPh sb="3" eb="5">
      <t>ヨウコ</t>
    </rPh>
    <phoneticPr fontId="2"/>
  </si>
  <si>
    <t>小林・山本・関根・立花・瀬戸</t>
    <rPh sb="0" eb="2">
      <t>コバヤシ</t>
    </rPh>
    <rPh sb="3" eb="5">
      <t>ヤマモト</t>
    </rPh>
    <rPh sb="6" eb="8">
      <t>セキネ</t>
    </rPh>
    <rPh sb="9" eb="11">
      <t>タチバナ</t>
    </rPh>
    <rPh sb="12" eb="14">
      <t>セト</t>
    </rPh>
    <phoneticPr fontId="2"/>
  </si>
  <si>
    <t>大竹　ー</t>
    <rPh sb="0" eb="2">
      <t>オオタケ</t>
    </rPh>
    <phoneticPr fontId="2"/>
  </si>
  <si>
    <t>津川　斉舗</t>
    <rPh sb="0" eb="2">
      <t>ツガワ</t>
    </rPh>
    <rPh sb="3" eb="4">
      <t>サイ</t>
    </rPh>
    <rPh sb="4" eb="5">
      <t>ホ</t>
    </rPh>
    <phoneticPr fontId="2"/>
  </si>
  <si>
    <t>大熊　公次</t>
    <rPh sb="0" eb="2">
      <t>オオクマ</t>
    </rPh>
    <rPh sb="3" eb="4">
      <t>コウ</t>
    </rPh>
    <rPh sb="4" eb="5">
      <t>ツギ</t>
    </rPh>
    <phoneticPr fontId="2"/>
  </si>
  <si>
    <t>今福　公生</t>
    <rPh sb="0" eb="2">
      <t>イマフク</t>
    </rPh>
    <rPh sb="3" eb="5">
      <t>コウセイ</t>
    </rPh>
    <phoneticPr fontId="2"/>
  </si>
  <si>
    <t>ｆ</t>
  </si>
  <si>
    <t>朝倉・福島・藤井＋</t>
    <rPh sb="0" eb="2">
      <t>アサクラ</t>
    </rPh>
    <rPh sb="3" eb="5">
      <t>フクシマ</t>
    </rPh>
    <rPh sb="6" eb="8">
      <t>フジイ</t>
    </rPh>
    <phoneticPr fontId="2"/>
  </si>
  <si>
    <t>加藤　嘱託へ</t>
    <rPh sb="0" eb="2">
      <t>カトウ</t>
    </rPh>
    <rPh sb="3" eb="5">
      <t>ショクタク</t>
    </rPh>
    <phoneticPr fontId="2"/>
  </si>
  <si>
    <t>朝倉　和久</t>
    <rPh sb="0" eb="2">
      <t>アサクラ</t>
    </rPh>
    <rPh sb="3" eb="5">
      <t>カズヒサ</t>
    </rPh>
    <phoneticPr fontId="2"/>
  </si>
  <si>
    <t>福島　一太郎</t>
    <rPh sb="0" eb="2">
      <t>フクシマ</t>
    </rPh>
    <rPh sb="3" eb="6">
      <t>イチタロウ</t>
    </rPh>
    <phoneticPr fontId="2"/>
  </si>
  <si>
    <t>藤井　修</t>
    <rPh sb="3" eb="4">
      <t>オサム</t>
    </rPh>
    <phoneticPr fontId="2"/>
  </si>
  <si>
    <t>田中・佐藤盾　-</t>
    <rPh sb="0" eb="2">
      <t>タナカ</t>
    </rPh>
    <rPh sb="3" eb="5">
      <t>サトウ</t>
    </rPh>
    <rPh sb="5" eb="6">
      <t>タテ</t>
    </rPh>
    <phoneticPr fontId="2"/>
  </si>
  <si>
    <t>高塚嘱託</t>
    <rPh sb="0" eb="2">
      <t>タカツカ</t>
    </rPh>
    <rPh sb="2" eb="4">
      <t>ショクタク</t>
    </rPh>
    <phoneticPr fontId="2"/>
  </si>
  <si>
    <t>柴田・大熊・高野・菅原・生井・柴崎　＋</t>
    <rPh sb="0" eb="2">
      <t>シバタ</t>
    </rPh>
    <rPh sb="3" eb="5">
      <t>オオクマ</t>
    </rPh>
    <rPh sb="6" eb="8">
      <t>タカノ</t>
    </rPh>
    <rPh sb="9" eb="11">
      <t>スガワラ</t>
    </rPh>
    <rPh sb="12" eb="14">
      <t>ナマイ</t>
    </rPh>
    <rPh sb="15" eb="17">
      <t>シバザキ</t>
    </rPh>
    <phoneticPr fontId="2"/>
  </si>
  <si>
    <t>高塚　英喜</t>
    <rPh sb="0" eb="2">
      <t>タカツカ</t>
    </rPh>
    <rPh sb="3" eb="5">
      <t>ヒデキ</t>
    </rPh>
    <phoneticPr fontId="2"/>
  </si>
  <si>
    <t>40420</t>
    <phoneticPr fontId="2"/>
  </si>
  <si>
    <t>生井　治</t>
    <rPh sb="0" eb="2">
      <t>ナマイ</t>
    </rPh>
    <rPh sb="3" eb="4">
      <t>オサム</t>
    </rPh>
    <phoneticPr fontId="2"/>
  </si>
  <si>
    <t>2023年2月1日従業員人数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</si>
  <si>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2023年3月1日従業員人数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</si>
  <si>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伊藤・渋谷・岡田・長坂　－</t>
    <rPh sb="0" eb="2">
      <t>イトウ</t>
    </rPh>
    <rPh sb="3" eb="5">
      <t>シブヤ</t>
    </rPh>
    <rPh sb="6" eb="8">
      <t>オカダ</t>
    </rPh>
    <rPh sb="9" eb="11">
      <t>ナガサカ</t>
    </rPh>
    <phoneticPr fontId="2"/>
  </si>
  <si>
    <t>針谷　大和</t>
    <rPh sb="0" eb="2">
      <t>ハリガヤ</t>
    </rPh>
    <rPh sb="3" eb="5">
      <t>ヤマト</t>
    </rPh>
    <phoneticPr fontId="2"/>
  </si>
  <si>
    <t>大谷　亮太</t>
    <rPh sb="0" eb="2">
      <t>オオタニ</t>
    </rPh>
    <rPh sb="3" eb="5">
      <t>リョウタ</t>
    </rPh>
    <phoneticPr fontId="2"/>
  </si>
  <si>
    <t>中岸　祐太</t>
    <rPh sb="0" eb="2">
      <t>ナカギシ</t>
    </rPh>
    <rPh sb="3" eb="5">
      <t>ユウタ</t>
    </rPh>
    <phoneticPr fontId="2"/>
  </si>
  <si>
    <t>梅沢　斗愛</t>
    <rPh sb="0" eb="2">
      <t>ウメザワ</t>
    </rPh>
    <rPh sb="3" eb="4">
      <t>ト</t>
    </rPh>
    <rPh sb="4" eb="5">
      <t>アイ</t>
    </rPh>
    <phoneticPr fontId="2"/>
  </si>
  <si>
    <t>佐藤　善次郎</t>
    <rPh sb="0" eb="2">
      <t>サトウ</t>
    </rPh>
    <rPh sb="3" eb="6">
      <t>ゼンジロウ</t>
    </rPh>
    <phoneticPr fontId="2"/>
  </si>
  <si>
    <t>今村　哲郎</t>
    <rPh sb="0" eb="2">
      <t>イマムラ</t>
    </rPh>
    <rPh sb="3" eb="5">
      <t>テツロウ</t>
    </rPh>
    <phoneticPr fontId="2"/>
  </si>
  <si>
    <t>小林　由規乃</t>
    <rPh sb="0" eb="2">
      <t>コバヤシ</t>
    </rPh>
    <rPh sb="3" eb="4">
      <t>ユ</t>
    </rPh>
    <rPh sb="4" eb="5">
      <t>キ</t>
    </rPh>
    <rPh sb="5" eb="6">
      <t>ノ</t>
    </rPh>
    <phoneticPr fontId="2"/>
  </si>
  <si>
    <t>新入社員9名</t>
    <rPh sb="0" eb="4">
      <t>シンニュウシャイン</t>
    </rPh>
    <rPh sb="5" eb="6">
      <t>メイ</t>
    </rPh>
    <phoneticPr fontId="2"/>
  </si>
  <si>
    <t>高田・発地・櫻井　＋</t>
    <rPh sb="0" eb="2">
      <t>タカダ</t>
    </rPh>
    <rPh sb="3" eb="5">
      <t>ホッチ</t>
    </rPh>
    <rPh sb="6" eb="8">
      <t>サクライ</t>
    </rPh>
    <phoneticPr fontId="2"/>
  </si>
  <si>
    <t>井上・老沼嘱託</t>
    <rPh sb="0" eb="2">
      <t>イノウエ</t>
    </rPh>
    <rPh sb="3" eb="5">
      <t>オイヌマ</t>
    </rPh>
    <rPh sb="5" eb="7">
      <t>ショクタク</t>
    </rPh>
    <phoneticPr fontId="2"/>
  </si>
  <si>
    <t>長谷川・山本大・鳥海　－</t>
    <rPh sb="0" eb="3">
      <t>ハセガワ</t>
    </rPh>
    <rPh sb="4" eb="6">
      <t>ヤマモト</t>
    </rPh>
    <rPh sb="6" eb="7">
      <t>オオ</t>
    </rPh>
    <rPh sb="8" eb="10">
      <t>トリウミ</t>
    </rPh>
    <phoneticPr fontId="2"/>
  </si>
  <si>
    <t>那須　はるな</t>
    <rPh sb="0" eb="2">
      <t>ナス</t>
    </rPh>
    <phoneticPr fontId="2"/>
  </si>
  <si>
    <t>高田　謙二</t>
    <rPh sb="0" eb="2">
      <t>タカダ</t>
    </rPh>
    <rPh sb="3" eb="5">
      <t>ケンジ</t>
    </rPh>
    <phoneticPr fontId="2"/>
  </si>
  <si>
    <t>44521</t>
    <phoneticPr fontId="2"/>
  </si>
  <si>
    <t>井上　喜雄</t>
    <rPh sb="0" eb="2">
      <t>イノウエ</t>
    </rPh>
    <rPh sb="3" eb="5">
      <t>ヨシオ</t>
    </rPh>
    <phoneticPr fontId="2"/>
  </si>
  <si>
    <t>発地　隆見</t>
    <rPh sb="0" eb="2">
      <t>ホッチ</t>
    </rPh>
    <rPh sb="3" eb="4">
      <t>タカシ</t>
    </rPh>
    <rPh sb="4" eb="5">
      <t>ケン</t>
    </rPh>
    <phoneticPr fontId="2"/>
  </si>
  <si>
    <t>櫻井　綾美</t>
    <rPh sb="0" eb="2">
      <t>サクライ</t>
    </rPh>
    <rPh sb="3" eb="4">
      <t>アヤ</t>
    </rPh>
    <rPh sb="4" eb="5">
      <t>ミ</t>
    </rPh>
    <phoneticPr fontId="2"/>
  </si>
  <si>
    <t>10020</t>
    <phoneticPr fontId="2"/>
  </si>
  <si>
    <t>2023年4月1日従業員人数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</si>
  <si>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44121</t>
    <phoneticPr fontId="2"/>
  </si>
  <si>
    <t>2023年5月1日従業員人数</t>
    <rPh sb="4" eb="5">
      <t>ネン</t>
    </rPh>
    <rPh sb="6" eb="7">
      <t>ガツ</t>
    </rPh>
    <rPh sb="8" eb="9">
      <t>ヒ</t>
    </rPh>
    <rPh sb="9" eb="12">
      <t>ジュウギョウイン</t>
    </rPh>
    <rPh sb="12" eb="14">
      <t>ニンズウ</t>
    </rPh>
    <phoneticPr fontId="2"/>
  </si>
  <si>
    <t>加藤　俊則</t>
    <rPh sb="0" eb="2">
      <t>カトウ</t>
    </rPh>
    <rPh sb="3" eb="5">
      <t>トシノリ</t>
    </rPh>
    <phoneticPr fontId="2"/>
  </si>
  <si>
    <t>海老沢　嘱託</t>
    <rPh sb="0" eb="3">
      <t>エビサワ</t>
    </rPh>
    <rPh sb="4" eb="6">
      <t>ショクタク</t>
    </rPh>
    <phoneticPr fontId="2"/>
  </si>
  <si>
    <t>浅野　－</t>
    <rPh sb="0" eb="2">
      <t>アサノ</t>
    </rPh>
    <phoneticPr fontId="2"/>
  </si>
  <si>
    <t>山田　千帆</t>
    <rPh sb="0" eb="2">
      <t>ヤマダ</t>
    </rPh>
    <rPh sb="3" eb="5">
      <t>チホ</t>
    </rPh>
    <phoneticPr fontId="2"/>
  </si>
  <si>
    <t>立野岡・山田千穂・加藤・太田ひろ子　＋</t>
    <rPh sb="0" eb="3">
      <t>タチノオカ</t>
    </rPh>
    <rPh sb="4" eb="6">
      <t>ヤマダ</t>
    </rPh>
    <rPh sb="6" eb="8">
      <t>チホ</t>
    </rPh>
    <rPh sb="9" eb="11">
      <t>カトウ</t>
    </rPh>
    <rPh sb="12" eb="14">
      <t>オオタ</t>
    </rPh>
    <rPh sb="16" eb="17">
      <t>コ</t>
    </rPh>
    <phoneticPr fontId="2"/>
  </si>
  <si>
    <t>宮代</t>
    <rPh sb="0" eb="2">
      <t>ミヤダイ</t>
    </rPh>
    <phoneticPr fontId="2"/>
  </si>
  <si>
    <t>宮代・星野　＋</t>
    <rPh sb="0" eb="2">
      <t>ミヤダイ</t>
    </rPh>
    <rPh sb="3" eb="5">
      <t>ホシノ</t>
    </rPh>
    <phoneticPr fontId="2"/>
  </si>
  <si>
    <t>猪股　優斗</t>
    <rPh sb="0" eb="2">
      <t>イノマタ</t>
    </rPh>
    <rPh sb="3" eb="5">
      <t>ユウト</t>
    </rPh>
    <phoneticPr fontId="2"/>
  </si>
  <si>
    <t>安藤　幸恵</t>
    <rPh sb="0" eb="2">
      <t>アンドウ</t>
    </rPh>
    <rPh sb="3" eb="5">
      <t>ユキエ</t>
    </rPh>
    <phoneticPr fontId="2"/>
  </si>
  <si>
    <t>三浦・新久・猪股・安藤　＋</t>
    <rPh sb="0" eb="2">
      <t>ミウラ</t>
    </rPh>
    <rPh sb="3" eb="4">
      <t>シン</t>
    </rPh>
    <rPh sb="4" eb="5">
      <t>ヒサシ</t>
    </rPh>
    <rPh sb="6" eb="8">
      <t>イノマタ</t>
    </rPh>
    <rPh sb="9" eb="11">
      <t>アンドウ</t>
    </rPh>
    <phoneticPr fontId="2"/>
  </si>
  <si>
    <t>太田・高野・柴崎-</t>
    <rPh sb="0" eb="2">
      <t>オオタ</t>
    </rPh>
    <rPh sb="3" eb="5">
      <t>タカノ</t>
    </rPh>
    <rPh sb="6" eb="8">
      <t>シバサキ</t>
    </rPh>
    <phoneticPr fontId="2"/>
  </si>
  <si>
    <t>加藤・高橋　嘱託へ</t>
    <rPh sb="0" eb="2">
      <t>カトウ</t>
    </rPh>
    <rPh sb="3" eb="5">
      <t>タカハシ</t>
    </rPh>
    <rPh sb="6" eb="8">
      <t>ショクタク</t>
    </rPh>
    <phoneticPr fontId="2"/>
  </si>
  <si>
    <t>氏名</t>
    <rPh sb="0" eb="2">
      <t>シメイ</t>
    </rPh>
    <phoneticPr fontId="2"/>
  </si>
  <si>
    <t>試案番号</t>
    <rPh sb="0" eb="4">
      <t>シアンバンゴウ</t>
    </rPh>
    <phoneticPr fontId="2"/>
  </si>
  <si>
    <t>川越第二工場2係</t>
    <phoneticPr fontId="2"/>
  </si>
  <si>
    <t>本社工場改善係</t>
    <rPh sb="0" eb="4">
      <t>ホンシャコウジョウ</t>
    </rPh>
    <rPh sb="4" eb="7">
      <t>カイゼンカカリ</t>
    </rPh>
    <phoneticPr fontId="2"/>
  </si>
  <si>
    <t>営業部</t>
    <rPh sb="0" eb="3">
      <t>エイギョウブ</t>
    </rPh>
    <phoneticPr fontId="2"/>
  </si>
  <si>
    <t>小暮・内山・星野-</t>
    <rPh sb="0" eb="2">
      <t>コグレ</t>
    </rPh>
    <rPh sb="3" eb="5">
      <t>ウチヤマ</t>
    </rPh>
    <rPh sb="6" eb="8">
      <t>ホシノ</t>
    </rPh>
    <phoneticPr fontId="2"/>
  </si>
  <si>
    <t>高橋　ひかり</t>
    <rPh sb="0" eb="2">
      <t>タカハシ</t>
    </rPh>
    <phoneticPr fontId="2"/>
  </si>
  <si>
    <t>前田・金子・志田-</t>
    <rPh sb="0" eb="2">
      <t>マエダ</t>
    </rPh>
    <rPh sb="3" eb="5">
      <t>カネコ</t>
    </rPh>
    <rPh sb="6" eb="8">
      <t>シダ</t>
    </rPh>
    <phoneticPr fontId="2"/>
  </si>
  <si>
    <t>岩田　パートへ</t>
    <rPh sb="0" eb="2">
      <t>イワタ</t>
    </rPh>
    <phoneticPr fontId="2"/>
  </si>
  <si>
    <t>野だ　＋</t>
    <rPh sb="0" eb="1">
      <t>ノ</t>
    </rPh>
    <phoneticPr fontId="2"/>
  </si>
  <si>
    <t>野田　圭一</t>
    <rPh sb="0" eb="2">
      <t>ノダ</t>
    </rPh>
    <rPh sb="3" eb="5">
      <t>ケイイチ</t>
    </rPh>
    <phoneticPr fontId="2"/>
  </si>
  <si>
    <t>浦　－</t>
    <rPh sb="0" eb="1">
      <t>ウラ</t>
    </rPh>
    <phoneticPr fontId="2"/>
  </si>
  <si>
    <t>本多　亜希子</t>
    <rPh sb="0" eb="2">
      <t>ホンダ</t>
    </rPh>
    <rPh sb="3" eb="6">
      <t>アキコ</t>
    </rPh>
    <phoneticPr fontId="2"/>
  </si>
  <si>
    <t>和田　悟一</t>
    <rPh sb="0" eb="2">
      <t>ワダ</t>
    </rPh>
    <rPh sb="3" eb="4">
      <t>サトル</t>
    </rPh>
    <rPh sb="4" eb="5">
      <t>イチ</t>
    </rPh>
    <phoneticPr fontId="2"/>
  </si>
  <si>
    <t>南雲　さおり</t>
    <rPh sb="0" eb="2">
      <t>ナグモ</t>
    </rPh>
    <phoneticPr fontId="2"/>
  </si>
  <si>
    <t>和田・南雲・本田・吉澤　＋</t>
    <rPh sb="0" eb="2">
      <t>ワダ</t>
    </rPh>
    <rPh sb="3" eb="5">
      <t>ナグモ</t>
    </rPh>
    <rPh sb="6" eb="8">
      <t>ホンダ</t>
    </rPh>
    <rPh sb="9" eb="11">
      <t>ヨシザワ</t>
    </rPh>
    <phoneticPr fontId="2"/>
  </si>
  <si>
    <t>斉藤・柴田・石川・本城・吉田　-</t>
    <rPh sb="0" eb="2">
      <t>サイトウ</t>
    </rPh>
    <rPh sb="3" eb="5">
      <t>シバタ</t>
    </rPh>
    <rPh sb="6" eb="8">
      <t>イシカワ</t>
    </rPh>
    <rPh sb="9" eb="11">
      <t>ホンジョウ</t>
    </rPh>
    <rPh sb="12" eb="14">
      <t>ヨシダ</t>
    </rPh>
    <phoneticPr fontId="2"/>
  </si>
  <si>
    <t>小川</t>
    <rPh sb="0" eb="2">
      <t>オガワ</t>
    </rPh>
    <phoneticPr fontId="2"/>
  </si>
  <si>
    <t>小川</t>
    <rPh sb="0" eb="2">
      <t>オガワ</t>
    </rPh>
    <phoneticPr fontId="2"/>
  </si>
  <si>
    <t>44121</t>
    <phoneticPr fontId="2"/>
  </si>
  <si>
    <t>ｆ</t>
    <phoneticPr fontId="2"/>
  </si>
  <si>
    <t>M</t>
    <phoneticPr fontId="2"/>
  </si>
  <si>
    <t>ｆ</t>
    <phoneticPr fontId="2"/>
  </si>
  <si>
    <t>新入社員配属</t>
    <rPh sb="0" eb="6">
      <t>シンニュウシャインハイゾク</t>
    </rPh>
    <phoneticPr fontId="2"/>
  </si>
  <si>
    <t>小山・南雲　－</t>
    <rPh sb="0" eb="2">
      <t>オヤマ</t>
    </rPh>
    <rPh sb="3" eb="5">
      <t>ナグモ</t>
    </rPh>
    <phoneticPr fontId="2"/>
  </si>
  <si>
    <t>横山　移動</t>
    <rPh sb="0" eb="2">
      <t>ヨコヤマ</t>
    </rPh>
    <rPh sb="3" eb="5">
      <t>イドウ</t>
    </rPh>
    <phoneticPr fontId="2"/>
  </si>
  <si>
    <t>安野　修司</t>
    <rPh sb="0" eb="2">
      <t>ヤスノ</t>
    </rPh>
    <rPh sb="3" eb="5">
      <t>シュウジ</t>
    </rPh>
    <phoneticPr fontId="2"/>
  </si>
  <si>
    <t>安野・石田　＋</t>
    <rPh sb="0" eb="2">
      <t>ヤスノ</t>
    </rPh>
    <rPh sb="3" eb="5">
      <t>イシダ</t>
    </rPh>
    <phoneticPr fontId="2"/>
  </si>
  <si>
    <t>石田　幸史</t>
    <rPh sb="0" eb="2">
      <t>イシダ</t>
    </rPh>
    <rPh sb="3" eb="4">
      <t>サチ</t>
    </rPh>
    <rPh sb="4" eb="5">
      <t>フミ</t>
    </rPh>
    <phoneticPr fontId="2"/>
  </si>
  <si>
    <t>41220</t>
    <phoneticPr fontId="2"/>
  </si>
  <si>
    <t>武田　朋宏</t>
    <rPh sb="3" eb="4">
      <t>トモ</t>
    </rPh>
    <rPh sb="4" eb="5">
      <t>ヒロシ</t>
    </rPh>
    <phoneticPr fontId="2"/>
  </si>
  <si>
    <t>新井　秀明</t>
    <rPh sb="0" eb="2">
      <t>アライ</t>
    </rPh>
    <rPh sb="3" eb="5">
      <t>ヒデアキ</t>
    </rPh>
    <phoneticPr fontId="2"/>
  </si>
  <si>
    <t>小野　将人</t>
    <rPh sb="0" eb="2">
      <t>オノ</t>
    </rPh>
    <rPh sb="3" eb="5">
      <t>マサト</t>
    </rPh>
    <phoneticPr fontId="2"/>
  </si>
  <si>
    <t>李　豊琴</t>
    <rPh sb="0" eb="1">
      <t>リ</t>
    </rPh>
    <rPh sb="2" eb="3">
      <t>トヨ</t>
    </rPh>
    <rPh sb="3" eb="4">
      <t>キン</t>
    </rPh>
    <phoneticPr fontId="2"/>
  </si>
  <si>
    <t>小野・李・矢島・武田・新井　＋</t>
    <rPh sb="0" eb="2">
      <t>オノ</t>
    </rPh>
    <rPh sb="3" eb="4">
      <t>リ</t>
    </rPh>
    <rPh sb="5" eb="7">
      <t>ヤジマ</t>
    </rPh>
    <rPh sb="8" eb="10">
      <t>タケダ</t>
    </rPh>
    <rPh sb="11" eb="13">
      <t>アライ</t>
    </rPh>
    <phoneticPr fontId="2"/>
  </si>
  <si>
    <t>太田・立野岡　-</t>
    <rPh sb="0" eb="2">
      <t>オオタ</t>
    </rPh>
    <rPh sb="3" eb="6">
      <t>タチノオカ</t>
    </rPh>
    <phoneticPr fontId="2"/>
  </si>
  <si>
    <t>M</t>
    <phoneticPr fontId="2"/>
  </si>
  <si>
    <t>M</t>
    <phoneticPr fontId="2"/>
  </si>
  <si>
    <t>生産支援室</t>
  </si>
  <si>
    <t>生産支援室</t>
    <rPh sb="0" eb="2">
      <t>セイサン</t>
    </rPh>
    <rPh sb="2" eb="4">
      <t>シエン</t>
    </rPh>
    <rPh sb="4" eb="5">
      <t>シツ</t>
    </rPh>
    <phoneticPr fontId="2"/>
  </si>
  <si>
    <t>フリガナ</t>
  </si>
  <si>
    <t>性別</t>
  </si>
  <si>
    <t>部門コード</t>
  </si>
  <si>
    <t>部門名称</t>
  </si>
  <si>
    <t>年齢</t>
  </si>
  <si>
    <t>給与基本開始年月</t>
  </si>
  <si>
    <t>給与体系コード</t>
  </si>
  <si>
    <t>給与体系名称</t>
  </si>
  <si>
    <t>事業所パターン</t>
  </si>
  <si>
    <t>従業員区分</t>
  </si>
  <si>
    <t>雇用保険</t>
  </si>
  <si>
    <t>労災保険</t>
  </si>
  <si>
    <t>税区分</t>
  </si>
  <si>
    <t>所得者区分</t>
  </si>
  <si>
    <t>障害者区分</t>
  </si>
  <si>
    <t>勤労学生</t>
  </si>
  <si>
    <t>災害者</t>
  </si>
  <si>
    <t>社保労働</t>
  </si>
  <si>
    <t>賞与報酬</t>
  </si>
  <si>
    <t>固定締日</t>
  </si>
  <si>
    <t>固定締日Ｐ</t>
  </si>
  <si>
    <t>変動締日</t>
  </si>
  <si>
    <t>変動締日Ｐ</t>
  </si>
  <si>
    <t>給与計算フラグ</t>
  </si>
  <si>
    <t>賞与計算フラグ</t>
  </si>
  <si>
    <t>年末調整フラグ</t>
  </si>
  <si>
    <t>社会保険フラグ</t>
  </si>
  <si>
    <t>育児休業社保免除</t>
  </si>
  <si>
    <t>勤怠取込除外者フラグ</t>
  </si>
  <si>
    <t>所得金額調整控除対象</t>
  </si>
  <si>
    <t>介護保険特定被保険者</t>
  </si>
  <si>
    <t>介護保険適用除外者</t>
  </si>
  <si>
    <t>ﾅｶﾞｼﾏ ﾐﾈ</t>
  </si>
  <si>
    <t>女性</t>
  </si>
  <si>
    <t>顧嘱託</t>
  </si>
  <si>
    <t>三輪精機株式会社顧問</t>
  </si>
  <si>
    <t>常用</t>
  </si>
  <si>
    <t>非対象</t>
  </si>
  <si>
    <t>甲欄</t>
  </si>
  <si>
    <t>一般</t>
  </si>
  <si>
    <t>給与体系に準ずる</t>
  </si>
  <si>
    <t>前月</t>
  </si>
  <si>
    <t>計算する</t>
  </si>
  <si>
    <t>計算しない</t>
  </si>
  <si>
    <t>なし</t>
  </si>
  <si>
    <t>ﾆｼｳﾐ ﾀｶｵ</t>
  </si>
  <si>
    <t>男性</t>
  </si>
  <si>
    <t>ﾅｶﾞｼﾏ ﾘｲﾁ</t>
  </si>
  <si>
    <t>ﾐﾔｼﾞﾏ ﾌﾐｵ</t>
  </si>
  <si>
    <t>役員</t>
  </si>
  <si>
    <t>三輪精機株式会社役員</t>
  </si>
  <si>
    <t>被保険者</t>
  </si>
  <si>
    <t>対象</t>
  </si>
  <si>
    <t>ｽｽﾞｷ ﾀｶﾕｷ</t>
  </si>
  <si>
    <t>乙欄</t>
  </si>
  <si>
    <t>ｻﾄｳ ｺｳｼﾞ</t>
  </si>
  <si>
    <t>ﾐﾊﾗ ｼｹﾞｶｽﾞ</t>
  </si>
  <si>
    <t>月給者</t>
  </si>
  <si>
    <t>ﾔﾏﾓﾄ ﾏｻｼ</t>
  </si>
  <si>
    <t>ﾀﾁﾊﾞﾅ ﾏｲ</t>
  </si>
  <si>
    <t>ﾏﾂﾊﾞﾗ ｻｷｵ</t>
  </si>
  <si>
    <t>今村　哲朗</t>
  </si>
  <si>
    <t>ｲﾏﾑﾗ ﾃﾂﾛｳ</t>
  </si>
  <si>
    <t>一般障害</t>
  </si>
  <si>
    <t>ｲﾃﾞ ﾕｳｿﾞｳ</t>
  </si>
  <si>
    <t>ﾄﾐﾔﾏ ｱﾂｺ</t>
  </si>
  <si>
    <t>ﾊﾟｰﾄ失</t>
  </si>
  <si>
    <t>ｵｲﾇﾏ ﾉﾌﾞﾋｺ</t>
  </si>
  <si>
    <t>ﾂﾂﾐ ｼｮｳｺ</t>
  </si>
  <si>
    <t>ｱｼﾞｼ ｺｳﾍｲ</t>
  </si>
  <si>
    <t>ﾀｶﾉ ﾋﾛｼ</t>
  </si>
  <si>
    <t>ﾅｶﾞｻｶ ﾔｽﾋﾛ</t>
  </si>
  <si>
    <t>加藤　俊則</t>
  </si>
  <si>
    <t>ｶﾄｳ ﾄｼﾉﾘ</t>
  </si>
  <si>
    <t>ｱｵｷ ﾋﾛﾐ</t>
  </si>
  <si>
    <t>ｿｳﾏ ﾕｳｷ</t>
  </si>
  <si>
    <t>ｷｼﾀ ﾕｷｺ</t>
  </si>
  <si>
    <t>ﾄﾔﾏ ﾘﾖｳｼﾞ</t>
  </si>
  <si>
    <t>ﾄﾀﾞ ﾃﾂﾔ</t>
  </si>
  <si>
    <t>ﾊｶﾏﾀﾞ ﾊﾙｵ</t>
  </si>
  <si>
    <t>ﾊﾄﾘ ﾏﾘ</t>
  </si>
  <si>
    <t>免除する</t>
  </si>
  <si>
    <t>ﾅｶﾑﾗ ﾄﾓｶｽﾞ</t>
  </si>
  <si>
    <t>ﾖｺﾔﾏ ｼﾞｭﾝﾔ</t>
  </si>
  <si>
    <t>ｲｼﾀﾞ ｼｵﾘ</t>
  </si>
  <si>
    <t>ｵｻﾞｷ ﾖｳｺ</t>
  </si>
  <si>
    <t>ｸｷﾀ ﾄﾓｷ</t>
  </si>
  <si>
    <t>ﾏﾂﾓﾄ ｶｽﾞﾕｷ</t>
  </si>
  <si>
    <t>ｲﾁｶﾜ ﾏﾅﾌﾞ</t>
  </si>
  <si>
    <t>ﾔﾏｼﾀ ﾓﾓﾈ</t>
  </si>
  <si>
    <t>櫻井　綾美</t>
  </si>
  <si>
    <t>ｻｸﾗｲ ｱﾔﾐ</t>
  </si>
  <si>
    <t>ﾏｻｷ ﾅﾙﾋｺ</t>
  </si>
  <si>
    <t>ﾀﾑﾗ ｶｽﾞﾋﾛ</t>
  </si>
  <si>
    <t>ｸﾄﾞｳ ﾐｴｺ</t>
  </si>
  <si>
    <t>小林　由規乃</t>
  </si>
  <si>
    <t>ｺﾊﾞﾔｼ ﾕｷﾉ</t>
  </si>
  <si>
    <t>ｼﾗｲｼ ｶﾂﾉﾘ</t>
  </si>
  <si>
    <t>ｻｲﾄｳ ﾏﾐ</t>
  </si>
  <si>
    <t>ﾔﾏﾓﾄ ﾖｼﾉﾌﾞ</t>
  </si>
  <si>
    <t>ｵｷﾔﾏ ﾅｵﾐﾁ</t>
  </si>
  <si>
    <t>ﾁｭｳｼﾞｮｳ ｺｳｲﾁ</t>
  </si>
  <si>
    <t>ｱｲﾊﾗ ｴｲｼﾞ</t>
  </si>
  <si>
    <t>ｲﾘｸﾗ ｺｳｽｹ</t>
  </si>
  <si>
    <t>宮代　千織</t>
  </si>
  <si>
    <t>ﾐﾔﾀﾞｲ ﾁｵﾘ</t>
  </si>
  <si>
    <t>ｵｵﾉ ﾖｳｺ</t>
  </si>
  <si>
    <t>ｽｽﾞｷ  ﾑﾈﾉﾘ</t>
  </si>
  <si>
    <t>ｲﾜｾ ｱﾝﾅ</t>
  </si>
  <si>
    <t>時田  俊彦</t>
  </si>
  <si>
    <t>ﾄｷﾀﾄｼﾋｺ</t>
  </si>
  <si>
    <t>ｱｷﾔﾏﾋｻｼ</t>
  </si>
  <si>
    <t>ｲｶﾞﾗｼ ﾐﾉﾙ</t>
  </si>
  <si>
    <t>ﾖｺｷﾞ ｶﾂﾐ</t>
  </si>
  <si>
    <t>高橋　ひかり</t>
  </si>
  <si>
    <t>ﾀｶﾊｼ ﾋｶﾘ</t>
  </si>
  <si>
    <t>ﾅｶｼﾞﾏ ﾀｸﾐ</t>
  </si>
  <si>
    <t>ｼﾏﾉ ﾄｼﾌﾐ</t>
  </si>
  <si>
    <t>ﾏﾙﾔﾏ ﾋﾛｼ</t>
  </si>
  <si>
    <t>ﾋ ｺｳﾕｳ</t>
  </si>
  <si>
    <t>ｼﾌﾞｴ ﾔｽﾋﾛ</t>
  </si>
  <si>
    <t>ﾀﾀﾞﾉ ｶﾞｸ</t>
  </si>
  <si>
    <t>ﾏﾉ ｶｽﾞｷ</t>
  </si>
  <si>
    <t>ｲﾜｲ ｹｲﾀ</t>
  </si>
  <si>
    <t>ｱﾝｻﾞｲ ｶｲﾄ</t>
  </si>
  <si>
    <t>ｼﾐｽﾞ ﾕｳﾀ</t>
  </si>
  <si>
    <t>ｵｵﾂｶ ｿｳﾀ</t>
  </si>
  <si>
    <t>ｵｵﾂ ﾕｳﾀ</t>
  </si>
  <si>
    <t>ｲｲﾀｶ ﾐﾂﾙ</t>
  </si>
  <si>
    <t>関根　智</t>
  </si>
  <si>
    <t>ｾｷﾈ ｻﾄｼ</t>
  </si>
  <si>
    <t>ﾅｶﾉ ﾕｳｽｹ</t>
  </si>
  <si>
    <t>ｷｸﾁ ﾀｶｵ</t>
  </si>
  <si>
    <t>ｶﾜﾉ ｺｳｼﾞ</t>
  </si>
  <si>
    <t>ｶﾄｳ ｼｭﾝﾔ</t>
  </si>
  <si>
    <t>ｺｽｶﾞ ｼｭﾝﾔ</t>
  </si>
  <si>
    <t>ﾔﾏﾀﾞ ｷﾅﾘ</t>
  </si>
  <si>
    <t>佐藤　善次郎</t>
  </si>
  <si>
    <t>ｻﾄｳ ｾﾞﾝｼﾞﾛｳ</t>
  </si>
  <si>
    <t>ﾑﾗﾏﾂ ﾀｶﾖｼ</t>
  </si>
  <si>
    <t>ﾐｳﾗ ﾋﾛｼ</t>
  </si>
  <si>
    <t>ｱﾗｲ ﾋｻｵ</t>
  </si>
  <si>
    <t>ﾔﾏﾀﾞ ﾘｮｳ</t>
  </si>
  <si>
    <t>ｼﾊﾞｻｷ ｹﾝｲﾁ</t>
  </si>
  <si>
    <t>ｽｽﾞｷ ﾄﾖﾊﾙ</t>
  </si>
  <si>
    <t>ﾉｼﾞﾘ ﾋﾛﾊﾙ</t>
  </si>
  <si>
    <t>ﾅｶﾞｼｵ ﾖｳｺ</t>
  </si>
  <si>
    <t>ﾏﾂﾓﾄ ｼｹﾞﾙ</t>
  </si>
  <si>
    <t>ｻｲﾄｳ ﾋﾛﾕｷ</t>
  </si>
  <si>
    <t>ﾖｼｻﾞﾜ ﾀﾀﾞｵ</t>
  </si>
  <si>
    <t>ｿﾒﾔ ﾀﾀﾞｼ</t>
  </si>
  <si>
    <t>ﾔﾏﾀﾞ ｶﾂﾍｲ</t>
  </si>
  <si>
    <t>ﾉｻﾞｷ ﾄﾓｺ</t>
  </si>
  <si>
    <t>ｼﾝﾄﾞｳ ﾄﾓｱｷ</t>
  </si>
  <si>
    <t>ｽｷﾞﾀ ｺｳ</t>
  </si>
  <si>
    <t>ｶﾐﾔﾏ ｼｹﾞｷ</t>
  </si>
  <si>
    <t>ｺﾊﾞﾔｼ ﾅｵﾕｷ</t>
  </si>
  <si>
    <t>ﾅｶﾓﾄ ﾀﾀﾞｵ</t>
  </si>
  <si>
    <t>ｷﾉｼﾀ ﾏｻﾙ</t>
  </si>
  <si>
    <t>ﾉｸﾞﾁ ｹﾝｼﾞ</t>
  </si>
  <si>
    <t>ﾌｸﾀﾞ ﾋﾛﾕｷ</t>
  </si>
  <si>
    <t>高塚　英喜</t>
  </si>
  <si>
    <t>ﾀｶﾂｶ ﾋﾃﾞｷ</t>
  </si>
  <si>
    <t>海老沢　忠</t>
  </si>
  <si>
    <t>ｴﾋﾞｻﾜ ﾀﾀﾞｼ</t>
  </si>
  <si>
    <t>ｵｶﾞﾜ ｼﾝｲﾁ</t>
  </si>
  <si>
    <t>ｲｼﾊﾗ ｼﾝｼﾞ</t>
  </si>
  <si>
    <t>ｸﾛｻﾜ ｼﾝｲﾁﾛｳ</t>
  </si>
  <si>
    <t>ﾅｶﾑﾗ ｼﾝﾀﾛｳ</t>
  </si>
  <si>
    <t>ﾔﾏﾓﾄ ﾋｻｼ</t>
  </si>
  <si>
    <t>ｻﾄｳ ｲｻｵ</t>
  </si>
  <si>
    <t>ｼﾏﾑﾗ ｹﾝｼﾞ</t>
  </si>
  <si>
    <t>ｷｼ ﾕｳﾔ</t>
  </si>
  <si>
    <t>ﾅｶﾞﾐﾈ ﾖｼﾄ</t>
  </si>
  <si>
    <t>ｶｸﾀ ﾅｵﾕｷ</t>
  </si>
  <si>
    <t>ﾈｷﾞｼ ﾐﾂｵ</t>
  </si>
  <si>
    <t>ﾅｲﾄｳ ｶｽﾞｷ</t>
  </si>
  <si>
    <t>ﾌｶﾔ ﾏｻﾕｷ</t>
  </si>
  <si>
    <t>ｽｽﾞｷ ﾖｼﾕｷ</t>
  </si>
  <si>
    <t>ﾀｸﾞﾁ ﾘｮｳﾀ</t>
  </si>
  <si>
    <t>ﾇﾏﾉ ｺｳﾍｲ</t>
  </si>
  <si>
    <t>ｲｲｽﾞｶ ﾋﾛｷ</t>
  </si>
  <si>
    <t>ｶﾜﾍﾞ ﾐｽﾞｷ</t>
  </si>
  <si>
    <t>ﾀﾅｶ ﾐﾉﾙ</t>
  </si>
  <si>
    <t>ｲﾜﾀ ﾏｻｼ</t>
  </si>
  <si>
    <t>ﾜﾀﾞ ｼｹﾞﾙ</t>
  </si>
  <si>
    <t>ﾏﾂﾓﾄ ﾋﾛｺ</t>
  </si>
  <si>
    <t>生井　治</t>
  </si>
  <si>
    <t>ﾅﾏｲ ｵｻﾑ</t>
  </si>
  <si>
    <t>山田　千帆</t>
  </si>
  <si>
    <t>ﾔﾏﾀﾞ ﾁﾎ</t>
  </si>
  <si>
    <t>武田　朋宏</t>
  </si>
  <si>
    <t>ﾀｹﾀﾞﾄﾓﾋﾛ</t>
  </si>
  <si>
    <t>ﾀｶｸﾎﾞ ﾄｼﾕｷ</t>
  </si>
  <si>
    <t>ｱｵﾔﾏ ﾉﾌﾞｱｷ</t>
  </si>
  <si>
    <t>ｽﾄﾞｳ ﾋﾛﾔｽ</t>
  </si>
  <si>
    <t>ｲﾄｶﾞ ﾘﾖｳｽｹ</t>
  </si>
  <si>
    <t>ﾏﾉ ﾕｳｷ</t>
  </si>
  <si>
    <t>ﾔｼﾞﾏ ﾀｹﾙ</t>
  </si>
  <si>
    <t>ﾅｶﾞｼﾏ ﾋﾛｷ</t>
  </si>
  <si>
    <t>ﾃｽﾌｱ ﾊｲﾚ ﾃﾞｹﾞﾌ</t>
  </si>
  <si>
    <t>ﾋｸﾞﾏ ﾖｼﾉﾌﾞ</t>
  </si>
  <si>
    <t>ｵﾉﾂﾞｶ ﾀｹﾐ</t>
  </si>
  <si>
    <t>和田　悟一</t>
  </si>
  <si>
    <t>ﾜﾀﾞ ｺﾞｲﾁ</t>
  </si>
  <si>
    <t>ｺｼﾞﾏ ﾄﾖｼﾞ</t>
  </si>
  <si>
    <t>ﾊﾔﾐｽﾞ ﾀﾞｲｽｹ</t>
  </si>
  <si>
    <t>長濱　薫平</t>
  </si>
  <si>
    <t>ﾅｶﾞﾊﾏ ｸﾝﾍﾟｲ</t>
  </si>
  <si>
    <t>ﾀｶﾊｼ ﾅｵﾋﾛ</t>
  </si>
  <si>
    <t>ﾐｷ ｼｹﾞﾊﾙ</t>
  </si>
  <si>
    <t>ｱｲｽ ﾀｶｼ</t>
  </si>
  <si>
    <t>ｵｻﾞｷ ﾏｻﾋﾛ</t>
  </si>
  <si>
    <t>ﾔﾏﾀﾞ ｶｽﾞｵ</t>
  </si>
  <si>
    <t>ｱﾗｲ ｶｽﾞﾏ</t>
  </si>
  <si>
    <t>ｵｶﾞﾜ ﾊﾙｵ</t>
  </si>
  <si>
    <t>ﾌｸﾀﾞ ﾏｻﾋﾛ</t>
  </si>
  <si>
    <t>ｶﾝﾀﾞ ﾀﾀﾞｼ</t>
  </si>
  <si>
    <t>大熊　繁</t>
  </si>
  <si>
    <t>ｵｵｸﾏ ｼｹﾞﾙ</t>
  </si>
  <si>
    <t>加藤　静雄</t>
  </si>
  <si>
    <t>ｶﾄｳ ｼｽﾞｵ</t>
  </si>
  <si>
    <t>石田　幸史</t>
  </si>
  <si>
    <t>ｲｼﾀﾞ ｺｳｼﾞ</t>
  </si>
  <si>
    <t>ﾄｶﾞｼ ｹｲｲﾁﾛｳ</t>
  </si>
  <si>
    <t>ﾀｹｳﾁ ｶｽﾞｵ</t>
  </si>
  <si>
    <t>ﾊﾔｼ ｱｷﾉﾘ</t>
  </si>
  <si>
    <t>ﾐﾔｼﾀ ﾀｶｼ</t>
  </si>
  <si>
    <t>ﾃﾗﾀﾞ ﾋﾛｼ</t>
  </si>
  <si>
    <t>ｸﾎﾞﾀ ｹｲ</t>
  </si>
  <si>
    <t>ﾀｶﾓﾘ ﾅｵﾄ</t>
  </si>
  <si>
    <t>ｳｴﾀﾞ ｶｲﾑ</t>
  </si>
  <si>
    <t>ﾅｶﾞﾊﾗ ﾕｳﾀ</t>
  </si>
  <si>
    <t>ﾏﾙﾔﾏ ﾖｼﾋﾛ</t>
  </si>
  <si>
    <t>ﾂｶﾀﾞ ﾉﾌﾞﾋｻ</t>
  </si>
  <si>
    <t>ﾖｼﾀﾞ ﾐﾉﾙ</t>
  </si>
  <si>
    <t>ｵｲｶﾜ ｱｷﾗ</t>
  </si>
  <si>
    <t>朝倉　和久</t>
  </si>
  <si>
    <t>ｱｻｸﾗ ｶｽﾞﾋｻ</t>
  </si>
  <si>
    <t>本多　亜希子</t>
  </si>
  <si>
    <t>ﾎﾝﾀﾞ ｱｷｺ</t>
  </si>
  <si>
    <t>ｵｵﾓﾘ ﾋﾛﾕｷ</t>
  </si>
  <si>
    <t>ｶﾜﾀﾞ ｹﾝｲﾁ</t>
  </si>
  <si>
    <t>ﾓﾃｷﾞ ﾋﾄｼ</t>
  </si>
  <si>
    <t>ｲﾊﾗ ﾔｽﾋﾛ</t>
  </si>
  <si>
    <t>ﾌｼﾞﾀ ｹﾝﾀ</t>
  </si>
  <si>
    <t>ｽﾅﾀﾞ ﾀｸﾏ</t>
  </si>
  <si>
    <t>ｼﾑﾗ ﾕｳﾀ</t>
  </si>
  <si>
    <t>ｱﾗｷ ﾏｻﾄ</t>
  </si>
  <si>
    <t>ｳﾁﾀﾞ ﾕｳﾀ</t>
  </si>
  <si>
    <t>ﾅｶﾉ ｱｵｲ</t>
  </si>
  <si>
    <t>ﾊﾔﾉ ﾏｺﾄ</t>
  </si>
  <si>
    <t>大谷　亮太</t>
  </si>
  <si>
    <t>ｵｵﾔ ﾘｮｳﾀ</t>
  </si>
  <si>
    <t>中岸　祐太</t>
  </si>
  <si>
    <t>ﾅｶｷﾞｼ ﾕｳﾀ</t>
  </si>
  <si>
    <t>ﾌｸﾊﾗ ﾏｻﾄ</t>
  </si>
  <si>
    <t>ﾅｶｼﾞﾏ ﾋﾃﾞｵ</t>
  </si>
  <si>
    <t>ｲﾉﾏﾀ ｶﾂﾋｺ</t>
  </si>
  <si>
    <t>ｶ ﾕ ｷﾝ</t>
  </si>
  <si>
    <t>ｻﾄｳ ｱﾅﾚｱ</t>
  </si>
  <si>
    <t>立花　萌凪</t>
  </si>
  <si>
    <t>ﾀﾁﾊﾞﾅ ﾓｴﾅ</t>
  </si>
  <si>
    <t>津川　斉舗</t>
  </si>
  <si>
    <t>ﾂｶﾞﾜ ﾖｼﾉﾌﾞ</t>
  </si>
  <si>
    <t>新井　秀明</t>
  </si>
  <si>
    <t>ｱﾗｲ  ﾋﾃﾞｱｷ</t>
  </si>
  <si>
    <t>ﾊﾄﾘ ｶｽﾞﾋｺ</t>
  </si>
  <si>
    <t>ｲｹﾀﾞ ﾕｳｼﾞ</t>
  </si>
  <si>
    <t>ｼﾓｼﾞ ﾅｵﾔ</t>
  </si>
  <si>
    <t>ﾀﾍﾞ ｺｳﾀ</t>
  </si>
  <si>
    <t>ﾌｸｻﾞﾜ ﾋﾛｷ</t>
  </si>
  <si>
    <t>ｶﾜｶﾐ ﾋﾛｷ</t>
  </si>
  <si>
    <t>梅澤　斗愛</t>
  </si>
  <si>
    <t>ｳﾒｻﾞﾜ ﾄｱ</t>
  </si>
  <si>
    <t>ｱﾗｶﾜ ﾕｳｼﾞ</t>
  </si>
  <si>
    <t>ﾔﾏﾀﾞ ｶｽﾞﾕｷ</t>
  </si>
  <si>
    <t>ｲﾜｻ ﾖｼﾋﾛ</t>
  </si>
  <si>
    <t>三友　健一</t>
  </si>
  <si>
    <t>ﾐﾄﾓ ｹﾝｲﾁ</t>
  </si>
  <si>
    <t>野田　圭一</t>
  </si>
  <si>
    <t>ﾉﾀﾞ ｹｲｲﾁ</t>
  </si>
  <si>
    <t>ﾀｶﾊｼ ﾏｻﾐﾁ</t>
  </si>
  <si>
    <t>ｵｶﾞｻﾜﾗ ｹﾝﾀ</t>
  </si>
  <si>
    <t>ｵﾊﾞﾅ ｹﾝｺﾞ</t>
  </si>
  <si>
    <t>ｵｵﾋﾗ ｼｹﾞﾙ</t>
  </si>
  <si>
    <t>ﾀｶﾊｼ ﾉﾌﾞﾕｷ</t>
  </si>
  <si>
    <t>ﾅｶｻﾞﾄ ｺｳｼﾞ</t>
  </si>
  <si>
    <t>藤井　修</t>
  </si>
  <si>
    <t>ﾌｼﾞｲ ｵｻﾑ</t>
  </si>
  <si>
    <t>ﾎｼﾉ ｼﾝｺﾞ</t>
  </si>
  <si>
    <t>ｺﾝﾄﾞｳ ﾐﾂﾋﾛ</t>
  </si>
  <si>
    <t>ｽｽﾞｷ ﾖｼｶｽﾞ</t>
  </si>
  <si>
    <t>ﾜﾀﾞ ｼﾕﾝｲﾁ</t>
  </si>
  <si>
    <t>ﾅｶﾔﾏ ﾘｭｳｾｲ</t>
  </si>
  <si>
    <t>ｻｻｷ ｷｮｳﾍｲ</t>
  </si>
  <si>
    <t>ｾｷﾈ ﾅｵｷ</t>
  </si>
  <si>
    <t>ﾀｹｲ ｼﾕﾝｽｹ</t>
  </si>
  <si>
    <t>ｺｲｹ ﾄﾓﾔ</t>
  </si>
  <si>
    <t>ﾅﾐﾏﾂ ﾘｮｳ</t>
  </si>
  <si>
    <t>ﾀｶｵｶ ﾘｭｳﾀ</t>
  </si>
  <si>
    <t>ﾔﾏﾀﾞ ﾄｵﾙ</t>
  </si>
  <si>
    <t>ｲｼｶﾜ ﾀｶﾐﾂ</t>
  </si>
  <si>
    <t>ｵｵﾂﾎﾞ ﾀｶｼ</t>
  </si>
  <si>
    <t>ﾋﾗﾔﾏ ﾂﾈｵ</t>
  </si>
  <si>
    <t>山根　智幸</t>
  </si>
  <si>
    <t>ﾔﾏﾈ ﾄﾓﾕｷ</t>
  </si>
  <si>
    <t>ｵｵﾔ ﾏﾘﾙｳ</t>
  </si>
  <si>
    <t>竹間　浩</t>
  </si>
  <si>
    <t>ﾁｸﾏﾋﾛｼ</t>
  </si>
  <si>
    <t>ﾀﾀﾞﾉ ﾋﾛﾕｷ</t>
  </si>
  <si>
    <t>ｲｼｶﾜ ｹﾝｲﾁ</t>
  </si>
  <si>
    <t>ｲﾉﾊﾅ ﾀｶﾕｷ</t>
  </si>
  <si>
    <t>ｵｶﾞｻﾜﾗ ﾄﾓｴ</t>
  </si>
  <si>
    <t>ｽｽﾞｷ ｸﾐｺ</t>
  </si>
  <si>
    <t>ｽｽﾞｷ ﾐｶ</t>
  </si>
  <si>
    <t>ﾏｽｺ ﾕｳｲﾁﾛｳ</t>
  </si>
  <si>
    <t>ﾖﾈｻｶ ｼﾕｳﾔ</t>
  </si>
  <si>
    <t>ﾋﾗﾂｶ ﾀﾞｲ</t>
  </si>
  <si>
    <t>那須　はるな</t>
  </si>
  <si>
    <t>ﾅｽ ﾊﾙﾅ</t>
  </si>
  <si>
    <t>ｲｿﾉ ﾏｻﾙ</t>
  </si>
  <si>
    <t>ｲﾘｻﾜ ﾅｵｺ</t>
  </si>
  <si>
    <t>ﾀﾅｶ ﾋﾛｱｷ</t>
  </si>
  <si>
    <t>ｽｽﾞｷ ﾏｺﾄ</t>
  </si>
  <si>
    <t>ホートラン　ゴック　ツイ</t>
  </si>
  <si>
    <t>ﾎｰﾄﾗﾝ ｺﾞｯｸ ﾂｲ</t>
  </si>
  <si>
    <t>ﾕﾘ  ﾐﾁﾖ</t>
  </si>
  <si>
    <t>ﾜｶﾊﾞﾔｼ ﾕｷｴ</t>
  </si>
  <si>
    <t>瀬戸　洋子</t>
  </si>
  <si>
    <t>ｾﾄ ﾖｳｺ</t>
  </si>
  <si>
    <t>安藤　幸恵</t>
  </si>
  <si>
    <t>ｱﾝﾄﾞｳ ﾕｷｴ</t>
  </si>
  <si>
    <t>寡婦</t>
  </si>
  <si>
    <t>南雲　さおり</t>
  </si>
  <si>
    <t>ﾅｸﾞﾓ ｻｵﾘ</t>
  </si>
  <si>
    <t>小野　将斗</t>
  </si>
  <si>
    <t>ｵﾉ ﾏｻﾄ</t>
  </si>
  <si>
    <t>ﾉｻﾞｷ ﾕﾀｶ</t>
  </si>
  <si>
    <t>ｲﾜﾓﾄ ﾀﾞｲｷ</t>
  </si>
  <si>
    <t>ﾆｼﾓﾄ ﾄﾓﾋﾛ</t>
  </si>
  <si>
    <t>ｸﾄﾞｳ ｷｮｳｺ</t>
  </si>
  <si>
    <t>ﾆｲﾂﾞﾏ ﾕﾀｶ</t>
  </si>
  <si>
    <t>ｷﾀｻﾞﾜ ｾｲﾔ</t>
  </si>
  <si>
    <t>ｼﾏﾀﾞ ｶｽﾞｷ</t>
  </si>
  <si>
    <t>ﾀｶﾊｼ ﾕｳｼﾞ</t>
  </si>
  <si>
    <t>ﾅｶ ｻﾄｼ</t>
  </si>
  <si>
    <t>ｺｳﾔﾏ ﾄｼｶｽﾞ</t>
  </si>
  <si>
    <t>ﾀｶﾊｼ ﾖｼｵ</t>
  </si>
  <si>
    <t>ﾌｼﾞｻｷ ﾃﾂﾔ</t>
  </si>
  <si>
    <t>小川　寿彦</t>
  </si>
  <si>
    <t>ｵｶﾞﾜ ﾖｼﾋｺ</t>
  </si>
  <si>
    <t>発知　隆見</t>
  </si>
  <si>
    <t>ﾎｯﾁ ﾀｶﾐ</t>
  </si>
  <si>
    <t>ｺﾏ ﾐﾅ</t>
  </si>
  <si>
    <t>ﾀｶﾊｼ ｸﾐｺ</t>
  </si>
  <si>
    <t>ｵﾘﾊﾗ ｶﾈﾐ</t>
  </si>
  <si>
    <t>ﾐｿﾞﾛｷﾞ ｼﾕｳｼﾞ</t>
  </si>
  <si>
    <t>ﾃﾗｼﾏ ﾀｶﾕｷ</t>
  </si>
  <si>
    <t>ｵﾁｱｲ ﾕｳｽｹ</t>
  </si>
  <si>
    <t>ﾌｼﾞﾑﾗ ﾋﾃﾞｵ</t>
  </si>
  <si>
    <t>ｱﾗｲ ﾋﾛｺ</t>
  </si>
  <si>
    <t>ﾎｿﾔ ﾂﾖｼ</t>
  </si>
  <si>
    <t>ﾔﾏｻﾞｷ ﾏｻｼ</t>
  </si>
  <si>
    <t>ｺﾞﾄｳ ｶｹﾙ</t>
  </si>
  <si>
    <t>ﾌｼﾞｲ ﾕｳﾀ</t>
  </si>
  <si>
    <t>ｽｽﾞｷ ｱｷﾗ</t>
  </si>
  <si>
    <t>ﾏﾂｵ ｺｳｽｹ</t>
  </si>
  <si>
    <t>ﾌｸﾓﾄ ｲﾀﾙ</t>
  </si>
  <si>
    <t>菅原　武史</t>
  </si>
  <si>
    <t>ｽｶﾞﾜﾗ ﾀｹｼ</t>
  </si>
  <si>
    <t>高田　謙二</t>
  </si>
  <si>
    <t>ﾀｶﾀﾞｹﾝｼﾞ</t>
  </si>
  <si>
    <t>ﾐﾁﾉ ﾃﾙｱｷ</t>
  </si>
  <si>
    <t>ﾀｹﾀﾞ ｻﾄｼ</t>
  </si>
  <si>
    <t>ｶﾄｳｷﾞ ﾉﾎﾞﾙ</t>
  </si>
  <si>
    <t>ｸﾄﾞｳ ﾀｹｼ</t>
  </si>
  <si>
    <t>ｻｶﾓﾄ ｺﾀﾛｳ</t>
  </si>
  <si>
    <t>ｲﾁｶﾜ ﾘｮｳ</t>
  </si>
  <si>
    <t>ﾐﾔｳﾁ ﾕｳｽｹ</t>
  </si>
  <si>
    <t>ﾏﾂﾓﾄ ﾃﾂﾔ</t>
  </si>
  <si>
    <t>ｵﾅｶ ｼﾝｲﾁ</t>
  </si>
  <si>
    <t>ｵﾅｶ ﾉﾌﾞﾕｷ</t>
  </si>
  <si>
    <t>ｻﾜﾀﾞ ﾂﾅﾉﾌﾞ</t>
  </si>
  <si>
    <t>ｱﾝｻﾞｲ ｺｳﾀ</t>
  </si>
  <si>
    <t>ﾐｶﾄﾞ ﾄﾓﾋﾛ</t>
  </si>
  <si>
    <t>ｻﾄｳ ﾀｶﾉﾌﾞ</t>
  </si>
  <si>
    <t>ｽｽﾞｷ ﾄｼｱｷ</t>
  </si>
  <si>
    <t>ﾀﾃｲｼ ﾏｻﾄ</t>
  </si>
  <si>
    <t>ｳﾁﾀﾞ ﾏｻｵ</t>
  </si>
  <si>
    <t>ﾊﾗ ﾕﾒｶ</t>
  </si>
  <si>
    <t>ﾀｸﾞﾁ ﾏｻﾉﾘ</t>
  </si>
  <si>
    <t>ｻｴｷ ﾕｳﾄ</t>
  </si>
  <si>
    <t>ﾖｼﾉ ﾘｻ</t>
  </si>
  <si>
    <t>ｷﾘﾔﾏ ﾅｵﾔ</t>
  </si>
  <si>
    <t>ｲｼﾔﾏ ﾄﾓｷ</t>
  </si>
  <si>
    <t>ﾐﾔﾓﾄ ｶｽﾞｷ</t>
  </si>
  <si>
    <t>ﾜﾀﾞ ｹﾝﾀﾛｳ</t>
  </si>
  <si>
    <t>ﾀｶﾊｼ ｺｳｽｹ</t>
  </si>
  <si>
    <t>ﾂﾂﾐ ﾀｶｼ</t>
  </si>
  <si>
    <t>ﾔﾏｸﾞﾁ ﾕｲ</t>
  </si>
  <si>
    <t>ﾄﾐｵｶ ﾋﾛｷ</t>
  </si>
  <si>
    <t>ｻｲﾄｳ ｼﾞﾕﾝｺ</t>
  </si>
  <si>
    <t>ﾅｶﾞｼﾏ ｱｷﾗ</t>
  </si>
  <si>
    <t>ｶﾈｺ ﾉﾌﾞｶｽﾞ</t>
  </si>
  <si>
    <t>ﾀｶﾔ ｼﾖ</t>
  </si>
  <si>
    <t>ﾜﾀﾅﾍﾞ ﾐﾎ</t>
  </si>
  <si>
    <t>ｸﾎﾞﾀ ﾋﾛｺ</t>
  </si>
  <si>
    <t>ｱﾗｲ ﾀｶﾌﾐ</t>
  </si>
  <si>
    <t>ｷｸﾁ ﾋﾛﾕｷ</t>
  </si>
  <si>
    <t>ｲﾄｳ ｶﾂﾏｻ</t>
  </si>
  <si>
    <t>ﾀﾅﾍﾞ ｷﾖｼ</t>
  </si>
  <si>
    <t>ｱﾗｲ ﾀｹﾔ</t>
  </si>
  <si>
    <t>ｼﾉｻﾞｷ ﾀﾀﾞﾖｼ</t>
  </si>
  <si>
    <t>ｺｳﾉ ﾋﾛﾕｷ</t>
  </si>
  <si>
    <t>ｱｲｷｮｳ ﾉﾘﾌﾐ</t>
  </si>
  <si>
    <t>ﾄﾈｶﾞﾜ ﾐﾂﾋﾃﾞ</t>
  </si>
  <si>
    <t>ﾅｶﾑﾗ ﾖｳｺ</t>
  </si>
  <si>
    <t>ｵｶﾞﾜﾊﾗ ﾄﾓｶｽﾞ</t>
  </si>
  <si>
    <t>ﾎｼﾊﾞ ｻﾕﾘ</t>
  </si>
  <si>
    <t>ｶﾅｲ ﾊﾙｶ</t>
  </si>
  <si>
    <t>ｶﾒﾔﾏ ﾕｷｴ</t>
  </si>
  <si>
    <t>ｸﾏｷ ﾄｼｶｽﾞ</t>
  </si>
  <si>
    <t>ｾﾝｻﾞｷ ﾏｺﾄ</t>
  </si>
  <si>
    <t>ｲﾁﾉｶﾜ ﾕｷｵ</t>
  </si>
  <si>
    <t>ｶｲ ﾏｻﾐ</t>
  </si>
  <si>
    <t>ｱｵｷ ﾉﾌﾞﾋﾛ</t>
  </si>
  <si>
    <t>ﾅｶｼﾞﾏ ｱｷﾗ</t>
  </si>
  <si>
    <t>ｽｽﾞｷ ﾊﾙｱｷ</t>
  </si>
  <si>
    <t>ﾀﾏｷ ｱｷﾗ</t>
  </si>
  <si>
    <t>ﾓﾁｷﾞ ﾀｶﾖｼ</t>
  </si>
  <si>
    <t>ﾅｶｼﾞﾏ ｹﾝﾄ</t>
  </si>
  <si>
    <t>ｻﾄｳ ﾅｵｷ</t>
  </si>
  <si>
    <t>ｵｻﾞﾜ ﾄｼﾅﾘ</t>
  </si>
  <si>
    <t>ﾌｼﾞｲ ｼﾝｲﾁ</t>
  </si>
  <si>
    <t>ﾊｾｶﾞﾜ ﾏｻｶｽﾞ</t>
  </si>
  <si>
    <t>ｲｲﾂﾞｶ ｻﾄｼ</t>
  </si>
  <si>
    <t>ｴｶﾞﾜ ｵｻﾑ</t>
  </si>
  <si>
    <t>ﾊｾｶﾞﾜ ﾓﾓｶ</t>
  </si>
  <si>
    <t>ｲﾁﾉｾ ｼｮｳﾀ</t>
  </si>
  <si>
    <t>ｲｽﾞﾐ ﾋﾛﾐ</t>
  </si>
  <si>
    <t>ｵｸｻﾞﾜ ﾀﾀﾞｼ</t>
  </si>
  <si>
    <t>ﾔﾏｻﾞｷ ｾｲｼﾞ</t>
  </si>
  <si>
    <t>ﾀｶﾊｼ ﾋﾄｼ</t>
  </si>
  <si>
    <t>ﾄｲﾀﾞ ﾀｶｼ</t>
  </si>
  <si>
    <t>ﾂﾉﾀﾞ ﾓﾄｵ</t>
  </si>
  <si>
    <t>ｲｲﾂﾞｶ ﾐﾕｷ</t>
  </si>
  <si>
    <t>ｲｿﾑﾗ ﾀｹﾄﾓ</t>
  </si>
  <si>
    <t>ｶｻﾞﾏ ﾄｼｱｷ</t>
  </si>
  <si>
    <t>ｼﾏﾀﾞ ｶｽﾞﾉﾌﾞ</t>
  </si>
  <si>
    <t>ｺｲｹ ﾄｼｱｷ</t>
  </si>
  <si>
    <t>ﾅｶﾉ ｺｳｿﾞｳ</t>
  </si>
  <si>
    <t>ｻﾜﾀﾞ ｱﾂｼ</t>
  </si>
  <si>
    <t>ﾜﾀﾅﾍﾞ ﾋﾛﾖｼ</t>
  </si>
  <si>
    <t>ｱﾗｲ ｼﾝｺﾞ</t>
  </si>
  <si>
    <t>ﾊｼﾓﾄ ﾏｺﾄ</t>
  </si>
  <si>
    <t>ｲｼｲ ﾀﾂﾔ</t>
  </si>
  <si>
    <t>ｻﾜｲﾃﾞ ｼｹﾞﾙ</t>
  </si>
  <si>
    <t>ｷｸﾁ ﾕｳﾀ</t>
  </si>
  <si>
    <t>ｶﾜｼﾏ ﾖｳｺ</t>
  </si>
  <si>
    <t>ｻｻｷ ﾕｳﾀ</t>
  </si>
  <si>
    <t>ﾖｼｻﾞｷ ﾘﾖｳ</t>
  </si>
  <si>
    <t>針谷　大和</t>
  </si>
  <si>
    <t>ﾊﾘｶﾞﾔ ﾀｲﾄ</t>
  </si>
  <si>
    <t>ｽｽﾞｷ ﾉﾎﾞﾙ</t>
  </si>
  <si>
    <t>ｴﾉﾊﾗ ﾕｳﾀ</t>
  </si>
  <si>
    <t>大熊　公次</t>
  </si>
  <si>
    <t>ｵｵｸﾏ ｺｳｼﾞ</t>
  </si>
  <si>
    <t>ｱｸﾞｲ ﾀｶｼ</t>
  </si>
  <si>
    <t>ﾊｾｶﾞﾜ ｼｭﾝ</t>
  </si>
  <si>
    <t>ｶﾈｺ ｾﾂｵ</t>
  </si>
  <si>
    <t>ﾔﾅｷﾞｼﾏ ｶﾂﾐ</t>
  </si>
  <si>
    <t>ｽｽﾞｷ ｲﾙﾀﾞ ﾊﾙｴ</t>
  </si>
  <si>
    <t>ｶﾜｼﾏ ﾐﾉﾙ</t>
  </si>
  <si>
    <t>ﾀｶﾄﾘ ｹｲｼﾞ</t>
  </si>
  <si>
    <t>猪股　優斗</t>
  </si>
  <si>
    <t>ｲﾉﾏﾀ ﾕｳﾄ</t>
  </si>
  <si>
    <t>ｲﾉｳｴ ﾁﾎ</t>
  </si>
  <si>
    <t>ﾏﾂﾓﾄ ﾋﾛﾕｷ</t>
  </si>
  <si>
    <t>ｵｵｻﾜ ﾏｻﾕｷ</t>
  </si>
  <si>
    <t>ﾊｷﾞﾜﾗ ﾕｳﾍｲ</t>
  </si>
  <si>
    <t>ﾅｶﾉ ﾖｳｼﾞ</t>
  </si>
  <si>
    <t>ｳﾁﾀﾞ ﾄﾓｺ</t>
  </si>
  <si>
    <t>ｲｼﾏﾙ ﾖｼﾋﾛ</t>
  </si>
  <si>
    <t>ﾄﾖﾀﾞ ﾕｳｼﾞ</t>
  </si>
  <si>
    <t>吉澤　洋光</t>
  </si>
  <si>
    <t>ﾖｼｻﾞﾜ ﾋﾛﾐﾂ</t>
  </si>
  <si>
    <t>ﾊﾗ ﾀｶｼ</t>
  </si>
  <si>
    <t>ﾋﾗｲ ﾖｳｽｹ</t>
  </si>
  <si>
    <t>ﾊﾞﾊﾞ ﾔｽﾋﾛ</t>
  </si>
  <si>
    <t>ｵｶﾞﾜ ﾕｶ</t>
  </si>
  <si>
    <t>ｶﾉｳ ｿｳﾏ</t>
  </si>
  <si>
    <t>ﾌﾘﾊﾀ ﾏｻﾙ</t>
  </si>
  <si>
    <t>ﾋﾉ ｱｷﾗ</t>
  </si>
  <si>
    <t>ｶﾒﾔﾏ ﾋｻｼ</t>
  </si>
  <si>
    <t>ﾅｶｷﾞ ﾏｻｶﾂ</t>
  </si>
  <si>
    <t>ﾉﾛ ﾄﾓﾋｺ</t>
  </si>
  <si>
    <t>ﾌｼﾞﾓﾄ ﾃﾂﾔ</t>
  </si>
  <si>
    <t>ｵｶﾔｽ ｽｽﾑ</t>
  </si>
  <si>
    <t>ﾋｸﾞﾁ ﾋﾛﾕｷ</t>
  </si>
  <si>
    <t>ﾀｶﾉ ﾏｺﾄ</t>
  </si>
  <si>
    <t>新久　晴香</t>
  </si>
  <si>
    <t>ｱﾗｸ ﾊﾙｶ</t>
  </si>
  <si>
    <t>李　豊琴</t>
  </si>
  <si>
    <t>ﾘ ﾎｳｷﾝ</t>
  </si>
  <si>
    <t>ｳﾙｼﾊﾞﾗ ｹｲｺ</t>
  </si>
  <si>
    <t>ﾑﾗｶﾐ ｺｳｼﾞ</t>
  </si>
  <si>
    <t>ﾔﾏﾀﾞ ﾏﾅｵ</t>
  </si>
  <si>
    <t>ｺｼﾞﾏ ｹﾝｿﾞｳ</t>
  </si>
  <si>
    <t>ｻｲﾄｳ ｼｮｳｺﾞ</t>
  </si>
  <si>
    <t>ﾓﾃｷﾞ ｶｽﾞﾏ</t>
  </si>
  <si>
    <t>ｻｲﾄｳ ｶｽﾞﾔ</t>
  </si>
  <si>
    <t>ﾀｻﾞｷ ﾏｻｼ</t>
  </si>
  <si>
    <t>ｶﾄｳ ﾐﾉﾙ</t>
  </si>
  <si>
    <t>ﾔﾏﾓﾄ ﾅﾅﾐ</t>
  </si>
  <si>
    <t>ｶﾄｳ ｻｷ</t>
  </si>
  <si>
    <t>ﾅｶﾑﾗ ﾃﾂﾔ</t>
  </si>
  <si>
    <t>ｺｾｷ ﾂﾄﾑ</t>
  </si>
  <si>
    <t>ﾀｶｷﾞ ｶｽﾞﾌﾐ</t>
  </si>
  <si>
    <t>ﾜﾀﾅﾍﾞ ｼｹﾞｺ</t>
  </si>
  <si>
    <t>特別障害</t>
  </si>
  <si>
    <t>井上　喜雄</t>
  </si>
  <si>
    <t>ｲﾉｳｴ ﾖｼｵ</t>
  </si>
  <si>
    <t>ｷﾀﾊﾞﾔｼ ｱｷﾗ</t>
  </si>
  <si>
    <t>ｻｸﾗﾊﾞ ﾔｽﾂｸﾞ</t>
  </si>
  <si>
    <t>ﾀｶﾀﾞ ﾕｳｲﾁ</t>
  </si>
  <si>
    <t>ﾜｶﾞﾂﾏ ﾀｸ</t>
  </si>
  <si>
    <t>ｵｵｼﾏ ｼｮｳﾍｲ</t>
  </si>
  <si>
    <t>ｻｻﾓﾄ ﾀｶｼ</t>
  </si>
  <si>
    <t>ﾀｼﾏ ﾃﾂﾔ</t>
  </si>
  <si>
    <t>ｲｼﾜ ｶｽﾞﾋﾛ</t>
  </si>
  <si>
    <t>ｸﾗﾓﾁ ﾋﾛｼ</t>
  </si>
  <si>
    <t>ﾖｼﾀﾞ ｲｻｵ</t>
  </si>
  <si>
    <t>ﾏｴﾑﾗ ｹﾝｼﾞ</t>
  </si>
  <si>
    <t>ｽｽﾞｷ ｶｽﾞｵ</t>
  </si>
  <si>
    <t>ﾎﾘｳﾁ ｹﾝｼﾞ</t>
  </si>
  <si>
    <t>ｽﾅｶﾞ ﾘﾕｳｼﾞ</t>
  </si>
  <si>
    <t>ｶﾝﾀﾞ ｹﾝﾀﾛｳ</t>
  </si>
  <si>
    <t>ﾓﾘﾔ ﾑﾂﾐ</t>
  </si>
  <si>
    <t>ﾓｶﾞﾐ ﾋﾃﾞｶﾂ</t>
  </si>
  <si>
    <t>ﾅｶｼﾞﾏ ﾀﾂﾛｳ</t>
  </si>
  <si>
    <t>ﾅｶﾞﾉ ﾏﾓﾙ</t>
  </si>
  <si>
    <t>ﾅﾐｷ ﾀｶｼ</t>
  </si>
  <si>
    <t>ｵｴﾏﾀﾝ ﾋﾞｸﾄｰﾙ</t>
  </si>
  <si>
    <t>ﾔﾏｻﾞｷ ﾀﾞｲｽｹ</t>
  </si>
  <si>
    <t>ｺﾝﾉ ﾖｼｶｽﾞ</t>
  </si>
  <si>
    <t>ｶﾈｺ ﾘｮｳ</t>
  </si>
  <si>
    <t>ﾊﾘﾏ ｼﾝｲﾁﾛｳ</t>
  </si>
  <si>
    <t>ﾏﾁﾀﾞ ｼｵﾘ</t>
  </si>
  <si>
    <t>ﾀﾁ ﾋﾃﾞｱｷ</t>
  </si>
  <si>
    <t>三浦　潤香</t>
  </si>
  <si>
    <t>ﾐｳﾗ ﾂﾔｶ</t>
  </si>
  <si>
    <t>ｷｸﾁ ﾘｵ</t>
  </si>
  <si>
    <t>ｲｲﾉ ﾀｶｷ</t>
  </si>
  <si>
    <t>ﾀｶﾔﾏ ﾀｶﾉﾘ</t>
  </si>
  <si>
    <t>小林　秀二</t>
  </si>
  <si>
    <t>ｺﾊﾞﾔｼ ｼｭｳｼﾞ</t>
  </si>
  <si>
    <t>安野　修司</t>
  </si>
  <si>
    <t>ﾔｽﾉ ｼｭｳｼﾞ</t>
  </si>
  <si>
    <t>ｳﾁﾔﾏ ｶﾂﾄｼ</t>
  </si>
  <si>
    <t>ﾘｭｳﾉ ﾏｻﾋﾛ</t>
  </si>
  <si>
    <t>ﾊﾄﾘ ﾋﾛｼ</t>
  </si>
  <si>
    <t>ﾔﾏｸﾞﾁ ﾕｳﾀ</t>
  </si>
  <si>
    <t>ｻｲﾄｳ ﾕｳｽｹ</t>
  </si>
  <si>
    <t>ﾐｽﾞﾉ ﾕｲﾅ</t>
  </si>
  <si>
    <t>ﾊﾗｸﾞﾁ ｲｸﾔ</t>
  </si>
  <si>
    <t>ﾏﾁﾀﾞ ﾀｲｷ</t>
  </si>
  <si>
    <t>ｻﾜｻﾞｷ ｾｲﾔ</t>
  </si>
  <si>
    <t>ﾐｽﾞﾉ ﾘｭｳｷ</t>
  </si>
  <si>
    <t>ｵｵﾀｹ ﾔｽﾕｷ</t>
  </si>
  <si>
    <t>ｽｷﾞｼﾀ ﾌﾄｼ</t>
  </si>
  <si>
    <t>ｶﾝﾊﾞﾔｼ ﾉﾌﾞﾋﾛ</t>
  </si>
  <si>
    <t>ｶﾝﾅﾘ ｺｳｷ</t>
  </si>
  <si>
    <t>ﾄﾐﾀ ｻﾄｼ</t>
  </si>
  <si>
    <t>ﾀﾀﾞ ﾃﾂｼﾞ</t>
  </si>
  <si>
    <t>ﾜﾀﾅﾍﾞ ｼﾞｭﾝﾍﾟｲ</t>
  </si>
  <si>
    <t>ｶﾈｺ ﾕｳｺ</t>
  </si>
  <si>
    <t>ﾀﾑﾗ ﾖｳｺ</t>
  </si>
  <si>
    <t>ﾐｷ ﾄﾓﾋﾛ</t>
  </si>
  <si>
    <t>ﾖｼｻﾞﾜ ﾉﾎﾞﾙ</t>
  </si>
  <si>
    <t>ﾔﾏﾓﾄ ﾕｳﾔ</t>
  </si>
  <si>
    <t>ｲﾜﾀ ｷﾖｼ</t>
  </si>
  <si>
    <t>茂木    健</t>
  </si>
  <si>
    <t>ﾓｷﾞ ﾀｹｼ</t>
  </si>
  <si>
    <t>ﾀﾅｶ ﾖｼｱｷ</t>
  </si>
  <si>
    <t>ｵｵﾌﾞﾁ ｷﾖﾋﾛ</t>
  </si>
  <si>
    <t>ﾓﾘﾀ  ﾂﾄﾑ</t>
  </si>
  <si>
    <t>ｱﾝｻﾞｲ ﾐｻｷ</t>
  </si>
  <si>
    <t>ﾀｶﾊｼ ﾀｸﾔ</t>
  </si>
  <si>
    <t>ｲｲﾂﾞｶ ﾏｻﾉﾘ</t>
  </si>
  <si>
    <t>ｸﾏｶﾞｲ ﾀｸﾔ</t>
  </si>
  <si>
    <t>ｼﾓﾔﾏ ｼﾝｼﾞ</t>
  </si>
  <si>
    <t>ｷﾑﾗ ﾊﾙﾐ</t>
  </si>
  <si>
    <t>ｻｲﾄｳ ﾏｻｱｷ</t>
  </si>
  <si>
    <t>ｱｵｷ ﾖｳｽｹ</t>
  </si>
  <si>
    <t>福島　一太郎</t>
  </si>
  <si>
    <t>ﾌｸｼﾏ ｲﾁﾀﾛｳ</t>
  </si>
  <si>
    <t>ﾊﾙﾔﾏ ﾁｽﾞｺ</t>
  </si>
  <si>
    <t>ﾔﾏﾀﾞ ﾃﾂﾔ</t>
  </si>
  <si>
    <t>ﾓﾘ ﾋﾛｱｷ</t>
  </si>
  <si>
    <t>ｳﾙｼﾊﾞﾗ ﾔｽﾄﾓ</t>
  </si>
  <si>
    <t>ｺﾀｹ ﾋﾛﾕｷ</t>
  </si>
  <si>
    <t>ｶﾓｶﾞﾜ ｹﾝﾀ</t>
  </si>
  <si>
    <t>ｳﾉ ﾖｼﾋﾛ</t>
  </si>
  <si>
    <t>ｼﾓﾄｵﾉ ﾄｼｷ</t>
  </si>
  <si>
    <t>ﾏﾂｻﾞｷ ﾋﾛｱｷ</t>
  </si>
  <si>
    <t>ｱﾍﾞ ｼﾝｺﾞ</t>
  </si>
  <si>
    <t>ｱｶｵｷﾞ ﾊﾔﾄ</t>
  </si>
  <si>
    <t>ﾅｶｲｶﾞﾜ ﾀｶﾋｺ</t>
  </si>
  <si>
    <t>ｺﾊﾞﾔｼ ﾖｳｽｹ</t>
  </si>
  <si>
    <t>ｳﾀﾞｶ  ﾋﾛｷ</t>
  </si>
  <si>
    <t>ｼﾐｽﾞ ﾊﾔﾄ</t>
  </si>
  <si>
    <t>ｵﾉﾃﾞﾗ ｼﾝﾔ</t>
  </si>
  <si>
    <t>ﾀｼﾞﾘ ﾀｸﾏ</t>
  </si>
  <si>
    <t>ﾅｶﾑﾗ ｼｮｳ</t>
  </si>
  <si>
    <t>ｽｽﾞｷ ﾀｸﾔ</t>
  </si>
  <si>
    <t>ﾋﾗﾊﾞﾔｼ ｾｲﾔ</t>
  </si>
  <si>
    <t>ｱｲｻｶ ｼﾞｭﾝﾔ</t>
  </si>
  <si>
    <t>ｲﾅｹﾞﾀ ｼｭｲ</t>
  </si>
  <si>
    <t>ｵｵﾓﾘ ﾂﾖｷ</t>
  </si>
  <si>
    <t>ﾏﾉ ﾄｵﾙ</t>
  </si>
  <si>
    <t>ﾉﾑﾗ ｱｷｵ</t>
  </si>
  <si>
    <t>ｱﾎﾞ ﾕｳｺ</t>
  </si>
  <si>
    <t>ｽｴﾅｶﾞ ﾏｺﾄ</t>
  </si>
  <si>
    <t>ﾀﾂｷ ｱﾂｼ</t>
  </si>
  <si>
    <t>ｵﾉｸﾞﾁ ﾋﾛｼ</t>
  </si>
  <si>
    <t>今福　公生</t>
  </si>
  <si>
    <t>ｲﾏﾌｸ ｺｳｾｲ</t>
  </si>
  <si>
    <t>ｾｲﾐﾔ ﾔｽﾋｺ</t>
  </si>
  <si>
    <t>ｵﾀﾞﾜﾗ ﾀﾂｵ</t>
  </si>
  <si>
    <t>ﾎﾝﾀﾞ ﾉﾘﾋｺ</t>
  </si>
  <si>
    <t>ﾖｼﾀﾞ ｶｽﾞﾖｼ</t>
  </si>
  <si>
    <t>ﾅｶﾞｼﾏ ｼﾝｼﾞ</t>
  </si>
  <si>
    <t>ｲﾜｻ ﾐﾂﾋﾛ</t>
  </si>
  <si>
    <t>ｱｲｻﾞﾜ ﾃﾙｵ</t>
  </si>
  <si>
    <t>髙橋　重之</t>
  </si>
  <si>
    <t>ﾀｶﾊｼ ｼｹﾞﾕｷ</t>
  </si>
  <si>
    <t>ｸﾛｺﾞ ｹｲ</t>
  </si>
  <si>
    <t>ｲｲﾂﾞｶ ﾏｺﾄ</t>
  </si>
  <si>
    <t>ｼﾏﾀﾞ ﾏｻﾕｷ</t>
  </si>
  <si>
    <t>ﾏｽﾀﾞ ﾐﾂﾄｼ</t>
  </si>
  <si>
    <t>ﾆﾜ ｶｽﾞﾏ</t>
  </si>
  <si>
    <t>ｴﾝ ｼﾝ</t>
  </si>
  <si>
    <t>ｷｸﾁ ﾕｷ</t>
  </si>
  <si>
    <t>ﾐｶﾐ ｹﾝ</t>
  </si>
  <si>
    <t>ﾖｼﾀﾞ ｱﾔﾅ</t>
  </si>
  <si>
    <t>ﾀｶﾊｼ ﾘｮｳｽｹ</t>
  </si>
  <si>
    <t>ｻﾄｳ ﾏｻﾄ</t>
  </si>
  <si>
    <t>ｲｼﾂﾞｶ ﾘﾕｳｼﾞ</t>
  </si>
  <si>
    <t>立木 淳</t>
  </si>
  <si>
    <t>今泉　幸子</t>
  </si>
  <si>
    <t>ｲﾏｲｽﾞﾐ ｻﾁｺ</t>
  </si>
  <si>
    <t>神　祐司</t>
  </si>
  <si>
    <t>ｼﾞﾝ ﾕｳｼﾞ</t>
  </si>
  <si>
    <t>購買部</t>
    <rPh sb="0" eb="3">
      <t>コウバイブ</t>
    </rPh>
    <phoneticPr fontId="2"/>
  </si>
  <si>
    <t>名</t>
  </si>
  <si>
    <t>松本さん　パートへ異動</t>
    <rPh sb="0" eb="2">
      <t>マツモト</t>
    </rPh>
    <rPh sb="9" eb="11">
      <t>イドウ</t>
    </rPh>
    <phoneticPr fontId="2"/>
  </si>
  <si>
    <t>竹内、伊藤　－</t>
    <rPh sb="0" eb="2">
      <t>タケウチ</t>
    </rPh>
    <rPh sb="3" eb="5">
      <t>イトウ</t>
    </rPh>
    <phoneticPr fontId="2"/>
  </si>
  <si>
    <t>金井塚、永井、岡本、能城、矢島　－</t>
    <rPh sb="0" eb="3">
      <t>カナイヅカ</t>
    </rPh>
    <rPh sb="4" eb="6">
      <t>ナガイ</t>
    </rPh>
    <rPh sb="7" eb="9">
      <t>オカモト</t>
    </rPh>
    <rPh sb="10" eb="12">
      <t>ノシロ</t>
    </rPh>
    <rPh sb="13" eb="15">
      <t>ヤジマ</t>
    </rPh>
    <phoneticPr fontId="2"/>
  </si>
  <si>
    <t>西海　絹子</t>
  </si>
  <si>
    <t>ﾆｼｳﾐ ｷﾇｺ</t>
  </si>
  <si>
    <t>西海　栄一</t>
  </si>
  <si>
    <t>ﾆｼｳﾐ ｴｲｲﾁ</t>
  </si>
  <si>
    <t>沖山・清宮・泉・斉藤満　-</t>
    <rPh sb="0" eb="2">
      <t>オキヤマ</t>
    </rPh>
    <rPh sb="3" eb="5">
      <t>セイミヤ</t>
    </rPh>
    <rPh sb="6" eb="7">
      <t>イズミ</t>
    </rPh>
    <rPh sb="8" eb="10">
      <t>サイトウ</t>
    </rPh>
    <rPh sb="10" eb="11">
      <t>ミツル</t>
    </rPh>
    <phoneticPr fontId="2"/>
  </si>
  <si>
    <t>　立木　嘱託へ</t>
    <rPh sb="1" eb="3">
      <t>タチキ</t>
    </rPh>
    <rPh sb="4" eb="6">
      <t>ショクタク</t>
    </rPh>
    <phoneticPr fontId="2"/>
  </si>
  <si>
    <t>神　祐司　6401</t>
    <rPh sb="0" eb="1">
      <t>カミ</t>
    </rPh>
    <rPh sb="2" eb="3">
      <t>ユウ</t>
    </rPh>
    <rPh sb="3" eb="4">
      <t>ツカサ</t>
    </rPh>
    <phoneticPr fontId="2"/>
  </si>
  <si>
    <t>今泉　幸子</t>
    <rPh sb="0" eb="2">
      <t>イマイズミ</t>
    </rPh>
    <rPh sb="3" eb="5">
      <t>サチコ</t>
    </rPh>
    <phoneticPr fontId="2"/>
  </si>
  <si>
    <t>今泉　幸子　69221</t>
    <rPh sb="0" eb="2">
      <t>イマイズミ</t>
    </rPh>
    <rPh sb="3" eb="5">
      <t>サチコ</t>
    </rPh>
    <phoneticPr fontId="2"/>
  </si>
  <si>
    <t>神　祐司</t>
    <rPh sb="0" eb="1">
      <t>カミ</t>
    </rPh>
    <rPh sb="2" eb="3">
      <t>ユウ</t>
    </rPh>
    <rPh sb="3" eb="4">
      <t>ツカサ</t>
    </rPh>
    <phoneticPr fontId="2"/>
  </si>
  <si>
    <t>69221</t>
    <phoneticPr fontId="2"/>
  </si>
  <si>
    <t>生産支援室</t>
    <rPh sb="0" eb="5">
      <t>セイサンシエンシツ</t>
    </rPh>
    <phoneticPr fontId="2"/>
  </si>
  <si>
    <t>本社工場工場管理課</t>
    <rPh sb="0" eb="2">
      <t>ホンシャ</t>
    </rPh>
    <rPh sb="2" eb="4">
      <t>コウジョウ</t>
    </rPh>
    <rPh sb="4" eb="6">
      <t>コウジョウ</t>
    </rPh>
    <rPh sb="6" eb="8">
      <t>カンリ</t>
    </rPh>
    <rPh sb="8" eb="9">
      <t>カ</t>
    </rPh>
    <phoneticPr fontId="2"/>
  </si>
  <si>
    <t>新井、石塚、武田、本多　－</t>
    <rPh sb="0" eb="2">
      <t>アライ</t>
    </rPh>
    <rPh sb="3" eb="5">
      <t>イシヅカ</t>
    </rPh>
    <rPh sb="6" eb="8">
      <t>タケダ</t>
    </rPh>
    <rPh sb="9" eb="11">
      <t>ホンダ</t>
    </rPh>
    <phoneticPr fontId="2"/>
  </si>
  <si>
    <t>星野　稔</t>
    <rPh sb="0" eb="2">
      <t>ホシノ</t>
    </rPh>
    <rPh sb="3" eb="4">
      <t>ミノル</t>
    </rPh>
    <phoneticPr fontId="2"/>
  </si>
  <si>
    <t>恩田</t>
    <rPh sb="0" eb="2">
      <t>オンダ</t>
    </rPh>
    <phoneticPr fontId="2"/>
  </si>
  <si>
    <t>井上　泰弘</t>
    <rPh sb="0" eb="2">
      <t>イノウエ</t>
    </rPh>
    <rPh sb="3" eb="4">
      <t>タイ</t>
    </rPh>
    <rPh sb="4" eb="5">
      <t>ヒロシ</t>
    </rPh>
    <phoneticPr fontId="2"/>
  </si>
  <si>
    <t>41121</t>
    <phoneticPr fontId="2"/>
  </si>
  <si>
    <t>星野、恩田、井上　＋</t>
    <rPh sb="0" eb="2">
      <t>ホシノ</t>
    </rPh>
    <rPh sb="3" eb="5">
      <t>オンダ</t>
    </rPh>
    <rPh sb="6" eb="8">
      <t>イノウエ</t>
    </rPh>
    <phoneticPr fontId="2"/>
  </si>
  <si>
    <t>菅原・由利・石丸・荒木・久保田・高橋雄二　-</t>
    <rPh sb="0" eb="2">
      <t>スガワラ</t>
    </rPh>
    <rPh sb="3" eb="5">
      <t>ユリ</t>
    </rPh>
    <rPh sb="6" eb="8">
      <t>イシマル</t>
    </rPh>
    <rPh sb="9" eb="11">
      <t>アラキ</t>
    </rPh>
    <rPh sb="12" eb="15">
      <t>クボタ</t>
    </rPh>
    <rPh sb="16" eb="18">
      <t>タカハシ</t>
    </rPh>
    <rPh sb="18" eb="20">
      <t>ユウジ</t>
    </rPh>
    <phoneticPr fontId="2"/>
  </si>
  <si>
    <t>吉田(大)・村田宗・羽深・飯島・岡戸・福岡　＋</t>
    <rPh sb="0" eb="2">
      <t>ヨシダ</t>
    </rPh>
    <rPh sb="3" eb="4">
      <t>ダイ</t>
    </rPh>
    <rPh sb="6" eb="8">
      <t>ムラタ</t>
    </rPh>
    <rPh sb="8" eb="9">
      <t>ソウ</t>
    </rPh>
    <rPh sb="10" eb="12">
      <t>ハブカ</t>
    </rPh>
    <rPh sb="13" eb="15">
      <t>イイジマ</t>
    </rPh>
    <rPh sb="16" eb="18">
      <t>オカド</t>
    </rPh>
    <rPh sb="19" eb="21">
      <t>フクオカ</t>
    </rPh>
    <phoneticPr fontId="2"/>
  </si>
  <si>
    <t>新入社員　１４名</t>
    <rPh sb="0" eb="4">
      <t>シンニュウシャイン</t>
    </rPh>
    <rPh sb="7" eb="8">
      <t>メイ</t>
    </rPh>
    <phoneticPr fontId="2"/>
  </si>
  <si>
    <t>吉田　大</t>
    <rPh sb="3" eb="4">
      <t>ダイ</t>
    </rPh>
    <phoneticPr fontId="2"/>
  </si>
  <si>
    <t>42211</t>
    <phoneticPr fontId="2"/>
  </si>
  <si>
    <t>村田　総一郎</t>
    <rPh sb="0" eb="2">
      <t>ムラタ</t>
    </rPh>
    <rPh sb="3" eb="6">
      <t>ソウイチロウ</t>
    </rPh>
    <phoneticPr fontId="2"/>
  </si>
  <si>
    <t>41021</t>
    <phoneticPr fontId="2"/>
  </si>
  <si>
    <t>飯島　由紀</t>
    <rPh sb="0" eb="2">
      <t>イイジマ</t>
    </rPh>
    <rPh sb="3" eb="5">
      <t>ユキ</t>
    </rPh>
    <phoneticPr fontId="2"/>
  </si>
  <si>
    <t>21020</t>
    <phoneticPr fontId="2"/>
  </si>
  <si>
    <t>岡戸　亮太</t>
    <rPh sb="0" eb="2">
      <t>オカド</t>
    </rPh>
    <rPh sb="3" eb="5">
      <t>リョウタ</t>
    </rPh>
    <phoneticPr fontId="2"/>
  </si>
  <si>
    <t>福岡　祐希</t>
    <rPh sb="0" eb="2">
      <t>フクオカ</t>
    </rPh>
    <rPh sb="3" eb="4">
      <t>ユウ</t>
    </rPh>
    <rPh sb="4" eb="5">
      <t>キ</t>
    </rPh>
    <phoneticPr fontId="2"/>
  </si>
  <si>
    <t>山崎　高弘</t>
    <rPh sb="3" eb="4">
      <t>タカ</t>
    </rPh>
    <rPh sb="4" eb="5">
      <t>ヒロシ</t>
    </rPh>
    <phoneticPr fontId="2"/>
  </si>
  <si>
    <t>中村　健太郎</t>
    <rPh sb="3" eb="6">
      <t>ケンタロウ</t>
    </rPh>
    <phoneticPr fontId="2"/>
  </si>
  <si>
    <t>大久保　しゅう平</t>
    <rPh sb="0" eb="3">
      <t>オオクボ</t>
    </rPh>
    <rPh sb="7" eb="8">
      <t>ヘイ</t>
    </rPh>
    <phoneticPr fontId="2"/>
  </si>
  <si>
    <t>嶋田　健斗</t>
    <rPh sb="0" eb="2">
      <t>シマダ</t>
    </rPh>
    <rPh sb="3" eb="5">
      <t>ケント</t>
    </rPh>
    <phoneticPr fontId="2"/>
  </si>
  <si>
    <t>関口　希</t>
    <rPh sb="0" eb="2">
      <t>セキグチ</t>
    </rPh>
    <rPh sb="3" eb="4">
      <t>ノゾミ</t>
    </rPh>
    <phoneticPr fontId="2"/>
  </si>
  <si>
    <t>菊地　悠太</t>
    <rPh sb="0" eb="2">
      <t>キクチ</t>
    </rPh>
    <rPh sb="3" eb="5">
      <t>ユウタ</t>
    </rPh>
    <phoneticPr fontId="2"/>
  </si>
  <si>
    <t>中泉　光平</t>
    <rPh sb="0" eb="2">
      <t>ナカイズミ</t>
    </rPh>
    <rPh sb="3" eb="5">
      <t>コウヘイ</t>
    </rPh>
    <phoneticPr fontId="2"/>
  </si>
  <si>
    <t>青木　遥哉</t>
    <rPh sb="0" eb="2">
      <t>アオキ</t>
    </rPh>
    <rPh sb="3" eb="4">
      <t>ハルカ</t>
    </rPh>
    <rPh sb="4" eb="5">
      <t>ヤ</t>
    </rPh>
    <phoneticPr fontId="2"/>
  </si>
  <si>
    <t>谷脇　千滉</t>
    <rPh sb="0" eb="2">
      <t>タニワキ</t>
    </rPh>
    <rPh sb="3" eb="4">
      <t>セン</t>
    </rPh>
    <rPh sb="4" eb="5">
      <t>コウ</t>
    </rPh>
    <phoneticPr fontId="2"/>
  </si>
  <si>
    <t>坂田　敏樹</t>
    <rPh sb="0" eb="2">
      <t>サカタ</t>
    </rPh>
    <rPh sb="3" eb="5">
      <t>トシキ</t>
    </rPh>
    <phoneticPr fontId="2"/>
  </si>
  <si>
    <t>南　陸人</t>
    <rPh sb="0" eb="1">
      <t>ミナミ</t>
    </rPh>
    <rPh sb="2" eb="4">
      <t>リクト</t>
    </rPh>
    <phoneticPr fontId="2"/>
  </si>
  <si>
    <t>69021</t>
    <phoneticPr fontId="2"/>
  </si>
  <si>
    <t>43221</t>
    <phoneticPr fontId="2"/>
  </si>
  <si>
    <t>①</t>
    <phoneticPr fontId="2"/>
  </si>
  <si>
    <t>仲野　光</t>
    <rPh sb="3" eb="4">
      <t>ヒカリ</t>
    </rPh>
    <phoneticPr fontId="2"/>
  </si>
  <si>
    <t>金子　遥翔</t>
    <rPh sb="0" eb="2">
      <t>カネコ</t>
    </rPh>
    <rPh sb="3" eb="4">
      <t>ハルカ</t>
    </rPh>
    <rPh sb="4" eb="5">
      <t>ショウ</t>
    </rPh>
    <phoneticPr fontId="2"/>
  </si>
  <si>
    <t>田口　皓大</t>
    <rPh sb="0" eb="2">
      <t>タグチ</t>
    </rPh>
    <rPh sb="3" eb="5">
      <t>コウタ</t>
    </rPh>
    <phoneticPr fontId="2"/>
  </si>
  <si>
    <t>まだ消していない</t>
    <rPh sb="2" eb="3">
      <t>ケ</t>
    </rPh>
    <phoneticPr fontId="2"/>
  </si>
  <si>
    <t>今　直樹</t>
    <rPh sb="0" eb="1">
      <t>コン</t>
    </rPh>
    <rPh sb="2" eb="4">
      <t>ナオキ</t>
    </rPh>
    <phoneticPr fontId="2"/>
  </si>
  <si>
    <t>山田　浩喜</t>
    <rPh sb="3" eb="4">
      <t>ヒロシ</t>
    </rPh>
    <rPh sb="4" eb="5">
      <t>ヨロコ</t>
    </rPh>
    <phoneticPr fontId="2"/>
  </si>
  <si>
    <t>山下　達也</t>
    <rPh sb="0" eb="2">
      <t>ヤマシタ</t>
    </rPh>
    <rPh sb="3" eb="5">
      <t>タツヤ</t>
    </rPh>
    <phoneticPr fontId="2"/>
  </si>
  <si>
    <t>原田　和弥</t>
    <rPh sb="0" eb="2">
      <t>ハラダ</t>
    </rPh>
    <rPh sb="3" eb="5">
      <t>カズヤ</t>
    </rPh>
    <phoneticPr fontId="2"/>
  </si>
  <si>
    <t>大木　生子</t>
    <rPh sb="0" eb="2">
      <t>オオキ</t>
    </rPh>
    <rPh sb="3" eb="4">
      <t>セイ</t>
    </rPh>
    <rPh sb="4" eb="5">
      <t>コ</t>
    </rPh>
    <phoneticPr fontId="2"/>
  </si>
  <si>
    <t>69221</t>
    <phoneticPr fontId="2"/>
  </si>
  <si>
    <t>大熊、高橋（雄二）、羽深、羽鳥、　－</t>
    <rPh sb="0" eb="2">
      <t>オオクマ</t>
    </rPh>
    <rPh sb="3" eb="5">
      <t>タカハシ</t>
    </rPh>
    <rPh sb="6" eb="8">
      <t>ユウジ</t>
    </rPh>
    <rPh sb="10" eb="12">
      <t>ハブカ</t>
    </rPh>
    <rPh sb="13" eb="15">
      <t>ハトリ</t>
    </rPh>
    <phoneticPr fontId="2"/>
  </si>
  <si>
    <t>今、山田、山下、原田、大木　＋</t>
    <rPh sb="0" eb="1">
      <t>コン</t>
    </rPh>
    <rPh sb="2" eb="4">
      <t>ヤマダ</t>
    </rPh>
    <rPh sb="5" eb="7">
      <t>ヤマシタ</t>
    </rPh>
    <rPh sb="8" eb="10">
      <t>ハラダ</t>
    </rPh>
    <rPh sb="11" eb="13">
      <t>オオキ</t>
    </rPh>
    <phoneticPr fontId="2"/>
  </si>
  <si>
    <t>田崎　嘱託へ</t>
    <rPh sb="0" eb="2">
      <t>タザキ</t>
    </rPh>
    <rPh sb="3" eb="5">
      <t>ショクタク</t>
    </rPh>
    <phoneticPr fontId="2"/>
  </si>
  <si>
    <t>61220</t>
    <phoneticPr fontId="2"/>
  </si>
  <si>
    <t>荒井　荘次</t>
    <rPh sb="0" eb="2">
      <t>アライ</t>
    </rPh>
    <rPh sb="3" eb="4">
      <t>ソウ</t>
    </rPh>
    <rPh sb="4" eb="5">
      <t>ツギ</t>
    </rPh>
    <phoneticPr fontId="2"/>
  </si>
  <si>
    <t>荒井　＋</t>
    <rPh sb="0" eb="2">
      <t>アライ</t>
    </rPh>
    <phoneticPr fontId="2"/>
  </si>
  <si>
    <t>川島。吉澤、福田　ー</t>
    <rPh sb="0" eb="2">
      <t>カワシマ</t>
    </rPh>
    <rPh sb="3" eb="5">
      <t>ヨシザワ</t>
    </rPh>
    <rPh sb="6" eb="8">
      <t>フクダ</t>
    </rPh>
    <phoneticPr fontId="2"/>
  </si>
  <si>
    <t>新後 亮輔</t>
  </si>
  <si>
    <t>羽根坂 勝</t>
  </si>
  <si>
    <t>市川 宏司</t>
  </si>
  <si>
    <t>須永・亀山・小川・新久・三浦　-</t>
    <rPh sb="0" eb="2">
      <t>スナガ</t>
    </rPh>
    <rPh sb="3" eb="5">
      <t>カメヤマ</t>
    </rPh>
    <rPh sb="6" eb="8">
      <t>オガワ</t>
    </rPh>
    <rPh sb="9" eb="11">
      <t>アラク</t>
    </rPh>
    <rPh sb="12" eb="14">
      <t>ミウラ</t>
    </rPh>
    <phoneticPr fontId="2"/>
  </si>
  <si>
    <t>新後・羽根坂・市川・落合　＋</t>
    <rPh sb="0" eb="1">
      <t>シン</t>
    </rPh>
    <rPh sb="1" eb="2">
      <t>ゴ</t>
    </rPh>
    <rPh sb="3" eb="5">
      <t>ハネ</t>
    </rPh>
    <rPh sb="5" eb="6">
      <t>サカ</t>
    </rPh>
    <rPh sb="7" eb="9">
      <t>イチカワ</t>
    </rPh>
    <rPh sb="10" eb="12">
      <t>オチアイ</t>
    </rPh>
    <phoneticPr fontId="2"/>
  </si>
  <si>
    <t>落合　桂子</t>
    <rPh sb="0" eb="2">
      <t>オチアイ</t>
    </rPh>
    <rPh sb="3" eb="5">
      <t>ケイコ</t>
    </rPh>
    <phoneticPr fontId="2"/>
  </si>
  <si>
    <t>90020</t>
    <phoneticPr fontId="2"/>
  </si>
  <si>
    <t>＊</t>
  </si>
  <si>
    <t>67021</t>
    <phoneticPr fontId="2"/>
  </si>
  <si>
    <t>石和　嘱託へ</t>
    <rPh sb="0" eb="2">
      <t>イシワ</t>
    </rPh>
    <rPh sb="3" eb="5">
      <t>ショクタク</t>
    </rPh>
    <phoneticPr fontId="2"/>
  </si>
  <si>
    <t>永原　移動</t>
    <rPh sb="0" eb="2">
      <t>ナガハラ</t>
    </rPh>
    <rPh sb="3" eb="5">
      <t>イドウ</t>
    </rPh>
    <phoneticPr fontId="2"/>
  </si>
  <si>
    <t>山崎異動</t>
    <rPh sb="0" eb="4">
      <t>ヤマザキイドウ</t>
    </rPh>
    <phoneticPr fontId="2"/>
  </si>
  <si>
    <t>入社</t>
    <rPh sb="0" eb="2">
      <t>ニュウシャ</t>
    </rPh>
    <phoneticPr fontId="2"/>
  </si>
  <si>
    <t>退社</t>
    <rPh sb="0" eb="2">
      <t>タイシャ</t>
    </rPh>
    <phoneticPr fontId="2"/>
  </si>
  <si>
    <t>異動</t>
    <rPh sb="0" eb="2">
      <t>イドウ</t>
    </rPh>
    <phoneticPr fontId="2"/>
  </si>
  <si>
    <t>嘱託へ</t>
    <rPh sb="0" eb="2">
      <t>ショクタク</t>
    </rPh>
    <phoneticPr fontId="2"/>
  </si>
  <si>
    <t>部門   コード</t>
    <rPh sb="0" eb="2">
      <t>ブモン</t>
    </rPh>
    <phoneticPr fontId="5"/>
  </si>
  <si>
    <t>担当者コード</t>
    <rPh sb="0" eb="3">
      <t>タントウシャ</t>
    </rPh>
    <phoneticPr fontId="5"/>
  </si>
  <si>
    <t>直間ｺｰﾄﾞ</t>
    <rPh sb="0" eb="1">
      <t>チョク</t>
    </rPh>
    <rPh sb="1" eb="2">
      <t>カン</t>
    </rPh>
    <phoneticPr fontId="5"/>
  </si>
  <si>
    <t>部門名</t>
    <rPh sb="0" eb="2">
      <t>ブモン</t>
    </rPh>
    <rPh sb="2" eb="3">
      <t>メイ</t>
    </rPh>
    <phoneticPr fontId="5"/>
  </si>
  <si>
    <t>フリガナ（給与マスター上）</t>
    <rPh sb="5" eb="7">
      <t>キュウヨ</t>
    </rPh>
    <rPh sb="11" eb="12">
      <t>ジョウ</t>
    </rPh>
    <phoneticPr fontId="5"/>
  </si>
  <si>
    <t>010</t>
    <phoneticPr fontId="5"/>
  </si>
  <si>
    <t>10</t>
    <phoneticPr fontId="5"/>
  </si>
  <si>
    <t>0</t>
    <phoneticPr fontId="5"/>
  </si>
  <si>
    <t>総務部</t>
    <rPh sb="0" eb="3">
      <t>ソウムブ</t>
    </rPh>
    <phoneticPr fontId="5"/>
  </si>
  <si>
    <t>ソウムブ</t>
    <phoneticPr fontId="5"/>
  </si>
  <si>
    <t>011</t>
    <phoneticPr fontId="5"/>
  </si>
  <si>
    <t>43</t>
    <phoneticPr fontId="5"/>
  </si>
  <si>
    <t>総務部羽生総務課</t>
    <rPh sb="0" eb="3">
      <t>ソウムブ</t>
    </rPh>
    <rPh sb="3" eb="5">
      <t>ハニュウ</t>
    </rPh>
    <rPh sb="5" eb="8">
      <t>ソウムカ</t>
    </rPh>
    <phoneticPr fontId="5"/>
  </si>
  <si>
    <t>ソウムブハニュウソウムカ</t>
    <phoneticPr fontId="5"/>
  </si>
  <si>
    <t>030</t>
    <phoneticPr fontId="5"/>
  </si>
  <si>
    <t>経理部</t>
    <rPh sb="0" eb="2">
      <t>ケイリ</t>
    </rPh>
    <rPh sb="2" eb="3">
      <t>ブ</t>
    </rPh>
    <phoneticPr fontId="5"/>
  </si>
  <si>
    <t>ケイリブ</t>
    <phoneticPr fontId="5"/>
  </si>
  <si>
    <t>名称変更</t>
    <rPh sb="0" eb="2">
      <t>メイショウ</t>
    </rPh>
    <rPh sb="2" eb="4">
      <t>ヘンコウ</t>
    </rPh>
    <phoneticPr fontId="5"/>
  </si>
  <si>
    <t>040</t>
    <phoneticPr fontId="5"/>
  </si>
  <si>
    <t>企画部グローバル推進室</t>
    <rPh sb="0" eb="2">
      <t>キカク</t>
    </rPh>
    <rPh sb="2" eb="3">
      <t>ブ</t>
    </rPh>
    <rPh sb="8" eb="11">
      <t>スイシンシツ</t>
    </rPh>
    <phoneticPr fontId="5"/>
  </si>
  <si>
    <t>キカクブグローバルスイシンシツ</t>
    <phoneticPr fontId="5"/>
  </si>
  <si>
    <t>新設</t>
    <rPh sb="0" eb="2">
      <t>シンセツ</t>
    </rPh>
    <phoneticPr fontId="5"/>
  </si>
  <si>
    <t>041</t>
    <phoneticPr fontId="5"/>
  </si>
  <si>
    <t>企画部原価管理課</t>
    <rPh sb="0" eb="2">
      <t>キカク</t>
    </rPh>
    <rPh sb="2" eb="3">
      <t>ブ</t>
    </rPh>
    <rPh sb="3" eb="5">
      <t>ゲンカ</t>
    </rPh>
    <rPh sb="5" eb="7">
      <t>カンリ</t>
    </rPh>
    <rPh sb="7" eb="8">
      <t>カ</t>
    </rPh>
    <phoneticPr fontId="5"/>
  </si>
  <si>
    <t>キカクブゲンカカンリカ</t>
    <phoneticPr fontId="5"/>
  </si>
  <si>
    <t>100</t>
    <phoneticPr fontId="5"/>
  </si>
  <si>
    <t>営業部</t>
    <rPh sb="0" eb="3">
      <t>エイギョウブ</t>
    </rPh>
    <phoneticPr fontId="5"/>
  </si>
  <si>
    <t>エイギヨウブ</t>
    <phoneticPr fontId="5"/>
  </si>
  <si>
    <t>200</t>
    <phoneticPr fontId="5"/>
  </si>
  <si>
    <t>12</t>
    <phoneticPr fontId="5"/>
  </si>
  <si>
    <t>生産管理部製品管理課</t>
    <rPh sb="0" eb="2">
      <t>セイサン</t>
    </rPh>
    <rPh sb="2" eb="5">
      <t>カンリブ</t>
    </rPh>
    <rPh sb="5" eb="7">
      <t>セイヒン</t>
    </rPh>
    <rPh sb="7" eb="9">
      <t>カンリ</t>
    </rPh>
    <rPh sb="9" eb="10">
      <t>カ</t>
    </rPh>
    <phoneticPr fontId="5"/>
  </si>
  <si>
    <t>セイサンカンリブ　セイヒンカンリ　</t>
    <phoneticPr fontId="5"/>
  </si>
  <si>
    <t>210</t>
    <phoneticPr fontId="5"/>
  </si>
  <si>
    <t>生産管理部調達課</t>
    <rPh sb="0" eb="2">
      <t>セイサン</t>
    </rPh>
    <rPh sb="2" eb="5">
      <t>カンリブ</t>
    </rPh>
    <rPh sb="5" eb="7">
      <t>チョウタツ</t>
    </rPh>
    <rPh sb="7" eb="8">
      <t>カ</t>
    </rPh>
    <phoneticPr fontId="5"/>
  </si>
  <si>
    <t>セイサンカンリブ　チヨウタツ　</t>
    <phoneticPr fontId="5"/>
  </si>
  <si>
    <t>220</t>
    <phoneticPr fontId="5"/>
  </si>
  <si>
    <t>生産管理部ＩＴ管理課</t>
    <rPh sb="0" eb="2">
      <t>セイサン</t>
    </rPh>
    <rPh sb="2" eb="5">
      <t>カンリブ</t>
    </rPh>
    <rPh sb="7" eb="9">
      <t>カンリ</t>
    </rPh>
    <rPh sb="9" eb="10">
      <t>カ</t>
    </rPh>
    <phoneticPr fontId="5"/>
  </si>
  <si>
    <t>セイサンカンリブ　アイティカンリ　</t>
    <phoneticPr fontId="5"/>
  </si>
  <si>
    <t>300</t>
    <phoneticPr fontId="5"/>
  </si>
  <si>
    <t>22</t>
    <phoneticPr fontId="5"/>
  </si>
  <si>
    <t>生産技術部１課</t>
    <rPh sb="0" eb="2">
      <t>セイサン</t>
    </rPh>
    <rPh sb="2" eb="5">
      <t>ギジュツブ</t>
    </rPh>
    <rPh sb="6" eb="7">
      <t>カ</t>
    </rPh>
    <phoneticPr fontId="5"/>
  </si>
  <si>
    <t>セイサンギジユツブ　１カ</t>
    <phoneticPr fontId="5"/>
  </si>
  <si>
    <t>310</t>
    <phoneticPr fontId="5"/>
  </si>
  <si>
    <t>生産技術部２課工機係</t>
    <rPh sb="0" eb="2">
      <t>セイサン</t>
    </rPh>
    <rPh sb="2" eb="5">
      <t>ギジュツブ</t>
    </rPh>
    <rPh sb="6" eb="7">
      <t>カ</t>
    </rPh>
    <rPh sb="7" eb="8">
      <t>コウ</t>
    </rPh>
    <rPh sb="8" eb="9">
      <t>キ</t>
    </rPh>
    <rPh sb="9" eb="10">
      <t>カカリ</t>
    </rPh>
    <phoneticPr fontId="5"/>
  </si>
  <si>
    <t>セイサンギジユツブ　コウキ</t>
    <phoneticPr fontId="5"/>
  </si>
  <si>
    <t>320</t>
    <phoneticPr fontId="5"/>
  </si>
  <si>
    <t>生産技術部２課試作係</t>
    <rPh sb="0" eb="2">
      <t>セイサン</t>
    </rPh>
    <rPh sb="2" eb="5">
      <t>ギジュツブ</t>
    </rPh>
    <rPh sb="6" eb="7">
      <t>カ</t>
    </rPh>
    <rPh sb="7" eb="9">
      <t>シサク</t>
    </rPh>
    <rPh sb="9" eb="10">
      <t>カカリ</t>
    </rPh>
    <phoneticPr fontId="5"/>
  </si>
  <si>
    <t>セイサンギジユツブ　シサク</t>
    <phoneticPr fontId="5"/>
  </si>
  <si>
    <t>330</t>
    <phoneticPr fontId="5"/>
  </si>
  <si>
    <t>生産技術部２課保全係</t>
    <rPh sb="0" eb="2">
      <t>セイサン</t>
    </rPh>
    <rPh sb="2" eb="5">
      <t>ギジュツブ</t>
    </rPh>
    <rPh sb="6" eb="7">
      <t>カ</t>
    </rPh>
    <rPh sb="7" eb="9">
      <t>ホゼン</t>
    </rPh>
    <rPh sb="9" eb="10">
      <t>カカリ</t>
    </rPh>
    <phoneticPr fontId="5"/>
  </si>
  <si>
    <t>セイサンギジユツブ　ホゼン</t>
    <phoneticPr fontId="5"/>
  </si>
  <si>
    <t>340</t>
    <phoneticPr fontId="5"/>
  </si>
  <si>
    <t>400</t>
    <phoneticPr fontId="5"/>
  </si>
  <si>
    <t>11</t>
    <phoneticPr fontId="5"/>
  </si>
  <si>
    <t>本社工場工場管理課</t>
    <rPh sb="0" eb="2">
      <t>ホンシャ</t>
    </rPh>
    <rPh sb="2" eb="4">
      <t>コウジョウ</t>
    </rPh>
    <rPh sb="4" eb="8">
      <t>コウジョウカンリ</t>
    </rPh>
    <rPh sb="8" eb="9">
      <t>カ</t>
    </rPh>
    <phoneticPr fontId="5"/>
  </si>
  <si>
    <t>ホンシャコウジヨウ　コウカン</t>
    <phoneticPr fontId="5"/>
  </si>
  <si>
    <t>403</t>
    <phoneticPr fontId="5"/>
  </si>
  <si>
    <t>本社工場精測</t>
    <rPh sb="0" eb="2">
      <t>ホンシャ</t>
    </rPh>
    <rPh sb="2" eb="4">
      <t>コウジョウ</t>
    </rPh>
    <rPh sb="4" eb="5">
      <t>セイ</t>
    </rPh>
    <rPh sb="5" eb="6">
      <t>ソク</t>
    </rPh>
    <phoneticPr fontId="5"/>
  </si>
  <si>
    <t>ホンシャコウジヨウ　セイソク</t>
    <phoneticPr fontId="5"/>
  </si>
  <si>
    <t>404</t>
    <phoneticPr fontId="5"/>
  </si>
  <si>
    <t>本社工場改善</t>
    <rPh sb="0" eb="2">
      <t>ホンシャ</t>
    </rPh>
    <rPh sb="2" eb="4">
      <t>コウジョウ</t>
    </rPh>
    <rPh sb="4" eb="6">
      <t>カイゼン</t>
    </rPh>
    <phoneticPr fontId="5"/>
  </si>
  <si>
    <t>ホンシャコウジヨウ　カイゼン</t>
    <phoneticPr fontId="5"/>
  </si>
  <si>
    <t>410</t>
    <phoneticPr fontId="5"/>
  </si>
  <si>
    <t>30</t>
    <phoneticPr fontId="5"/>
  </si>
  <si>
    <t>1</t>
    <phoneticPr fontId="5"/>
  </si>
  <si>
    <t>本社工場ＨＹ</t>
    <rPh sb="0" eb="2">
      <t>ホンシャ</t>
    </rPh>
    <rPh sb="2" eb="4">
      <t>コウジョウ</t>
    </rPh>
    <phoneticPr fontId="5"/>
  </si>
  <si>
    <t>ホンシャコウジヨウ　ＨＹ</t>
    <phoneticPr fontId="5"/>
  </si>
  <si>
    <t>411</t>
    <phoneticPr fontId="5"/>
  </si>
  <si>
    <t>本社工場ＮＣ</t>
    <rPh sb="0" eb="2">
      <t>ホンシャ</t>
    </rPh>
    <rPh sb="2" eb="4">
      <t>コウジョウ</t>
    </rPh>
    <phoneticPr fontId="5"/>
  </si>
  <si>
    <t>ホンシャコウジヨウ　ＮＣ</t>
    <phoneticPr fontId="5"/>
  </si>
  <si>
    <t>412</t>
    <phoneticPr fontId="5"/>
  </si>
  <si>
    <t>本社工場構内物流</t>
    <rPh sb="0" eb="2">
      <t>ホンシャ</t>
    </rPh>
    <rPh sb="2" eb="4">
      <t>コウジョウ</t>
    </rPh>
    <rPh sb="4" eb="6">
      <t>コウナイ</t>
    </rPh>
    <rPh sb="6" eb="8">
      <t>ブツリュウ</t>
    </rPh>
    <phoneticPr fontId="5"/>
  </si>
  <si>
    <t>ホンシャコウジヨウ　ブツリユウ</t>
    <phoneticPr fontId="5"/>
  </si>
  <si>
    <t>420</t>
    <phoneticPr fontId="5"/>
  </si>
  <si>
    <t>31</t>
    <phoneticPr fontId="5"/>
  </si>
  <si>
    <t>本社工場機械第１</t>
    <rPh sb="0" eb="2">
      <t>ホンシャ</t>
    </rPh>
    <rPh sb="2" eb="4">
      <t>コウジョウ</t>
    </rPh>
    <rPh sb="4" eb="6">
      <t>キカイ</t>
    </rPh>
    <rPh sb="6" eb="7">
      <t>ダイ</t>
    </rPh>
    <phoneticPr fontId="5"/>
  </si>
  <si>
    <t>ホンシャコウジヨウ　キカイダイ１</t>
    <phoneticPr fontId="5"/>
  </si>
  <si>
    <t>421</t>
    <phoneticPr fontId="5"/>
  </si>
  <si>
    <t>本社工場組立第１</t>
    <rPh sb="0" eb="2">
      <t>ホンシャ</t>
    </rPh>
    <rPh sb="2" eb="4">
      <t>コウジョウ</t>
    </rPh>
    <rPh sb="4" eb="5">
      <t>ク</t>
    </rPh>
    <rPh sb="5" eb="6">
      <t>タ</t>
    </rPh>
    <rPh sb="6" eb="7">
      <t>ダイ</t>
    </rPh>
    <phoneticPr fontId="5"/>
  </si>
  <si>
    <t>ホンシャコウジヨウ　クミタテダイ１</t>
    <phoneticPr fontId="5"/>
  </si>
  <si>
    <t>422</t>
    <phoneticPr fontId="5"/>
  </si>
  <si>
    <t>本社工場ＡＣ研磨</t>
    <rPh sb="0" eb="2">
      <t>ホンシャ</t>
    </rPh>
    <rPh sb="2" eb="4">
      <t>コウジョウ</t>
    </rPh>
    <rPh sb="6" eb="8">
      <t>ケンマ</t>
    </rPh>
    <phoneticPr fontId="5"/>
  </si>
  <si>
    <t>ホンシャコウジヨウ　ＡＣケンマ</t>
    <phoneticPr fontId="5"/>
  </si>
  <si>
    <t>423</t>
    <phoneticPr fontId="5"/>
  </si>
  <si>
    <t>本社工場機械第２</t>
    <rPh sb="0" eb="2">
      <t>ホンシャ</t>
    </rPh>
    <rPh sb="2" eb="4">
      <t>コウジョウ</t>
    </rPh>
    <rPh sb="4" eb="6">
      <t>キカイ</t>
    </rPh>
    <rPh sb="6" eb="7">
      <t>ダイ</t>
    </rPh>
    <phoneticPr fontId="5"/>
  </si>
  <si>
    <t>ホンシャコウジヨウ　キカイダイ２</t>
    <phoneticPr fontId="5"/>
  </si>
  <si>
    <t>424</t>
    <phoneticPr fontId="5"/>
  </si>
  <si>
    <t>本社工場組立第２</t>
    <rPh sb="0" eb="2">
      <t>ホンシャ</t>
    </rPh>
    <rPh sb="2" eb="4">
      <t>コウジョウ</t>
    </rPh>
    <rPh sb="4" eb="5">
      <t>ク</t>
    </rPh>
    <rPh sb="5" eb="6">
      <t>タ</t>
    </rPh>
    <rPh sb="6" eb="7">
      <t>ダイ</t>
    </rPh>
    <phoneticPr fontId="5"/>
  </si>
  <si>
    <t>ホンシャコウジヨウ　クミタテダイ２</t>
    <phoneticPr fontId="5"/>
  </si>
  <si>
    <t>425</t>
    <phoneticPr fontId="5"/>
  </si>
  <si>
    <t>本社工場ＨＣＵ</t>
    <rPh sb="0" eb="2">
      <t>ホンシャ</t>
    </rPh>
    <rPh sb="2" eb="4">
      <t>コウジョウ</t>
    </rPh>
    <phoneticPr fontId="5"/>
  </si>
  <si>
    <t>ホンシャコウジヨウ　ＨＣＵ</t>
    <phoneticPr fontId="5"/>
  </si>
  <si>
    <t>430</t>
    <phoneticPr fontId="5"/>
  </si>
  <si>
    <t>40</t>
    <phoneticPr fontId="5"/>
  </si>
  <si>
    <t>本社工場ＴＰ</t>
    <rPh sb="0" eb="2">
      <t>ホンシャ</t>
    </rPh>
    <rPh sb="2" eb="4">
      <t>コウジョウ</t>
    </rPh>
    <phoneticPr fontId="5"/>
  </si>
  <si>
    <t>ホンシャコウジヨウ　ＴＰ</t>
    <phoneticPr fontId="5"/>
  </si>
  <si>
    <t>432</t>
    <phoneticPr fontId="5"/>
  </si>
  <si>
    <t>本社工場ＢＶ</t>
    <rPh sb="0" eb="2">
      <t>ホンシャ</t>
    </rPh>
    <rPh sb="2" eb="4">
      <t>コウジョウ</t>
    </rPh>
    <phoneticPr fontId="5"/>
  </si>
  <si>
    <t>ホンシャコウジヨウ　ＢＶ</t>
    <phoneticPr fontId="5"/>
  </si>
  <si>
    <t>433</t>
    <phoneticPr fontId="5"/>
  </si>
  <si>
    <t>本社工場ＳＰ</t>
    <rPh sb="0" eb="2">
      <t>ホンシャ</t>
    </rPh>
    <rPh sb="2" eb="4">
      <t>コウジョウ</t>
    </rPh>
    <phoneticPr fontId="5"/>
  </si>
  <si>
    <t>ホンシャコウジヨウ　ＳＰ</t>
    <phoneticPr fontId="5"/>
  </si>
  <si>
    <t>434</t>
    <phoneticPr fontId="5"/>
  </si>
  <si>
    <t>本社工場ＳＬ</t>
    <rPh sb="0" eb="2">
      <t>ホンシャ</t>
    </rPh>
    <rPh sb="2" eb="4">
      <t>コウジョウ</t>
    </rPh>
    <phoneticPr fontId="5"/>
  </si>
  <si>
    <t>ホンシャコウジヨウ　ＳＬ</t>
    <phoneticPr fontId="5"/>
  </si>
  <si>
    <t>440</t>
    <phoneticPr fontId="5"/>
  </si>
  <si>
    <t>41</t>
    <phoneticPr fontId="5"/>
  </si>
  <si>
    <t>川越第二工場１係</t>
    <rPh sb="0" eb="2">
      <t>カワゴエ</t>
    </rPh>
    <rPh sb="2" eb="4">
      <t>ダイニ</t>
    </rPh>
    <rPh sb="4" eb="6">
      <t>コウジョウ</t>
    </rPh>
    <rPh sb="7" eb="8">
      <t>カカリ</t>
    </rPh>
    <phoneticPr fontId="5"/>
  </si>
  <si>
    <t>カワゴエダイニコウジョウ　１</t>
    <phoneticPr fontId="5"/>
  </si>
  <si>
    <t>441</t>
    <phoneticPr fontId="5"/>
  </si>
  <si>
    <t>川越第二工場２係</t>
    <rPh sb="0" eb="2">
      <t>カワゴエ</t>
    </rPh>
    <rPh sb="2" eb="4">
      <t>ダイニ</t>
    </rPh>
    <rPh sb="4" eb="6">
      <t>コウジョウ</t>
    </rPh>
    <rPh sb="7" eb="8">
      <t>カカリ</t>
    </rPh>
    <phoneticPr fontId="5"/>
  </si>
  <si>
    <t>カワゴエダイニコウジョウ　２</t>
    <phoneticPr fontId="5"/>
  </si>
  <si>
    <t>442</t>
    <phoneticPr fontId="5"/>
  </si>
  <si>
    <t>川越第二工場管理</t>
    <rPh sb="0" eb="2">
      <t>カワゴエ</t>
    </rPh>
    <rPh sb="2" eb="4">
      <t>ダイニ</t>
    </rPh>
    <rPh sb="4" eb="6">
      <t>コウジョウ</t>
    </rPh>
    <rPh sb="6" eb="8">
      <t>カンリ</t>
    </rPh>
    <phoneticPr fontId="5"/>
  </si>
  <si>
    <t>カワゴエダイニコウジョウ　カンリ</t>
    <phoneticPr fontId="5"/>
  </si>
  <si>
    <t>443</t>
    <phoneticPr fontId="5"/>
  </si>
  <si>
    <t>川越第二工場３係</t>
    <rPh sb="0" eb="2">
      <t>カワゴエ</t>
    </rPh>
    <rPh sb="2" eb="4">
      <t>ダイニ</t>
    </rPh>
    <rPh sb="4" eb="6">
      <t>コウジョウ</t>
    </rPh>
    <rPh sb="7" eb="8">
      <t>カカリ</t>
    </rPh>
    <phoneticPr fontId="5"/>
  </si>
  <si>
    <t>カワゴエダイニコウジョウ　３</t>
    <phoneticPr fontId="5"/>
  </si>
  <si>
    <t>444</t>
    <phoneticPr fontId="5"/>
  </si>
  <si>
    <t>川越第二工場４係</t>
    <rPh sb="0" eb="2">
      <t>カワゴエ</t>
    </rPh>
    <rPh sb="2" eb="4">
      <t>ダイニ</t>
    </rPh>
    <rPh sb="4" eb="6">
      <t>コウジョウ</t>
    </rPh>
    <rPh sb="7" eb="8">
      <t>カカリ</t>
    </rPh>
    <phoneticPr fontId="5"/>
  </si>
  <si>
    <t>カワゴエダイニコウジョウ　４</t>
    <phoneticPr fontId="5"/>
  </si>
  <si>
    <t>445</t>
    <phoneticPr fontId="5"/>
  </si>
  <si>
    <t>川越第二工場５係</t>
    <rPh sb="0" eb="2">
      <t>カワゴエ</t>
    </rPh>
    <rPh sb="2" eb="4">
      <t>ダイニ</t>
    </rPh>
    <rPh sb="4" eb="6">
      <t>コウジョウ</t>
    </rPh>
    <rPh sb="7" eb="8">
      <t>カカリ</t>
    </rPh>
    <phoneticPr fontId="5"/>
  </si>
  <si>
    <t>カワゴエダイニコウジョウ　５</t>
    <phoneticPr fontId="5"/>
  </si>
  <si>
    <t>450</t>
    <phoneticPr fontId="5"/>
  </si>
  <si>
    <t>川越第二工場鋳造部門管理</t>
    <rPh sb="0" eb="2">
      <t>カワゴエ</t>
    </rPh>
    <rPh sb="2" eb="4">
      <t>ダイニ</t>
    </rPh>
    <rPh sb="4" eb="6">
      <t>コウジョウ</t>
    </rPh>
    <rPh sb="6" eb="8">
      <t>チュウゾウ</t>
    </rPh>
    <rPh sb="8" eb="10">
      <t>ブモン</t>
    </rPh>
    <rPh sb="10" eb="12">
      <t>カンリ</t>
    </rPh>
    <phoneticPr fontId="5"/>
  </si>
  <si>
    <t>カワゴエダイニ　チュウゾウカンリ</t>
    <phoneticPr fontId="5"/>
  </si>
  <si>
    <t>451</t>
    <phoneticPr fontId="5"/>
  </si>
  <si>
    <t>川越第二工場鋳造部門</t>
    <rPh sb="0" eb="2">
      <t>カワゴエ</t>
    </rPh>
    <rPh sb="2" eb="4">
      <t>ダイニ</t>
    </rPh>
    <rPh sb="4" eb="6">
      <t>コウジョウ</t>
    </rPh>
    <rPh sb="6" eb="8">
      <t>チュウゾウ</t>
    </rPh>
    <rPh sb="8" eb="10">
      <t>ブモン</t>
    </rPh>
    <phoneticPr fontId="5"/>
  </si>
  <si>
    <t>カワゴエダイニ　チュウゾウ　</t>
    <phoneticPr fontId="5"/>
  </si>
  <si>
    <t>500</t>
    <phoneticPr fontId="5"/>
  </si>
  <si>
    <t>品質保証部検査課</t>
    <rPh sb="0" eb="2">
      <t>ヒンシツ</t>
    </rPh>
    <rPh sb="2" eb="4">
      <t>ホショウ</t>
    </rPh>
    <rPh sb="4" eb="5">
      <t>ブ</t>
    </rPh>
    <rPh sb="5" eb="7">
      <t>ケンサ</t>
    </rPh>
    <rPh sb="7" eb="8">
      <t>カ</t>
    </rPh>
    <phoneticPr fontId="5"/>
  </si>
  <si>
    <t>ヒンシツホシヨウブ　ケンサカ</t>
    <phoneticPr fontId="5"/>
  </si>
  <si>
    <t>510</t>
    <phoneticPr fontId="5"/>
  </si>
  <si>
    <t>品質保証部品質管理課</t>
    <rPh sb="0" eb="2">
      <t>ヒンシツ</t>
    </rPh>
    <rPh sb="2" eb="4">
      <t>ホショウ</t>
    </rPh>
    <rPh sb="4" eb="5">
      <t>ブ</t>
    </rPh>
    <rPh sb="5" eb="7">
      <t>ヒンシツ</t>
    </rPh>
    <rPh sb="7" eb="9">
      <t>カンリ</t>
    </rPh>
    <rPh sb="9" eb="10">
      <t>カ</t>
    </rPh>
    <phoneticPr fontId="5"/>
  </si>
  <si>
    <t>ヒンシツホシヨウブ　ヒンシツカンリカ</t>
    <phoneticPr fontId="5"/>
  </si>
  <si>
    <t>600</t>
    <phoneticPr fontId="5"/>
  </si>
  <si>
    <t>生産管理部製品管理課　羽生</t>
    <rPh sb="0" eb="2">
      <t>セイサン</t>
    </rPh>
    <rPh sb="2" eb="5">
      <t>カンリブ</t>
    </rPh>
    <rPh sb="5" eb="7">
      <t>セイヒン</t>
    </rPh>
    <rPh sb="7" eb="10">
      <t>カンリカ</t>
    </rPh>
    <rPh sb="11" eb="13">
      <t>ハニュウ</t>
    </rPh>
    <phoneticPr fontId="5"/>
  </si>
  <si>
    <t>セイサンカンリセイヒンカンリ　ハニュウ</t>
    <phoneticPr fontId="5"/>
  </si>
  <si>
    <t>601</t>
    <phoneticPr fontId="5"/>
  </si>
  <si>
    <t>生産管理部製品調達課　羽生</t>
    <rPh sb="0" eb="2">
      <t>セイサン</t>
    </rPh>
    <rPh sb="2" eb="5">
      <t>カンリブ</t>
    </rPh>
    <rPh sb="5" eb="7">
      <t>セイヒン</t>
    </rPh>
    <rPh sb="7" eb="9">
      <t>チョウタツ</t>
    </rPh>
    <rPh sb="9" eb="10">
      <t>カ</t>
    </rPh>
    <rPh sb="11" eb="13">
      <t>ハニュウ</t>
    </rPh>
    <phoneticPr fontId="5"/>
  </si>
  <si>
    <t>セイサンカンリチョウタツ　ハニユウ</t>
    <phoneticPr fontId="5"/>
  </si>
  <si>
    <t>602</t>
    <phoneticPr fontId="5"/>
  </si>
  <si>
    <t>生産管理部ＩＴ管理課　羽生</t>
    <rPh sb="0" eb="2">
      <t>セイサン</t>
    </rPh>
    <rPh sb="2" eb="5">
      <t>カンリブ</t>
    </rPh>
    <rPh sb="7" eb="10">
      <t>カンリカ</t>
    </rPh>
    <rPh sb="11" eb="13">
      <t>ハニュウ</t>
    </rPh>
    <phoneticPr fontId="5"/>
  </si>
  <si>
    <t>セイサンカンリブ　アイティカンリ　ハニユウ</t>
    <phoneticPr fontId="5"/>
  </si>
  <si>
    <t>603</t>
    <phoneticPr fontId="5"/>
  </si>
  <si>
    <t>羽生工場構内物流</t>
    <rPh sb="0" eb="4">
      <t>ハニュウコウジョウ</t>
    </rPh>
    <rPh sb="4" eb="6">
      <t>コウナイ</t>
    </rPh>
    <rPh sb="6" eb="8">
      <t>ブツリュウ</t>
    </rPh>
    <phoneticPr fontId="5"/>
  </si>
  <si>
    <t>ハニユウコウジヨウコウナイブツリユウ</t>
    <phoneticPr fontId="5"/>
  </si>
  <si>
    <t>604</t>
    <phoneticPr fontId="5"/>
  </si>
  <si>
    <t>羽生工場構内ＳＰ</t>
    <rPh sb="0" eb="4">
      <t>ハニュウコウジョウ</t>
    </rPh>
    <rPh sb="4" eb="6">
      <t>コウナイ</t>
    </rPh>
    <phoneticPr fontId="5"/>
  </si>
  <si>
    <t>ハニユウコウジヨウ　ＳＰ</t>
    <phoneticPr fontId="5"/>
  </si>
  <si>
    <t>610</t>
    <phoneticPr fontId="5"/>
  </si>
  <si>
    <t>生産技術部（羽生）</t>
    <rPh sb="0" eb="2">
      <t>セイサン</t>
    </rPh>
    <rPh sb="2" eb="5">
      <t>ギジュツブ</t>
    </rPh>
    <rPh sb="6" eb="8">
      <t>ハニュウ</t>
    </rPh>
    <phoneticPr fontId="5"/>
  </si>
  <si>
    <t>生産技術部３課（羽生）</t>
    <rPh sb="0" eb="2">
      <t>セイサン</t>
    </rPh>
    <rPh sb="2" eb="5">
      <t>ギジュツブ</t>
    </rPh>
    <rPh sb="6" eb="7">
      <t>カ</t>
    </rPh>
    <rPh sb="8" eb="10">
      <t>ハニュウ</t>
    </rPh>
    <phoneticPr fontId="5"/>
  </si>
  <si>
    <t>セイサンギジユツブ　ハニユウ</t>
    <phoneticPr fontId="5"/>
  </si>
  <si>
    <t>612</t>
    <phoneticPr fontId="5"/>
  </si>
  <si>
    <t>生産技術部工機（羽生）</t>
    <rPh sb="0" eb="2">
      <t>セイサン</t>
    </rPh>
    <rPh sb="2" eb="5">
      <t>ギジュツブ</t>
    </rPh>
    <rPh sb="5" eb="7">
      <t>コウキ</t>
    </rPh>
    <rPh sb="8" eb="10">
      <t>ハニュウ</t>
    </rPh>
    <phoneticPr fontId="5"/>
  </si>
  <si>
    <t>生産技術部４課（羽生）</t>
    <rPh sb="0" eb="2">
      <t>セイサン</t>
    </rPh>
    <rPh sb="2" eb="5">
      <t>ギジュツブ</t>
    </rPh>
    <rPh sb="6" eb="7">
      <t>カ</t>
    </rPh>
    <rPh sb="8" eb="10">
      <t>ハニュウ</t>
    </rPh>
    <phoneticPr fontId="5"/>
  </si>
  <si>
    <t>セイサンギジユツブ　ハニユウコウキ</t>
    <phoneticPr fontId="5"/>
  </si>
  <si>
    <t>613</t>
    <phoneticPr fontId="5"/>
  </si>
  <si>
    <t>羽生工場工場管理課</t>
    <rPh sb="0" eb="2">
      <t>ハニュウ</t>
    </rPh>
    <rPh sb="2" eb="4">
      <t>コウジョウ</t>
    </rPh>
    <rPh sb="4" eb="6">
      <t>コウジョウ</t>
    </rPh>
    <rPh sb="6" eb="8">
      <t>カンリ</t>
    </rPh>
    <rPh sb="8" eb="9">
      <t>カ</t>
    </rPh>
    <phoneticPr fontId="5"/>
  </si>
  <si>
    <t>ハニユウコウジヨウ　コウカン</t>
    <phoneticPr fontId="5"/>
  </si>
  <si>
    <t>630</t>
    <phoneticPr fontId="5"/>
  </si>
  <si>
    <t>品質保証部（羽生）</t>
    <rPh sb="0" eb="2">
      <t>ヒンシツ</t>
    </rPh>
    <rPh sb="2" eb="4">
      <t>ホショウ</t>
    </rPh>
    <rPh sb="4" eb="5">
      <t>ブ</t>
    </rPh>
    <rPh sb="6" eb="8">
      <t>ハニュウ</t>
    </rPh>
    <phoneticPr fontId="5"/>
  </si>
  <si>
    <t>品質管理課（羽生）</t>
    <rPh sb="0" eb="2">
      <t>ヒンシツ</t>
    </rPh>
    <rPh sb="2" eb="5">
      <t>カンリカ</t>
    </rPh>
    <rPh sb="6" eb="8">
      <t>ハニュウ</t>
    </rPh>
    <phoneticPr fontId="5"/>
  </si>
  <si>
    <t>ヒンシツホシヨウブ　ハニユウ</t>
    <phoneticPr fontId="5"/>
  </si>
  <si>
    <t>640</t>
    <phoneticPr fontId="5"/>
  </si>
  <si>
    <t>羽生工場ＢＣ</t>
    <rPh sb="0" eb="4">
      <t>ハニュウコウジョウ</t>
    </rPh>
    <phoneticPr fontId="5"/>
  </si>
  <si>
    <t>ハニユウコウジヨウ　ＢＣ</t>
    <phoneticPr fontId="5"/>
  </si>
  <si>
    <t>641</t>
    <phoneticPr fontId="5"/>
  </si>
  <si>
    <t>羽生工場ＢＢ</t>
    <rPh sb="0" eb="4">
      <t>ハニュウコウジョウ</t>
    </rPh>
    <phoneticPr fontId="5"/>
  </si>
  <si>
    <t>ハニユウコウジヨウ　ＢＢ</t>
    <phoneticPr fontId="5"/>
  </si>
  <si>
    <t>642</t>
    <phoneticPr fontId="5"/>
  </si>
  <si>
    <t>羽生工場ＡＳ</t>
    <rPh sb="0" eb="4">
      <t>ハニュウコウジョウ</t>
    </rPh>
    <phoneticPr fontId="5"/>
  </si>
  <si>
    <t>ハニユウコウジヨウ　ＡＳ</t>
    <phoneticPr fontId="5"/>
  </si>
  <si>
    <t>643</t>
    <phoneticPr fontId="5"/>
  </si>
  <si>
    <t>羽生工場ＭＳＵ</t>
    <rPh sb="0" eb="4">
      <t>ハニュウコウジョウ</t>
    </rPh>
    <phoneticPr fontId="5"/>
  </si>
  <si>
    <t>ハニユウコウジヨウ　ＭＳＵ</t>
    <phoneticPr fontId="5"/>
  </si>
  <si>
    <t>650</t>
    <phoneticPr fontId="5"/>
  </si>
  <si>
    <t>44</t>
    <phoneticPr fontId="5"/>
  </si>
  <si>
    <r>
      <t>羽生工場Ｖ</t>
    </r>
    <r>
      <rPr>
        <b/>
        <sz val="10"/>
        <color indexed="10"/>
        <rFont val="ＭＳ ゴシック"/>
        <family val="3"/>
        <charset val="128"/>
      </rPr>
      <t>Ｐ</t>
    </r>
    <r>
      <rPr>
        <b/>
        <sz val="10"/>
        <rFont val="ＭＳ ゴシック"/>
        <family val="3"/>
        <charset val="128"/>
      </rPr>
      <t>－１</t>
    </r>
    <rPh sb="0" eb="4">
      <t>ハニュウコウジョウ</t>
    </rPh>
    <phoneticPr fontId="5"/>
  </si>
  <si>
    <r>
      <t>ハニユウコウジヨウ　Ｖ</t>
    </r>
    <r>
      <rPr>
        <b/>
        <sz val="10"/>
        <color indexed="10"/>
        <rFont val="ＭＳ ゴシック"/>
        <family val="3"/>
        <charset val="128"/>
      </rPr>
      <t>Ｐ</t>
    </r>
    <r>
      <rPr>
        <b/>
        <sz val="10"/>
        <rFont val="ＭＳ ゴシック"/>
        <family val="3"/>
        <charset val="128"/>
      </rPr>
      <t>－１　</t>
    </r>
    <phoneticPr fontId="5"/>
  </si>
  <si>
    <t>660</t>
    <phoneticPr fontId="5"/>
  </si>
  <si>
    <r>
      <t>羽生工場Ｖ</t>
    </r>
    <r>
      <rPr>
        <b/>
        <sz val="10"/>
        <color indexed="10"/>
        <rFont val="ＭＳ ゴシック"/>
        <family val="3"/>
        <charset val="128"/>
      </rPr>
      <t>Ｐ</t>
    </r>
    <r>
      <rPr>
        <b/>
        <sz val="10"/>
        <rFont val="ＭＳ ゴシック"/>
        <family val="3"/>
        <charset val="128"/>
      </rPr>
      <t>－２</t>
    </r>
    <rPh sb="0" eb="4">
      <t>ハニュウコウジョウ</t>
    </rPh>
    <phoneticPr fontId="5"/>
  </si>
  <si>
    <r>
      <t>ハニユウコウジヨウ　Ｖ</t>
    </r>
    <r>
      <rPr>
        <b/>
        <sz val="10"/>
        <color indexed="10"/>
        <rFont val="ＭＳ ゴシック"/>
        <family val="3"/>
        <charset val="128"/>
      </rPr>
      <t>Ｐ</t>
    </r>
    <r>
      <rPr>
        <b/>
        <sz val="10"/>
        <rFont val="ＭＳ ゴシック"/>
        <family val="3"/>
        <charset val="128"/>
      </rPr>
      <t>－２</t>
    </r>
    <phoneticPr fontId="5"/>
  </si>
  <si>
    <t>670</t>
    <phoneticPr fontId="5"/>
  </si>
  <si>
    <t>羽生工場プレス</t>
    <rPh sb="0" eb="4">
      <t>ハニュウコウジョウ</t>
    </rPh>
    <phoneticPr fontId="5"/>
  </si>
  <si>
    <t>ハニユウコウジヨウ　プレス　</t>
    <phoneticPr fontId="5"/>
  </si>
  <si>
    <t>672</t>
    <phoneticPr fontId="5"/>
  </si>
  <si>
    <t>羽生工場ＮＣ</t>
    <rPh sb="0" eb="4">
      <t>ハニュウコウジョウ</t>
    </rPh>
    <phoneticPr fontId="5"/>
  </si>
  <si>
    <t>ハニユウコウジヨウ　ＮＣ</t>
    <phoneticPr fontId="5"/>
  </si>
  <si>
    <t>680</t>
    <phoneticPr fontId="5"/>
  </si>
  <si>
    <t>羽生工場ＣＢ</t>
    <rPh sb="0" eb="4">
      <t>ハニュウコウジョウ</t>
    </rPh>
    <phoneticPr fontId="5"/>
  </si>
  <si>
    <t>ハニユウコウジヨウ　ＣＢ</t>
    <phoneticPr fontId="5"/>
  </si>
  <si>
    <t>681</t>
    <phoneticPr fontId="5"/>
  </si>
  <si>
    <t>羽生工場ＰＳＨ</t>
    <rPh sb="0" eb="4">
      <t>ハニュウコウジョウ</t>
    </rPh>
    <phoneticPr fontId="5"/>
  </si>
  <si>
    <t>ハニユウコウジヨウ　ＰＳＨ</t>
    <phoneticPr fontId="5"/>
  </si>
  <si>
    <t>690</t>
    <phoneticPr fontId="5"/>
  </si>
  <si>
    <t>羽生工場ＴＣ</t>
    <rPh sb="0" eb="4">
      <t>ハニュウコウジョウ</t>
    </rPh>
    <phoneticPr fontId="5"/>
  </si>
  <si>
    <t>ハニユウコウジヨウ　ＴＣ</t>
    <phoneticPr fontId="5"/>
  </si>
  <si>
    <t>691</t>
    <phoneticPr fontId="5"/>
  </si>
  <si>
    <t>羽生工場ＥＧＲ</t>
    <rPh sb="0" eb="4">
      <t>ハニュウコウジョウ</t>
    </rPh>
    <phoneticPr fontId="5"/>
  </si>
  <si>
    <t>ハニユウコウジヨウ　ＥＧＲ</t>
    <phoneticPr fontId="5"/>
  </si>
  <si>
    <t>692</t>
    <phoneticPr fontId="5"/>
  </si>
  <si>
    <t>羽生工場ＢＰＶ</t>
    <rPh sb="0" eb="4">
      <t>ハニュウコウジョウ</t>
    </rPh>
    <phoneticPr fontId="5"/>
  </si>
  <si>
    <t>ハニユウコウジヨウ　ＢＰＶ</t>
    <phoneticPr fontId="5"/>
  </si>
  <si>
    <t>800</t>
    <phoneticPr fontId="5"/>
  </si>
  <si>
    <t>21</t>
    <phoneticPr fontId="5"/>
  </si>
  <si>
    <t>ＮＥＬ</t>
    <phoneticPr fontId="5"/>
  </si>
  <si>
    <t>900</t>
    <phoneticPr fontId="5"/>
  </si>
  <si>
    <t>資材部</t>
    <rPh sb="0" eb="3">
      <t>シザイブ</t>
    </rPh>
    <phoneticPr fontId="5"/>
  </si>
  <si>
    <t>シザイブ</t>
    <phoneticPr fontId="5"/>
  </si>
  <si>
    <t>　※　部門コードの４桁目は、職員０　工務員１　パート２　となっている。担当者ｺｰﾄﾞ；パートは「60」</t>
    <rPh sb="3" eb="5">
      <t>ブモン</t>
    </rPh>
    <rPh sb="10" eb="11">
      <t>ケタ</t>
    </rPh>
    <rPh sb="11" eb="12">
      <t>メ</t>
    </rPh>
    <rPh sb="14" eb="16">
      <t>ショクイン</t>
    </rPh>
    <rPh sb="18" eb="19">
      <t>コウ</t>
    </rPh>
    <rPh sb="19" eb="20">
      <t>ム</t>
    </rPh>
    <rPh sb="20" eb="21">
      <t>イン</t>
    </rPh>
    <rPh sb="35" eb="38">
      <t>タントウシャ</t>
    </rPh>
    <phoneticPr fontId="5"/>
  </si>
  <si>
    <t>伊波　君絵</t>
    <rPh sb="0" eb="2">
      <t>イハ</t>
    </rPh>
    <rPh sb="3" eb="4">
      <t>キミ</t>
    </rPh>
    <rPh sb="4" eb="5">
      <t>エ</t>
    </rPh>
    <phoneticPr fontId="2"/>
  </si>
  <si>
    <t>61220</t>
    <phoneticPr fontId="2"/>
  </si>
  <si>
    <t>荻津　公人</t>
    <rPh sb="0" eb="2">
      <t>オギツ</t>
    </rPh>
    <rPh sb="3" eb="5">
      <t>キミト</t>
    </rPh>
    <phoneticPr fontId="2"/>
  </si>
  <si>
    <t>針谷　正広</t>
    <rPh sb="0" eb="2">
      <t>ハリガヤ</t>
    </rPh>
    <rPh sb="3" eb="5">
      <t>マサヒロ</t>
    </rPh>
    <phoneticPr fontId="2"/>
  </si>
  <si>
    <t>伊波、針谷、荻津</t>
    <rPh sb="0" eb="2">
      <t>イハ</t>
    </rPh>
    <rPh sb="3" eb="5">
      <t>ハリガヤ</t>
    </rPh>
    <rPh sb="6" eb="8">
      <t>オギツ</t>
    </rPh>
    <phoneticPr fontId="2"/>
  </si>
  <si>
    <t>藤田、藤井、吉田</t>
    <rPh sb="0" eb="2">
      <t>フジタ</t>
    </rPh>
    <rPh sb="3" eb="5">
      <t>フジイ</t>
    </rPh>
    <rPh sb="6" eb="8">
      <t>ヨシダ</t>
    </rPh>
    <phoneticPr fontId="2"/>
  </si>
  <si>
    <t>福原　生管調達課</t>
    <rPh sb="0" eb="2">
      <t>フクハラ</t>
    </rPh>
    <rPh sb="3" eb="5">
      <t>セイカン</t>
    </rPh>
    <rPh sb="5" eb="8">
      <t>チョウタツカ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</si>
</sst>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);[Red]\(0.0\)"/>
    <numFmt numFmtId="177" formatCode="0_ "/>
    <numFmt numFmtId="178" formatCode="0_);[Red]\(0\)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color theme="8"/>
      <name val="游ゴシック"/>
      <family val="2"/>
      <charset val="128"/>
      <scheme val="minor"/>
    </font>
    <font>
      <sz val="11"/>
      <color theme="8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0"/>
      <color indexed="10"/>
      <name val="ＭＳ ゴシック"/>
      <family val="3"/>
      <charset val="128"/>
    </font>
    <font>
      <b/>
      <sz val="10"/>
      <color indexed="12"/>
      <name val="ＭＳ 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0"/>
      <color rgb="FFFF0000"/>
      <name val="ＭＳ 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2"/>
      <color indexed="8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66FFFF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2" fillId="10" borderId="0" applyNumberFormat="0" applyBorder="0" applyAlignment="0" applyProtection="0">
      <alignment vertical="center"/>
    </xf>
    <xf numFmtId="0" fontId="3" fillId="0" borderId="0"/>
  </cellStyleXfs>
  <cellXfs count="6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2" borderId="0" xfId="0" applyNumberFormat="1" applyFill="1" applyBorder="1">
      <alignment vertical="center"/>
    </xf>
    <xf numFmtId="0" fontId="4" fillId="2" borderId="0" xfId="2" applyNumberFormat="1" applyFont="1" applyFill="1" applyBorder="1" applyAlignment="1">
      <alignment horizontal="center" vertical="center"/>
    </xf>
    <xf numFmtId="0" fontId="3" fillId="0" borderId="0" xfId="2" applyBorder="1" applyAlignment="1"/>
    <xf numFmtId="0" fontId="0" fillId="0" borderId="4" xfId="0" applyBorder="1">
      <alignment vertical="center"/>
    </xf>
    <xf numFmtId="0" fontId="6" fillId="2" borderId="0" xfId="3" applyNumberFormat="1" applyFont="1" applyFill="1" applyBorder="1" applyAlignment="1">
      <alignment horizontal="center" vertical="center" wrapText="1"/>
    </xf>
    <xf numFmtId="0" fontId="3" fillId="2" borderId="0" xfId="3" applyNumberForma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14" fontId="6" fillId="4" borderId="0" xfId="3" applyNumberFormat="1" applyFont="1" applyFill="1" applyBorder="1" applyAlignment="1">
      <alignment horizontal="center" vertical="center" wrapText="1"/>
    </xf>
    <xf numFmtId="14" fontId="3" fillId="2" borderId="0" xfId="3" applyNumberForma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6" fontId="3" fillId="0" borderId="15" xfId="3" applyNumberFormat="1" applyBorder="1">
      <alignment vertical="center"/>
    </xf>
    <xf numFmtId="0" fontId="3" fillId="0" borderId="16" xfId="3" applyNumberFormat="1" applyBorder="1">
      <alignment vertical="center"/>
    </xf>
    <xf numFmtId="14" fontId="0" fillId="0" borderId="0" xfId="0" applyNumberFormat="1">
      <alignment vertical="center"/>
    </xf>
    <xf numFmtId="0" fontId="3" fillId="2" borderId="0" xfId="3" applyNumberFormat="1" applyFill="1" applyBorder="1">
      <alignment vertical="center"/>
    </xf>
    <xf numFmtId="0" fontId="3" fillId="0" borderId="15" xfId="3" applyNumberFormat="1" applyBorder="1">
      <alignment vertical="center"/>
    </xf>
    <xf numFmtId="0" fontId="3" fillId="0" borderId="0" xfId="3" applyNumberFormat="1" applyBorder="1">
      <alignment vertical="center"/>
    </xf>
    <xf numFmtId="0" fontId="3" fillId="0" borderId="17" xfId="3" applyNumberForma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6" fontId="3" fillId="0" borderId="19" xfId="3" applyNumberFormat="1" applyBorder="1">
      <alignment vertical="center"/>
    </xf>
    <xf numFmtId="0" fontId="3" fillId="0" borderId="20" xfId="3" applyNumberFormat="1" applyBorder="1">
      <alignment vertical="center"/>
    </xf>
    <xf numFmtId="0" fontId="3" fillId="0" borderId="19" xfId="3" applyNumberFormat="1" applyBorder="1">
      <alignment vertical="center"/>
    </xf>
    <xf numFmtId="0" fontId="3" fillId="0" borderId="21" xfId="3" applyNumberFormat="1" applyBorder="1">
      <alignment vertical="center"/>
    </xf>
    <xf numFmtId="0" fontId="3" fillId="0" borderId="21" xfId="3" applyNumberFormat="1" applyBorder="1" applyAlignment="1">
      <alignment horizontal="center" vertical="center"/>
    </xf>
    <xf numFmtId="38" fontId="3" fillId="0" borderId="19" xfId="1" applyFont="1" applyBorder="1">
      <alignment vertical="center"/>
    </xf>
    <xf numFmtId="0" fontId="3" fillId="2" borderId="21" xfId="3" applyNumberFormat="1" applyFill="1" applyBorder="1" applyAlignment="1">
      <alignment horizontal="center" vertical="center"/>
    </xf>
    <xf numFmtId="0" fontId="0" fillId="0" borderId="19" xfId="0" applyNumberFormat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>
      <alignment vertical="center"/>
    </xf>
    <xf numFmtId="176" fontId="3" fillId="0" borderId="19" xfId="3" applyNumberFormat="1" applyFill="1" applyBorder="1">
      <alignment vertical="center"/>
    </xf>
    <xf numFmtId="0" fontId="0" fillId="0" borderId="20" xfId="0" applyNumberFormat="1" applyBorder="1">
      <alignment vertical="center"/>
    </xf>
    <xf numFmtId="0" fontId="0" fillId="0" borderId="21" xfId="0" applyNumberForma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2" xfId="0" applyBorder="1">
      <alignment vertical="center"/>
    </xf>
    <xf numFmtId="176" fontId="3" fillId="0" borderId="22" xfId="3" applyNumberFormat="1" applyBorder="1">
      <alignment vertical="center"/>
    </xf>
    <xf numFmtId="0" fontId="3" fillId="0" borderId="0" xfId="3" applyNumberFormat="1" applyBorder="1" applyAlignment="1">
      <alignment horizontal="center" vertical="center"/>
    </xf>
    <xf numFmtId="38" fontId="3" fillId="0" borderId="0" xfId="1" applyFont="1" applyBorder="1">
      <alignment vertical="center"/>
    </xf>
    <xf numFmtId="0" fontId="0" fillId="0" borderId="22" xfId="0" applyFill="1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>
      <alignment vertical="center"/>
    </xf>
    <xf numFmtId="49" fontId="3" fillId="3" borderId="11" xfId="4" applyNumberForma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4" fontId="0" fillId="2" borderId="0" xfId="0" applyNumberFormat="1" applyFill="1" applyBorder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3" fillId="0" borderId="0" xfId="3" applyNumberFormat="1" applyBorder="1">
      <alignment vertical="center"/>
    </xf>
    <xf numFmtId="177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0" fontId="3" fillId="3" borderId="8" xfId="4" applyFill="1" applyBorder="1" applyAlignment="1">
      <alignment horizontal="center" vertical="center" wrapText="1"/>
    </xf>
    <xf numFmtId="0" fontId="3" fillId="3" borderId="13" xfId="4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NumberFormat="1" applyFont="1" applyFill="1" applyAlignment="1">
      <alignment vertical="center"/>
    </xf>
    <xf numFmtId="0" fontId="8" fillId="4" borderId="0" xfId="0" applyNumberFormat="1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0" fillId="4" borderId="19" xfId="0" applyFill="1" applyBorder="1">
      <alignment vertical="center"/>
    </xf>
    <xf numFmtId="0" fontId="0" fillId="5" borderId="0" xfId="0" applyFill="1">
      <alignment vertical="center"/>
    </xf>
    <xf numFmtId="0" fontId="9" fillId="5" borderId="0" xfId="0" applyFont="1" applyFill="1" applyAlignment="1">
      <alignment vertical="center"/>
    </xf>
    <xf numFmtId="0" fontId="3" fillId="3" borderId="8" xfId="4" applyFill="1" applyBorder="1" applyAlignment="1">
      <alignment horizontal="center" vertical="center" wrapText="1"/>
    </xf>
    <xf numFmtId="0" fontId="3" fillId="3" borderId="13" xfId="4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178" fontId="3" fillId="3" borderId="6" xfId="4" applyNumberFormat="1" applyFill="1" applyBorder="1" applyAlignment="1">
      <alignment horizontal="center" vertical="center" wrapText="1"/>
    </xf>
    <xf numFmtId="178" fontId="3" fillId="3" borderId="11" xfId="4" applyNumberFormat="1" applyFill="1" applyBorder="1" applyAlignment="1">
      <alignment horizontal="center" vertical="center" wrapText="1"/>
    </xf>
    <xf numFmtId="178" fontId="0" fillId="0" borderId="0" xfId="0" applyNumberFormat="1" applyAlignment="1"/>
    <xf numFmtId="178" fontId="3" fillId="0" borderId="19" xfId="1" applyNumberFormat="1" applyFont="1" applyBorder="1">
      <alignment vertical="center"/>
    </xf>
    <xf numFmtId="178" fontId="0" fillId="0" borderId="19" xfId="0" applyNumberFormat="1" applyBorder="1" applyAlignment="1"/>
    <xf numFmtId="178" fontId="0" fillId="0" borderId="0" xfId="0" applyNumberFormat="1" applyBorder="1" applyAlignment="1"/>
    <xf numFmtId="0" fontId="10" fillId="0" borderId="0" xfId="0" applyFont="1">
      <alignment vertical="center"/>
    </xf>
    <xf numFmtId="0" fontId="0" fillId="2" borderId="0" xfId="0" applyNumberFormat="1" applyFill="1">
      <alignment vertical="center"/>
    </xf>
    <xf numFmtId="177" fontId="0" fillId="2" borderId="0" xfId="0" applyNumberFormat="1" applyFill="1">
      <alignment vertical="center"/>
    </xf>
    <xf numFmtId="177" fontId="0" fillId="2" borderId="0" xfId="0" applyNumberFormat="1" applyFill="1" applyAlignment="1">
      <alignment vertical="center"/>
    </xf>
    <xf numFmtId="0" fontId="9" fillId="6" borderId="19" xfId="0" applyFont="1" applyFill="1" applyBorder="1" applyAlignment="1">
      <alignment vertical="center"/>
    </xf>
    <xf numFmtId="0" fontId="10" fillId="0" borderId="19" xfId="0" applyFont="1" applyBorder="1">
      <alignment vertical="center"/>
    </xf>
    <xf numFmtId="0" fontId="8" fillId="6" borderId="19" xfId="0" applyNumberFormat="1" applyFont="1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/>
    </xf>
    <xf numFmtId="177" fontId="0" fillId="0" borderId="18" xfId="0" applyNumberFormat="1" applyBorder="1" applyAlignment="1">
      <alignment horizontal="center" vertical="center"/>
    </xf>
    <xf numFmtId="0" fontId="0" fillId="0" borderId="24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18" xfId="0" applyNumberFormat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6" borderId="24" xfId="0" applyFont="1" applyFill="1" applyBorder="1" applyAlignment="1">
      <alignment vertical="center"/>
    </xf>
    <xf numFmtId="178" fontId="0" fillId="0" borderId="18" xfId="0" applyNumberFormat="1" applyBorder="1" applyAlignment="1"/>
    <xf numFmtId="177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25" xfId="0" applyBorder="1">
      <alignment vertical="center"/>
    </xf>
    <xf numFmtId="0" fontId="0" fillId="7" borderId="10" xfId="0" applyFill="1" applyBorder="1">
      <alignment vertical="center"/>
    </xf>
    <xf numFmtId="0" fontId="0" fillId="7" borderId="25" xfId="0" applyFill="1" applyBorder="1">
      <alignment vertical="center"/>
    </xf>
    <xf numFmtId="0" fontId="0" fillId="0" borderId="33" xfId="0" applyBorder="1">
      <alignment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2" borderId="19" xfId="0" applyFill="1" applyBorder="1">
      <alignment vertical="center"/>
    </xf>
    <xf numFmtId="0" fontId="0" fillId="0" borderId="0" xfId="0" applyBorder="1" applyAlignment="1">
      <alignment horizontal="center" vertical="center"/>
    </xf>
    <xf numFmtId="177" fontId="15" fillId="4" borderId="31" xfId="0" applyNumberFormat="1" applyFont="1" applyFill="1" applyBorder="1" applyAlignment="1">
      <alignment vertical="center"/>
    </xf>
    <xf numFmtId="0" fontId="16" fillId="4" borderId="31" xfId="0" applyNumberFormat="1" applyFont="1" applyFill="1" applyBorder="1" applyAlignment="1">
      <alignment vertical="center"/>
    </xf>
    <xf numFmtId="0" fontId="15" fillId="4" borderId="31" xfId="0" applyFont="1" applyFill="1" applyBorder="1">
      <alignment vertical="center"/>
    </xf>
    <xf numFmtId="0" fontId="16" fillId="4" borderId="31" xfId="0" applyFont="1" applyFill="1" applyBorder="1">
      <alignment vertical="center"/>
    </xf>
    <xf numFmtId="0" fontId="16" fillId="4" borderId="31" xfId="0" applyFont="1" applyFill="1" applyBorder="1" applyAlignment="1">
      <alignment vertical="center"/>
    </xf>
    <xf numFmtId="0" fontId="8" fillId="0" borderId="19" xfId="0" applyFont="1" applyBorder="1">
      <alignment vertical="center"/>
    </xf>
    <xf numFmtId="0" fontId="0" fillId="0" borderId="36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>
      <alignment vertical="center"/>
    </xf>
    <xf numFmtId="0" fontId="15" fillId="4" borderId="31" xfId="0" applyNumberFormat="1" applyFont="1" applyFill="1" applyBorder="1" applyAlignment="1">
      <alignment vertical="center"/>
    </xf>
    <xf numFmtId="0" fontId="15" fillId="4" borderId="41" xfId="0" applyNumberFormat="1" applyFont="1" applyFill="1" applyBorder="1" applyAlignment="1">
      <alignment vertical="center"/>
    </xf>
    <xf numFmtId="0" fontId="0" fillId="7" borderId="35" xfId="0" applyFill="1" applyBorder="1">
      <alignment vertical="center"/>
    </xf>
    <xf numFmtId="0" fontId="0" fillId="7" borderId="36" xfId="0" applyFill="1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48" xfId="0" applyFill="1" applyBorder="1">
      <alignment vertical="center"/>
    </xf>
    <xf numFmtId="0" fontId="0" fillId="8" borderId="49" xfId="0" applyFill="1" applyBorder="1">
      <alignment vertical="center"/>
    </xf>
    <xf numFmtId="0" fontId="17" fillId="8" borderId="33" xfId="0" applyFont="1" applyFill="1" applyBorder="1" applyAlignment="1">
      <alignment horizontal="center" vertical="center"/>
    </xf>
    <xf numFmtId="0" fontId="18" fillId="8" borderId="22" xfId="0" applyFont="1" applyFill="1" applyBorder="1">
      <alignment vertical="center"/>
    </xf>
    <xf numFmtId="0" fontId="18" fillId="8" borderId="51" xfId="0" applyFont="1" applyFill="1" applyBorder="1">
      <alignment vertical="center"/>
    </xf>
    <xf numFmtId="0" fontId="0" fillId="8" borderId="53" xfId="0" applyFill="1" applyBorder="1" applyAlignment="1">
      <alignment horizontal="center" vertical="center"/>
    </xf>
    <xf numFmtId="0" fontId="0" fillId="8" borderId="54" xfId="0" applyFill="1" applyBorder="1">
      <alignment vertical="center"/>
    </xf>
    <xf numFmtId="0" fontId="0" fillId="8" borderId="55" xfId="0" applyFill="1" applyBorder="1">
      <alignment vertical="center"/>
    </xf>
    <xf numFmtId="177" fontId="17" fillId="0" borderId="18" xfId="0" applyNumberFormat="1" applyFont="1" applyBorder="1" applyAlignment="1">
      <alignment vertical="center"/>
    </xf>
    <xf numFmtId="0" fontId="17" fillId="0" borderId="19" xfId="0" applyFont="1" applyBorder="1" applyAlignment="1">
      <alignment horizontal="center" vertical="center"/>
    </xf>
    <xf numFmtId="0" fontId="18" fillId="0" borderId="19" xfId="0" applyFont="1" applyBorder="1">
      <alignment vertical="center"/>
    </xf>
    <xf numFmtId="0" fontId="18" fillId="0" borderId="24" xfId="0" applyFont="1" applyBorder="1">
      <alignment vertical="center"/>
    </xf>
    <xf numFmtId="177" fontId="17" fillId="0" borderId="2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78" fontId="18" fillId="0" borderId="19" xfId="0" applyNumberFormat="1" applyFont="1" applyBorder="1" applyAlignment="1">
      <alignment horizontal="center"/>
    </xf>
    <xf numFmtId="0" fontId="18" fillId="0" borderId="35" xfId="0" applyFont="1" applyBorder="1" applyAlignment="1">
      <alignment horizontal="center" vertical="center"/>
    </xf>
    <xf numFmtId="0" fontId="18" fillId="0" borderId="35" xfId="0" applyFont="1" applyBorder="1">
      <alignment vertical="center"/>
    </xf>
    <xf numFmtId="0" fontId="18" fillId="0" borderId="36" xfId="0" applyFont="1" applyBorder="1">
      <alignment vertical="center"/>
    </xf>
    <xf numFmtId="0" fontId="0" fillId="7" borderId="58" xfId="0" applyFill="1" applyBorder="1">
      <alignment vertical="center"/>
    </xf>
    <xf numFmtId="0" fontId="0" fillId="7" borderId="59" xfId="0" applyFill="1" applyBorder="1">
      <alignment vertical="center"/>
    </xf>
    <xf numFmtId="0" fontId="0" fillId="6" borderId="19" xfId="0" applyFill="1" applyBorder="1">
      <alignment vertical="center"/>
    </xf>
    <xf numFmtId="0" fontId="0" fillId="0" borderId="48" xfId="0" applyBorder="1" applyAlignment="1">
      <alignment horizontal="center" vertical="center"/>
    </xf>
    <xf numFmtId="0" fontId="0" fillId="6" borderId="24" xfId="0" applyFill="1" applyBorder="1">
      <alignment vertical="center"/>
    </xf>
    <xf numFmtId="0" fontId="0" fillId="0" borderId="45" xfId="0" applyBorder="1">
      <alignment vertical="center"/>
    </xf>
    <xf numFmtId="0" fontId="3" fillId="3" borderId="8" xfId="4" applyFill="1" applyBorder="1" applyAlignment="1">
      <alignment horizontal="center" vertical="center" wrapText="1"/>
    </xf>
    <xf numFmtId="0" fontId="3" fillId="3" borderId="13" xfId="4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19" xfId="3" applyNumberFormat="1" applyFill="1" applyBorder="1">
      <alignment vertical="center"/>
    </xf>
    <xf numFmtId="178" fontId="3" fillId="0" borderId="0" xfId="1" applyNumberFormat="1" applyFont="1" applyBorder="1">
      <alignment vertical="center"/>
    </xf>
    <xf numFmtId="0" fontId="3" fillId="2" borderId="17" xfId="3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8" borderId="33" xfId="0" applyFont="1" applyFill="1" applyBorder="1" applyAlignment="1">
      <alignment horizontal="center" vertical="center"/>
    </xf>
    <xf numFmtId="0" fontId="9" fillId="8" borderId="22" xfId="0" applyFont="1" applyFill="1" applyBorder="1">
      <alignment vertical="center"/>
    </xf>
    <xf numFmtId="0" fontId="9" fillId="8" borderId="51" xfId="0" applyFont="1" applyFill="1" applyBorder="1">
      <alignment vertical="center"/>
    </xf>
    <xf numFmtId="0" fontId="0" fillId="0" borderId="33" xfId="0" applyBorder="1" applyAlignment="1">
      <alignment vertical="center"/>
    </xf>
    <xf numFmtId="0" fontId="0" fillId="0" borderId="0" xfId="0" applyBorder="1" applyAlignmen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9" borderId="0" xfId="0" applyNumberFormat="1" applyFill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3" fillId="0" borderId="22" xfId="3" applyNumberFormat="1" applyFill="1" applyBorder="1">
      <alignment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center" vertical="center"/>
    </xf>
    <xf numFmtId="0" fontId="9" fillId="6" borderId="19" xfId="0" applyFont="1" applyFill="1" applyBorder="1" applyAlignment="1">
      <alignment vertical="center"/>
    </xf>
    <xf numFmtId="0" fontId="8" fillId="6" borderId="19" xfId="0" applyNumberFormat="1" applyFont="1" applyFill="1" applyBorder="1" applyAlignment="1">
      <alignment horizontal="center" vertical="center"/>
    </xf>
    <xf numFmtId="178" fontId="0" fillId="0" borderId="19" xfId="0" applyNumberFormat="1" applyBorder="1" applyAlignment="1">
      <alignment horizontal="center"/>
    </xf>
    <xf numFmtId="177" fontId="0" fillId="0" borderId="18" xfId="0" applyNumberFormat="1" applyBorder="1" applyAlignment="1">
      <alignment horizontal="center" vertical="center"/>
    </xf>
    <xf numFmtId="0" fontId="0" fillId="0" borderId="24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18" xfId="0" applyNumberFormat="1" applyBorder="1" applyAlignment="1">
      <alignment vertical="center"/>
    </xf>
    <xf numFmtId="0" fontId="9" fillId="0" borderId="18" xfId="0" applyNumberFormat="1" applyFont="1" applyFill="1" applyBorder="1" applyAlignment="1">
      <alignment vertical="center"/>
    </xf>
    <xf numFmtId="0" fontId="9" fillId="6" borderId="24" xfId="0" applyFont="1" applyFill="1" applyBorder="1" applyAlignment="1">
      <alignment vertical="center"/>
    </xf>
    <xf numFmtId="0" fontId="0" fillId="7" borderId="10" xfId="0" applyFill="1" applyBorder="1">
      <alignment vertical="center"/>
    </xf>
    <xf numFmtId="0" fontId="0" fillId="7" borderId="25" xfId="0" applyFill="1" applyBorder="1">
      <alignment vertical="center"/>
    </xf>
    <xf numFmtId="177" fontId="0" fillId="0" borderId="28" xfId="0" applyNumberFormat="1" applyBorder="1" applyAlignment="1">
      <alignment horizontal="center" vertical="center"/>
    </xf>
    <xf numFmtId="0" fontId="0" fillId="2" borderId="19" xfId="0" applyFill="1" applyBorder="1">
      <alignment vertical="center"/>
    </xf>
    <xf numFmtId="177" fontId="15" fillId="4" borderId="31" xfId="0" applyNumberFormat="1" applyFont="1" applyFill="1" applyBorder="1" applyAlignment="1">
      <alignment vertical="center"/>
    </xf>
    <xf numFmtId="0" fontId="16" fillId="4" borderId="31" xfId="0" applyNumberFormat="1" applyFont="1" applyFill="1" applyBorder="1" applyAlignment="1">
      <alignment vertical="center"/>
    </xf>
    <xf numFmtId="0" fontId="15" fillId="4" borderId="31" xfId="0" applyFont="1" applyFill="1" applyBorder="1">
      <alignment vertical="center"/>
    </xf>
    <xf numFmtId="0" fontId="16" fillId="4" borderId="31" xfId="0" applyFont="1" applyFill="1" applyBorder="1">
      <alignment vertical="center"/>
    </xf>
    <xf numFmtId="0" fontId="16" fillId="4" borderId="31" xfId="0" applyFont="1" applyFill="1" applyBorder="1" applyAlignment="1">
      <alignment vertical="center"/>
    </xf>
    <xf numFmtId="0" fontId="8" fillId="0" borderId="19" xfId="0" applyFont="1" applyBorder="1">
      <alignment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0" xfId="0" applyBorder="1">
      <alignment vertical="center"/>
    </xf>
    <xf numFmtId="176" fontId="3" fillId="0" borderId="60" xfId="3" applyNumberFormat="1" applyBorder="1">
      <alignment vertical="center"/>
    </xf>
    <xf numFmtId="0" fontId="0" fillId="0" borderId="0" xfId="0" applyNumberFormat="1" applyBorder="1">
      <alignment vertical="center"/>
    </xf>
    <xf numFmtId="49" fontId="0" fillId="0" borderId="19" xfId="0" applyNumberFormat="1" applyBorder="1">
      <alignment vertical="center"/>
    </xf>
    <xf numFmtId="0" fontId="0" fillId="4" borderId="0" xfId="0" applyFill="1">
      <alignment vertical="center"/>
    </xf>
    <xf numFmtId="0" fontId="0" fillId="4" borderId="18" xfId="0" applyFill="1" applyBorder="1">
      <alignment vertical="center"/>
    </xf>
    <xf numFmtId="176" fontId="3" fillId="4" borderId="19" xfId="3" applyNumberFormat="1" applyFill="1" applyBorder="1">
      <alignment vertical="center"/>
    </xf>
    <xf numFmtId="0" fontId="3" fillId="4" borderId="20" xfId="3" applyNumberFormat="1" applyFill="1" applyBorder="1">
      <alignment vertical="center"/>
    </xf>
    <xf numFmtId="14" fontId="0" fillId="4" borderId="0" xfId="0" applyNumberFormat="1" applyFill="1">
      <alignment vertical="center"/>
    </xf>
    <xf numFmtId="0" fontId="0" fillId="4" borderId="0" xfId="0" applyNumberFormat="1" applyFill="1">
      <alignment vertical="center"/>
    </xf>
    <xf numFmtId="0" fontId="3" fillId="4" borderId="0" xfId="3" applyNumberFormat="1" applyFill="1" applyBorder="1">
      <alignment vertical="center"/>
    </xf>
    <xf numFmtId="0" fontId="3" fillId="4" borderId="19" xfId="3" applyNumberFormat="1" applyFill="1" applyBorder="1">
      <alignment vertical="center"/>
    </xf>
    <xf numFmtId="0" fontId="3" fillId="4" borderId="21" xfId="3" applyNumberFormat="1" applyFill="1" applyBorder="1">
      <alignment vertical="center"/>
    </xf>
    <xf numFmtId="0" fontId="3" fillId="4" borderId="21" xfId="3" applyNumberForma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/>
    </xf>
    <xf numFmtId="0" fontId="3" fillId="0" borderId="20" xfId="3" applyNumberFormat="1" applyFill="1" applyBorder="1">
      <alignment vertical="center"/>
    </xf>
    <xf numFmtId="0" fontId="3" fillId="0" borderId="60" xfId="3" applyNumberFormat="1" applyBorder="1">
      <alignment vertical="center"/>
    </xf>
    <xf numFmtId="0" fontId="3" fillId="0" borderId="19" xfId="3" applyNumberFormat="1" applyFill="1" applyBorder="1">
      <alignment vertical="center"/>
    </xf>
    <xf numFmtId="0" fontId="3" fillId="0" borderId="22" xfId="3" applyNumberFormat="1" applyBorder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12" xfId="3" applyNumberFormat="1" applyFill="1" applyBorder="1" applyAlignment="1">
      <alignment horizontal="center" vertical="center" wrapText="1"/>
    </xf>
    <xf numFmtId="0" fontId="3" fillId="3" borderId="13" xfId="4" applyFill="1" applyBorder="1" applyAlignment="1">
      <alignment horizontal="center" vertical="center" wrapText="1"/>
    </xf>
    <xf numFmtId="0" fontId="7" fillId="3" borderId="10" xfId="4" applyNumberFormat="1" applyFont="1" applyFill="1" applyBorder="1" applyAlignment="1">
      <alignment horizontal="center" vertical="center" wrapText="1"/>
    </xf>
    <xf numFmtId="0" fontId="7" fillId="3" borderId="10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6" fillId="3" borderId="54" xfId="3" applyFont="1" applyFill="1" applyBorder="1" applyAlignment="1">
      <alignment horizontal="center" vertical="center" wrapText="1"/>
    </xf>
    <xf numFmtId="0" fontId="6" fillId="3" borderId="12" xfId="3" applyNumberFormat="1" applyFont="1" applyFill="1" applyBorder="1" applyAlignment="1">
      <alignment horizontal="center" vertical="center" wrapText="1"/>
    </xf>
    <xf numFmtId="0" fontId="3" fillId="3" borderId="64" xfId="4" applyFill="1" applyBorder="1" applyAlignment="1">
      <alignment horizontal="center" vertical="center" wrapText="1"/>
    </xf>
    <xf numFmtId="0" fontId="0" fillId="9" borderId="0" xfId="0" applyNumberFormat="1" applyFill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31" fontId="0" fillId="0" borderId="0" xfId="0" applyNumberFormat="1">
      <alignment vertical="center"/>
    </xf>
    <xf numFmtId="55" fontId="0" fillId="0" borderId="0" xfId="0" applyNumberFormat="1">
      <alignment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8" xfId="0" applyFill="1" applyBorder="1">
      <alignment vertical="center"/>
    </xf>
    <xf numFmtId="176" fontId="3" fillId="2" borderId="19" xfId="3" applyNumberFormat="1" applyFill="1" applyBorder="1">
      <alignment vertical="center"/>
    </xf>
    <xf numFmtId="0" fontId="3" fillId="2" borderId="20" xfId="3" applyNumberFormat="1" applyFill="1" applyBorder="1">
      <alignment vertical="center"/>
    </xf>
    <xf numFmtId="14" fontId="0" fillId="2" borderId="0" xfId="0" applyNumberFormat="1" applyFill="1">
      <alignment vertical="center"/>
    </xf>
    <xf numFmtId="0" fontId="3" fillId="2" borderId="21" xfId="3" applyNumberFormat="1" applyFill="1" applyBorder="1">
      <alignment vertical="center"/>
    </xf>
    <xf numFmtId="0" fontId="0" fillId="2" borderId="0" xfId="0" applyNumberFormat="1" applyFill="1" applyAlignment="1">
      <alignment horizontal="left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4" borderId="29" xfId="0" applyNumberFormat="1" applyFont="1" applyFill="1" applyBorder="1" applyAlignment="1">
      <alignment horizontal="center" vertical="center"/>
    </xf>
    <xf numFmtId="0" fontId="16" fillId="4" borderId="30" xfId="0" applyNumberFormat="1" applyFont="1" applyFill="1" applyBorder="1" applyAlignment="1">
      <alignment horizontal="center" vertical="center"/>
    </xf>
    <xf numFmtId="177" fontId="15" fillId="4" borderId="29" xfId="0" applyNumberFormat="1" applyFont="1" applyFill="1" applyBorder="1" applyAlignment="1">
      <alignment horizontal="center" vertical="center"/>
    </xf>
    <xf numFmtId="177" fontId="15" fillId="4" borderId="30" xfId="0" applyNumberFormat="1" applyFont="1" applyFill="1" applyBorder="1" applyAlignment="1">
      <alignment horizontal="center" vertical="center"/>
    </xf>
    <xf numFmtId="0" fontId="8" fillId="6" borderId="29" xfId="0" applyNumberFormat="1" applyFont="1" applyFill="1" applyBorder="1" applyAlignment="1">
      <alignment horizontal="center" vertical="center"/>
    </xf>
    <xf numFmtId="0" fontId="8" fillId="6" borderId="21" xfId="0" applyNumberFormat="1" applyFont="1" applyFill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77" fontId="16" fillId="4" borderId="29" xfId="0" applyNumberFormat="1" applyFont="1" applyFill="1" applyBorder="1" applyAlignment="1">
      <alignment horizontal="center" vertical="center"/>
    </xf>
    <xf numFmtId="177" fontId="16" fillId="4" borderId="30" xfId="0" applyNumberFormat="1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22" fillId="10" borderId="19" xfId="5" applyBorder="1">
      <alignment vertical="center"/>
    </xf>
    <xf numFmtId="0" fontId="23" fillId="0" borderId="18" xfId="0" applyFont="1" applyBorder="1">
      <alignment vertical="center"/>
    </xf>
    <xf numFmtId="0" fontId="23" fillId="0" borderId="19" xfId="0" applyFont="1" applyBorder="1">
      <alignment vertical="center"/>
    </xf>
    <xf numFmtId="0" fontId="0" fillId="0" borderId="0" xfId="0" applyAlignment="1">
      <alignment horizontal="left" vertical="center"/>
    </xf>
    <xf numFmtId="0" fontId="22" fillId="10" borderId="0" xfId="5">
      <alignment vertical="center"/>
    </xf>
    <xf numFmtId="0" fontId="26" fillId="0" borderId="65" xfId="6" applyFont="1" applyFill="1" applyBorder="1" applyAlignment="1">
      <alignment horizontal="distributed" vertical="center" wrapText="1" justifyLastLine="1"/>
    </xf>
    <xf numFmtId="0" fontId="26" fillId="0" borderId="66" xfId="6" applyFont="1" applyFill="1" applyBorder="1" applyAlignment="1">
      <alignment horizontal="distributed" vertical="center" wrapText="1" justifyLastLine="1"/>
    </xf>
    <xf numFmtId="0" fontId="26" fillId="0" borderId="67" xfId="6" applyFont="1" applyFill="1" applyBorder="1" applyAlignment="1">
      <alignment horizontal="distributed" vertical="center" wrapText="1" justifyLastLine="1"/>
    </xf>
    <xf numFmtId="0" fontId="27" fillId="0" borderId="65" xfId="6" applyFont="1" applyFill="1" applyBorder="1" applyAlignment="1">
      <alignment horizontal="distributed" vertical="center" wrapText="1" justifyLastLine="1"/>
    </xf>
    <xf numFmtId="0" fontId="27" fillId="0" borderId="68" xfId="6" applyFont="1" applyFill="1" applyBorder="1" applyAlignment="1">
      <alignment horizontal="distributed" vertical="center" wrapText="1" justifyLastLine="1"/>
    </xf>
    <xf numFmtId="0" fontId="3" fillId="0" borderId="65" xfId="6" applyBorder="1" applyAlignment="1">
      <alignment horizontal="distributed" vertical="center" wrapText="1" justifyLastLine="1"/>
    </xf>
    <xf numFmtId="0" fontId="3" fillId="0" borderId="0" xfId="6" applyAlignment="1">
      <alignment horizontal="distributed" vertical="center" wrapText="1" justifyLastLine="1"/>
    </xf>
    <xf numFmtId="0" fontId="3" fillId="0" borderId="0" xfId="6"/>
    <xf numFmtId="49" fontId="28" fillId="0" borderId="69" xfId="6" applyNumberFormat="1" applyFont="1" applyBorder="1" applyAlignment="1">
      <alignment horizontal="center" vertical="center"/>
    </xf>
    <xf numFmtId="49" fontId="28" fillId="0" borderId="70" xfId="6" applyNumberFormat="1" applyFont="1" applyBorder="1" applyAlignment="1">
      <alignment horizontal="center" vertical="center"/>
    </xf>
    <xf numFmtId="49" fontId="28" fillId="0" borderId="71" xfId="6" applyNumberFormat="1" applyFont="1" applyBorder="1" applyAlignment="1">
      <alignment horizontal="center" vertical="center"/>
    </xf>
    <xf numFmtId="0" fontId="26" fillId="0" borderId="69" xfId="6" applyFont="1" applyBorder="1" applyAlignment="1">
      <alignment vertical="center"/>
    </xf>
    <xf numFmtId="0" fontId="26" fillId="0" borderId="72" xfId="6" applyFont="1" applyBorder="1" applyAlignment="1">
      <alignment vertical="center"/>
    </xf>
    <xf numFmtId="0" fontId="26" fillId="0" borderId="72" xfId="6" applyNumberFormat="1" applyFont="1" applyBorder="1" applyAlignment="1">
      <alignment vertical="center"/>
    </xf>
    <xf numFmtId="0" fontId="3" fillId="0" borderId="69" xfId="6" applyBorder="1"/>
    <xf numFmtId="49" fontId="28" fillId="0" borderId="73" xfId="6" applyNumberFormat="1" applyFont="1" applyBorder="1" applyAlignment="1">
      <alignment horizontal="center" vertical="center"/>
    </xf>
    <xf numFmtId="49" fontId="28" fillId="0" borderId="0" xfId="6" applyNumberFormat="1" applyFont="1" applyBorder="1" applyAlignment="1">
      <alignment horizontal="center" vertical="center"/>
    </xf>
    <xf numFmtId="49" fontId="28" fillId="0" borderId="74" xfId="6" applyNumberFormat="1" applyFont="1" applyBorder="1" applyAlignment="1">
      <alignment horizontal="center" vertical="center"/>
    </xf>
    <xf numFmtId="0" fontId="26" fillId="0" borderId="73" xfId="6" applyFont="1" applyBorder="1" applyAlignment="1">
      <alignment vertical="center"/>
    </xf>
    <xf numFmtId="0" fontId="26" fillId="0" borderId="75" xfId="6" applyFont="1" applyBorder="1" applyAlignment="1">
      <alignment vertical="center"/>
    </xf>
    <xf numFmtId="0" fontId="26" fillId="0" borderId="75" xfId="6" applyNumberFormat="1" applyFont="1" applyBorder="1" applyAlignment="1">
      <alignment vertical="center"/>
    </xf>
    <xf numFmtId="0" fontId="3" fillId="0" borderId="73" xfId="6" applyBorder="1"/>
    <xf numFmtId="49" fontId="28" fillId="11" borderId="76" xfId="6" applyNumberFormat="1" applyFont="1" applyFill="1" applyBorder="1" applyAlignment="1">
      <alignment horizontal="center" vertical="center"/>
    </xf>
    <xf numFmtId="49" fontId="28" fillId="11" borderId="30" xfId="6" applyNumberFormat="1" applyFont="1" applyFill="1" applyBorder="1" applyAlignment="1">
      <alignment horizontal="center" vertical="center"/>
    </xf>
    <xf numFmtId="49" fontId="28" fillId="11" borderId="77" xfId="6" applyNumberFormat="1" applyFont="1" applyFill="1" applyBorder="1" applyAlignment="1">
      <alignment horizontal="center" vertical="center"/>
    </xf>
    <xf numFmtId="0" fontId="29" fillId="11" borderId="76" xfId="6" applyFont="1" applyFill="1" applyBorder="1" applyAlignment="1">
      <alignment vertical="center"/>
    </xf>
    <xf numFmtId="0" fontId="30" fillId="11" borderId="78" xfId="6" applyFont="1" applyFill="1" applyBorder="1" applyAlignment="1">
      <alignment vertical="center"/>
    </xf>
    <xf numFmtId="0" fontId="29" fillId="11" borderId="78" xfId="6" applyNumberFormat="1" applyFont="1" applyFill="1" applyBorder="1" applyAlignment="1">
      <alignment vertical="center"/>
    </xf>
    <xf numFmtId="0" fontId="31" fillId="11" borderId="76" xfId="6" applyFont="1" applyFill="1" applyBorder="1"/>
    <xf numFmtId="49" fontId="32" fillId="11" borderId="76" xfId="6" applyNumberFormat="1" applyFont="1" applyFill="1" applyBorder="1" applyAlignment="1">
      <alignment horizontal="center" vertical="center"/>
    </xf>
    <xf numFmtId="49" fontId="32" fillId="11" borderId="30" xfId="6" applyNumberFormat="1" applyFont="1" applyFill="1" applyBorder="1" applyAlignment="1">
      <alignment horizontal="center" vertical="center"/>
    </xf>
    <xf numFmtId="49" fontId="32" fillId="11" borderId="77" xfId="6" applyNumberFormat="1" applyFont="1" applyFill="1" applyBorder="1" applyAlignment="1">
      <alignment horizontal="center" vertical="center"/>
    </xf>
    <xf numFmtId="0" fontId="33" fillId="11" borderId="78" xfId="6" applyNumberFormat="1" applyFont="1" applyFill="1" applyBorder="1" applyAlignment="1">
      <alignment vertical="center"/>
    </xf>
    <xf numFmtId="0" fontId="33" fillId="11" borderId="76" xfId="6" applyFont="1" applyFill="1" applyBorder="1" applyAlignment="1">
      <alignment vertical="center"/>
    </xf>
    <xf numFmtId="0" fontId="33" fillId="11" borderId="78" xfId="6" applyFont="1" applyFill="1" applyBorder="1" applyAlignment="1">
      <alignment vertical="center"/>
    </xf>
    <xf numFmtId="49" fontId="28" fillId="0" borderId="76" xfId="6" applyNumberFormat="1" applyFont="1" applyBorder="1" applyAlignment="1">
      <alignment horizontal="center" vertical="center"/>
    </xf>
    <xf numFmtId="49" fontId="28" fillId="0" borderId="30" xfId="6" applyNumberFormat="1" applyFont="1" applyBorder="1" applyAlignment="1">
      <alignment horizontal="center" vertical="center"/>
    </xf>
    <xf numFmtId="49" fontId="28" fillId="0" borderId="77" xfId="6" applyNumberFormat="1" applyFont="1" applyBorder="1" applyAlignment="1">
      <alignment horizontal="center" vertical="center"/>
    </xf>
    <xf numFmtId="0" fontId="26" fillId="0" borderId="76" xfId="6" applyFont="1" applyBorder="1" applyAlignment="1">
      <alignment vertical="center"/>
    </xf>
    <xf numFmtId="0" fontId="26" fillId="0" borderId="78" xfId="6" applyFont="1" applyBorder="1" applyAlignment="1">
      <alignment vertical="center"/>
    </xf>
    <xf numFmtId="0" fontId="26" fillId="0" borderId="78" xfId="6" applyNumberFormat="1" applyFont="1" applyBorder="1" applyAlignment="1">
      <alignment vertical="center"/>
    </xf>
    <xf numFmtId="0" fontId="3" fillId="0" borderId="76" xfId="6" applyBorder="1"/>
    <xf numFmtId="0" fontId="31" fillId="0" borderId="76" xfId="6" applyFont="1" applyBorder="1"/>
    <xf numFmtId="0" fontId="26" fillId="11" borderId="78" xfId="6" applyFont="1" applyFill="1" applyBorder="1" applyAlignment="1">
      <alignment vertical="center"/>
    </xf>
    <xf numFmtId="49" fontId="34" fillId="0" borderId="77" xfId="6" applyNumberFormat="1" applyFont="1" applyBorder="1" applyAlignment="1">
      <alignment horizontal="center" vertical="center"/>
    </xf>
    <xf numFmtId="0" fontId="30" fillId="0" borderId="76" xfId="6" applyFont="1" applyBorder="1" applyAlignment="1">
      <alignment vertical="center"/>
    </xf>
    <xf numFmtId="0" fontId="30" fillId="0" borderId="78" xfId="6" applyFont="1" applyBorder="1" applyAlignment="1">
      <alignment vertical="center"/>
    </xf>
    <xf numFmtId="0" fontId="30" fillId="0" borderId="78" xfId="6" applyNumberFormat="1" applyFont="1" applyBorder="1" applyAlignment="1">
      <alignment vertical="center"/>
    </xf>
    <xf numFmtId="0" fontId="35" fillId="0" borderId="76" xfId="6" applyFont="1" applyBorder="1" applyAlignment="1">
      <alignment vertical="center"/>
    </xf>
    <xf numFmtId="0" fontId="35" fillId="0" borderId="78" xfId="6" applyFont="1" applyBorder="1" applyAlignment="1">
      <alignment vertical="center"/>
    </xf>
    <xf numFmtId="0" fontId="35" fillId="0" borderId="78" xfId="6" applyNumberFormat="1" applyFont="1" applyBorder="1" applyAlignment="1">
      <alignment vertical="center"/>
    </xf>
    <xf numFmtId="0" fontId="29" fillId="0" borderId="76" xfId="6" applyFont="1" applyBorder="1" applyAlignment="1">
      <alignment vertical="center"/>
    </xf>
    <xf numFmtId="49" fontId="36" fillId="0" borderId="76" xfId="6" applyNumberFormat="1" applyFont="1" applyBorder="1" applyAlignment="1">
      <alignment horizontal="center" vertical="center"/>
    </xf>
    <xf numFmtId="49" fontId="36" fillId="0" borderId="30" xfId="6" applyNumberFormat="1" applyFont="1" applyBorder="1" applyAlignment="1">
      <alignment horizontal="center" vertical="center"/>
    </xf>
    <xf numFmtId="49" fontId="28" fillId="0" borderId="79" xfId="6" applyNumberFormat="1" applyFont="1" applyBorder="1" applyAlignment="1">
      <alignment horizontal="center" vertical="center"/>
    </xf>
    <xf numFmtId="49" fontId="28" fillId="0" borderId="80" xfId="6" applyNumberFormat="1" applyFont="1" applyBorder="1" applyAlignment="1">
      <alignment horizontal="center" vertical="center"/>
    </xf>
    <xf numFmtId="49" fontId="28" fillId="0" borderId="81" xfId="6" applyNumberFormat="1" applyFont="1" applyBorder="1" applyAlignment="1">
      <alignment horizontal="center" vertical="center"/>
    </xf>
    <xf numFmtId="0" fontId="26" fillId="0" borderId="79" xfId="6" applyFont="1" applyBorder="1" applyAlignment="1">
      <alignment vertical="center"/>
    </xf>
    <xf numFmtId="0" fontId="26" fillId="0" borderId="82" xfId="6" applyFont="1" applyBorder="1" applyAlignment="1">
      <alignment vertical="center"/>
    </xf>
    <xf numFmtId="0" fontId="26" fillId="0" borderId="82" xfId="6" applyNumberFormat="1" applyFont="1" applyBorder="1" applyAlignment="1">
      <alignment vertical="center"/>
    </xf>
    <xf numFmtId="0" fontId="3" fillId="0" borderId="79" xfId="6" applyBorder="1"/>
    <xf numFmtId="49" fontId="28" fillId="0" borderId="0" xfId="6" applyNumberFormat="1" applyFont="1" applyAlignment="1">
      <alignment vertical="center"/>
    </xf>
    <xf numFmtId="49" fontId="28" fillId="0" borderId="0" xfId="6" applyNumberFormat="1" applyFont="1" applyAlignment="1">
      <alignment horizontal="center" vertical="center"/>
    </xf>
    <xf numFmtId="49" fontId="28" fillId="0" borderId="1" xfId="6" applyNumberFormat="1" applyFont="1" applyBorder="1" applyAlignment="1">
      <alignment horizontal="center" vertical="center"/>
    </xf>
    <xf numFmtId="0" fontId="31" fillId="0" borderId="0" xfId="6" applyFont="1" applyAlignment="1">
      <alignment vertical="center"/>
    </xf>
    <xf numFmtId="0" fontId="0" fillId="0" borderId="10" xfId="0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3" fillId="0" borderId="22" xfId="0" applyFont="1" applyBorder="1">
      <alignment vertical="center"/>
    </xf>
    <xf numFmtId="0" fontId="16" fillId="4" borderId="29" xfId="0" applyNumberFormat="1" applyFont="1" applyFill="1" applyBorder="1" applyAlignment="1">
      <alignment horizontal="centerContinuous" vertical="center"/>
    </xf>
    <xf numFmtId="0" fontId="16" fillId="4" borderId="30" xfId="0" applyNumberFormat="1" applyFont="1" applyFill="1" applyBorder="1" applyAlignment="1">
      <alignment horizontal="centerContinuous" vertical="center"/>
    </xf>
    <xf numFmtId="0" fontId="0" fillId="7" borderId="32" xfId="0" applyFill="1" applyBorder="1" applyAlignment="1">
      <alignment horizontal="centerContinuous" vertical="center"/>
    </xf>
    <xf numFmtId="0" fontId="0" fillId="7" borderId="13" xfId="0" applyFill="1" applyBorder="1" applyAlignment="1">
      <alignment horizontal="centerContinuous" vertical="center"/>
    </xf>
    <xf numFmtId="0" fontId="8" fillId="6" borderId="29" xfId="0" applyNumberFormat="1" applyFont="1" applyFill="1" applyBorder="1" applyAlignment="1">
      <alignment horizontal="centerContinuous" vertical="center"/>
    </xf>
    <xf numFmtId="0" fontId="8" fillId="6" borderId="21" xfId="0" applyNumberFormat="1" applyFont="1" applyFill="1" applyBorder="1" applyAlignment="1">
      <alignment horizontal="centerContinuous" vertical="center"/>
    </xf>
    <xf numFmtId="177" fontId="15" fillId="4" borderId="29" xfId="0" applyNumberFormat="1" applyFont="1" applyFill="1" applyBorder="1" applyAlignment="1">
      <alignment horizontal="centerContinuous" vertical="center"/>
    </xf>
    <xf numFmtId="177" fontId="15" fillId="4" borderId="30" xfId="0" applyNumberFormat="1" applyFont="1" applyFill="1" applyBorder="1" applyAlignment="1">
      <alignment horizontal="centerContinuous" vertical="center"/>
    </xf>
    <xf numFmtId="177" fontId="16" fillId="4" borderId="29" xfId="0" applyNumberFormat="1" applyFont="1" applyFill="1" applyBorder="1" applyAlignment="1">
      <alignment horizontal="centerContinuous" vertical="center"/>
    </xf>
    <xf numFmtId="177" fontId="16" fillId="4" borderId="30" xfId="0" applyNumberFormat="1" applyFont="1" applyFill="1" applyBorder="1" applyAlignment="1">
      <alignment horizontal="centerContinuous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 wrapText="1"/>
    </xf>
    <xf numFmtId="0" fontId="6" fillId="3" borderId="10" xfId="3" applyFont="1" applyFill="1" applyBorder="1" applyAlignment="1">
      <alignment horizontal="center" vertical="center" wrapText="1"/>
    </xf>
    <xf numFmtId="0" fontId="6" fillId="3" borderId="6" xfId="3" applyNumberFormat="1" applyFont="1" applyFill="1" applyBorder="1" applyAlignment="1">
      <alignment horizontal="center" vertical="center" wrapText="1"/>
    </xf>
    <xf numFmtId="0" fontId="6" fillId="3" borderId="11" xfId="3" applyNumberFormat="1" applyFont="1" applyFill="1" applyBorder="1" applyAlignment="1">
      <alignment horizontal="center" vertical="center" wrapText="1"/>
    </xf>
    <xf numFmtId="0" fontId="3" fillId="3" borderId="7" xfId="3" applyNumberFormat="1" applyFill="1" applyBorder="1" applyAlignment="1">
      <alignment horizontal="center" vertical="center" wrapText="1"/>
    </xf>
    <xf numFmtId="0" fontId="3" fillId="3" borderId="12" xfId="3" applyNumberFormat="1" applyFill="1" applyBorder="1" applyAlignment="1">
      <alignment horizontal="center" vertical="center" wrapText="1"/>
    </xf>
    <xf numFmtId="0" fontId="3" fillId="3" borderId="8" xfId="4" applyFill="1" applyBorder="1" applyAlignment="1">
      <alignment horizontal="center" vertical="center" wrapText="1"/>
    </xf>
    <xf numFmtId="0" fontId="3" fillId="3" borderId="13" xfId="4" applyFill="1" applyBorder="1" applyAlignment="1">
      <alignment horizontal="center" vertical="center" wrapText="1"/>
    </xf>
    <xf numFmtId="0" fontId="7" fillId="3" borderId="5" xfId="4" applyNumberFormat="1" applyFont="1" applyFill="1" applyBorder="1" applyAlignment="1">
      <alignment horizontal="center" vertical="center" wrapText="1"/>
    </xf>
    <xf numFmtId="0" fontId="7" fillId="3" borderId="10" xfId="4" applyNumberFormat="1" applyFont="1" applyFill="1" applyBorder="1" applyAlignment="1">
      <alignment horizontal="center" vertical="center" wrapText="1"/>
    </xf>
    <xf numFmtId="0" fontId="7" fillId="3" borderId="5" xfId="4" applyFont="1" applyFill="1" applyBorder="1" applyAlignment="1">
      <alignment horizontal="center" vertical="center" wrapText="1"/>
    </xf>
    <xf numFmtId="0" fontId="7" fillId="3" borderId="10" xfId="4" applyFont="1" applyFill="1" applyBorder="1" applyAlignment="1">
      <alignment horizontal="center" vertical="center" wrapText="1"/>
    </xf>
    <xf numFmtId="0" fontId="4" fillId="0" borderId="1" xfId="2" applyNumberFormat="1" applyFont="1" applyBorder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4" fillId="0" borderId="3" xfId="2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8" fillId="6" borderId="29" xfId="0" applyNumberFormat="1" applyFont="1" applyFill="1" applyBorder="1" applyAlignment="1">
      <alignment horizontal="center" vertical="center"/>
    </xf>
    <xf numFmtId="0" fontId="8" fillId="6" borderId="21" xfId="0" applyNumberFormat="1" applyFont="1" applyFill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6" fillId="4" borderId="29" xfId="0" applyNumberFormat="1" applyFont="1" applyFill="1" applyBorder="1" applyAlignment="1">
      <alignment horizontal="center" vertical="center"/>
    </xf>
    <xf numFmtId="0" fontId="16" fillId="4" borderId="30" xfId="0" applyNumberFormat="1" applyFont="1" applyFill="1" applyBorder="1" applyAlignment="1">
      <alignment horizontal="center" vertical="center"/>
    </xf>
    <xf numFmtId="177" fontId="16" fillId="4" borderId="29" xfId="0" applyNumberFormat="1" applyFont="1" applyFill="1" applyBorder="1" applyAlignment="1">
      <alignment horizontal="center" vertical="center"/>
    </xf>
    <xf numFmtId="177" fontId="16" fillId="4" borderId="30" xfId="0" applyNumberFormat="1" applyFont="1" applyFill="1" applyBorder="1" applyAlignment="1">
      <alignment horizontal="center" vertical="center"/>
    </xf>
    <xf numFmtId="177" fontId="15" fillId="4" borderId="29" xfId="0" applyNumberFormat="1" applyFont="1" applyFill="1" applyBorder="1" applyAlignment="1">
      <alignment horizontal="center" vertical="center"/>
    </xf>
    <xf numFmtId="177" fontId="15" fillId="4" borderId="30" xfId="0" applyNumberFormat="1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4" fillId="0" borderId="61" xfId="2" applyNumberFormat="1" applyFont="1" applyBorder="1" applyAlignment="1">
      <alignment horizontal="center" vertical="center"/>
    </xf>
    <xf numFmtId="0" fontId="4" fillId="0" borderId="62" xfId="2" applyNumberFormat="1" applyFont="1" applyBorder="1" applyAlignment="1">
      <alignment horizontal="center" vertical="center"/>
    </xf>
    <xf numFmtId="0" fontId="4" fillId="0" borderId="63" xfId="2" applyNumberFormat="1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177" fontId="19" fillId="0" borderId="5" xfId="0" applyNumberFormat="1" applyFont="1" applyBorder="1" applyAlignment="1">
      <alignment horizontal="center" vertical="center"/>
    </xf>
    <xf numFmtId="177" fontId="19" fillId="0" borderId="23" xfId="0" applyNumberFormat="1" applyFont="1" applyBorder="1" applyAlignment="1">
      <alignment horizontal="center" vertical="center"/>
    </xf>
    <xf numFmtId="177" fontId="15" fillId="8" borderId="47" xfId="0" applyNumberFormat="1" applyFont="1" applyFill="1" applyBorder="1" applyAlignment="1">
      <alignment horizontal="center" vertical="center"/>
    </xf>
    <xf numFmtId="177" fontId="15" fillId="8" borderId="50" xfId="0" applyNumberFormat="1" applyFont="1" applyFill="1" applyBorder="1" applyAlignment="1">
      <alignment horizontal="center" vertical="center"/>
    </xf>
    <xf numFmtId="177" fontId="15" fillId="8" borderId="52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41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3" fillId="0" borderId="54" xfId="0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177" fontId="0" fillId="0" borderId="34" xfId="0" applyNumberFormat="1" applyBorder="1" applyAlignment="1">
      <alignment horizontal="center" vertical="center"/>
    </xf>
    <xf numFmtId="177" fontId="0" fillId="0" borderId="3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177" fontId="0" fillId="0" borderId="30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177" fontId="15" fillId="4" borderId="42" xfId="0" applyNumberFormat="1" applyFont="1" applyFill="1" applyBorder="1" applyAlignment="1">
      <alignment horizontal="center" vertical="center"/>
    </xf>
    <xf numFmtId="177" fontId="15" fillId="4" borderId="40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177" fontId="17" fillId="0" borderId="28" xfId="0" applyNumberFormat="1" applyFont="1" applyBorder="1" applyAlignment="1">
      <alignment horizontal="center" vertical="center"/>
    </xf>
    <xf numFmtId="177" fontId="18" fillId="0" borderId="27" xfId="0" applyNumberFormat="1" applyFont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177" fontId="18" fillId="0" borderId="1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19" fillId="0" borderId="38" xfId="0" applyNumberFormat="1" applyFont="1" applyBorder="1" applyAlignment="1">
      <alignment horizontal="center" vertical="center"/>
    </xf>
    <xf numFmtId="177" fontId="19" fillId="0" borderId="34" xfId="0" applyNumberFormat="1" applyFont="1" applyBorder="1" applyAlignment="1">
      <alignment horizontal="center" vertical="center"/>
    </xf>
    <xf numFmtId="177" fontId="19" fillId="0" borderId="39" xfId="0" applyNumberFormat="1" applyFont="1" applyBorder="1" applyAlignment="1">
      <alignment horizontal="center" vertical="center"/>
    </xf>
  </cellXfs>
  <cellStyles count="7">
    <cellStyle name="悪い" xfId="5" builtinId="27"/>
    <cellStyle name="桁区切り" xfId="1" builtinId="6"/>
    <cellStyle name="標準" xfId="0" builtinId="0"/>
    <cellStyle name="標準 2" xfId="6"/>
    <cellStyle name="標準_13-12賞与名簿" xfId="2"/>
    <cellStyle name="標準_14-12賞与名簿(作業用） " xfId="4"/>
    <cellStyle name="標準_14-7賞与名簿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1" displayName="テーブル1" ref="A1:B2" totalsRowShown="0">
  <autoFilter ref="A1:B2"/>
  <tableColumns count="2">
    <tableColumn id="1" name="コード"/>
    <tableColumn id="2" name="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46"/>
  <sheetViews>
    <sheetView topLeftCell="A163" workbookViewId="0">
      <selection activeCell="E1" sqref="E1:F1048576"/>
    </sheetView>
  </sheetViews>
  <sheetFormatPr defaultRowHeight="18"/>
  <cols>
    <col min="1" max="4" width="8.796875" style="264"/>
    <col min="5" max="6" width="13" style="264" customWidth="1"/>
    <col min="7" max="16384" width="8.796875" style="264"/>
  </cols>
  <sheetData>
    <row r="1" spans="1:38">
      <c r="A1" s="264" t="s">
        <v>1</v>
      </c>
      <c r="B1" s="264" t="s">
        <v>2</v>
      </c>
      <c r="C1" s="264" t="s">
        <v>958</v>
      </c>
      <c r="D1" s="264" t="s">
        <v>959</v>
      </c>
      <c r="E1" s="264" t="s">
        <v>960</v>
      </c>
      <c r="F1" s="264" t="s">
        <v>961</v>
      </c>
      <c r="G1" s="264" t="s">
        <v>734</v>
      </c>
      <c r="H1" s="264" t="s">
        <v>962</v>
      </c>
      <c r="I1" s="264" t="s">
        <v>735</v>
      </c>
      <c r="J1" s="264" t="s">
        <v>733</v>
      </c>
      <c r="K1" s="264" t="s">
        <v>963</v>
      </c>
      <c r="L1" s="264" t="s">
        <v>964</v>
      </c>
      <c r="M1" s="264" t="s">
        <v>965</v>
      </c>
      <c r="N1" s="264" t="s">
        <v>966</v>
      </c>
      <c r="O1" s="264" t="s">
        <v>827</v>
      </c>
      <c r="P1" s="264" t="s">
        <v>967</v>
      </c>
      <c r="Q1" s="264" t="s">
        <v>968</v>
      </c>
      <c r="R1" s="264" t="s">
        <v>969</v>
      </c>
      <c r="S1" s="264" t="s">
        <v>970</v>
      </c>
      <c r="T1" s="264" t="s">
        <v>971</v>
      </c>
      <c r="U1" s="264" t="s">
        <v>972</v>
      </c>
      <c r="V1" s="264" t="s">
        <v>973</v>
      </c>
      <c r="W1" s="264" t="s">
        <v>974</v>
      </c>
      <c r="X1" s="264" t="s">
        <v>975</v>
      </c>
      <c r="Y1" s="264" t="s">
        <v>976</v>
      </c>
      <c r="Z1" s="264" t="s">
        <v>977</v>
      </c>
      <c r="AA1" s="264" t="s">
        <v>978</v>
      </c>
      <c r="AB1" s="264" t="s">
        <v>979</v>
      </c>
      <c r="AC1" s="264" t="s">
        <v>980</v>
      </c>
      <c r="AD1" s="264" t="s">
        <v>981</v>
      </c>
      <c r="AE1" s="264" t="s">
        <v>982</v>
      </c>
      <c r="AF1" s="264" t="s">
        <v>983</v>
      </c>
      <c r="AG1" s="264" t="s">
        <v>984</v>
      </c>
      <c r="AH1" s="264" t="s">
        <v>985</v>
      </c>
      <c r="AI1" s="264" t="s">
        <v>986</v>
      </c>
      <c r="AJ1" s="264" t="s">
        <v>987</v>
      </c>
      <c r="AK1" s="264" t="s">
        <v>988</v>
      </c>
      <c r="AL1" s="264" t="s">
        <v>989</v>
      </c>
    </row>
    <row r="2" spans="1:38">
      <c r="A2" s="264">
        <v>6122</v>
      </c>
      <c r="B2" s="264" t="s">
        <v>769</v>
      </c>
      <c r="C2" s="264" t="s">
        <v>990</v>
      </c>
      <c r="D2" s="264" t="s">
        <v>991</v>
      </c>
      <c r="E2" s="264">
        <v>100</v>
      </c>
      <c r="F2" s="264" t="s">
        <v>770</v>
      </c>
      <c r="G2" s="389">
        <v>17133</v>
      </c>
      <c r="H2" s="264">
        <v>77</v>
      </c>
      <c r="I2" s="389">
        <v>38858</v>
      </c>
      <c r="K2" s="390">
        <v>42278</v>
      </c>
      <c r="L2" s="264">
        <v>40</v>
      </c>
      <c r="M2" s="264" t="s">
        <v>992</v>
      </c>
      <c r="N2" s="264">
        <v>2</v>
      </c>
      <c r="O2" s="264" t="s">
        <v>993</v>
      </c>
      <c r="P2" s="264" t="s">
        <v>994</v>
      </c>
      <c r="Q2" s="264" t="s">
        <v>995</v>
      </c>
      <c r="R2" s="264" t="s">
        <v>995</v>
      </c>
      <c r="S2" s="264" t="s">
        <v>996</v>
      </c>
      <c r="T2" s="264" t="s">
        <v>997</v>
      </c>
      <c r="U2" s="264" t="s">
        <v>995</v>
      </c>
      <c r="V2" s="264" t="s">
        <v>995</v>
      </c>
      <c r="W2" s="264" t="s">
        <v>995</v>
      </c>
      <c r="X2" s="264" t="s">
        <v>828</v>
      </c>
      <c r="Y2" s="264" t="s">
        <v>998</v>
      </c>
      <c r="Z2" s="264">
        <v>31</v>
      </c>
      <c r="AA2" s="264" t="s">
        <v>999</v>
      </c>
      <c r="AB2" s="264">
        <v>31</v>
      </c>
      <c r="AC2" s="264" t="s">
        <v>999</v>
      </c>
      <c r="AD2" s="264" t="s">
        <v>1000</v>
      </c>
      <c r="AE2" s="264" t="s">
        <v>1001</v>
      </c>
      <c r="AF2" s="264" t="s">
        <v>1001</v>
      </c>
      <c r="AG2" s="264" t="s">
        <v>1001</v>
      </c>
      <c r="AH2" s="264" t="s">
        <v>1002</v>
      </c>
      <c r="AI2" s="264" t="s">
        <v>1002</v>
      </c>
      <c r="AJ2" s="264" t="s">
        <v>995</v>
      </c>
      <c r="AK2" s="264" t="s">
        <v>995</v>
      </c>
      <c r="AL2" s="264" t="s">
        <v>995</v>
      </c>
    </row>
    <row r="3" spans="1:38">
      <c r="A3" s="264">
        <v>6123</v>
      </c>
      <c r="B3" s="264" t="s">
        <v>771</v>
      </c>
      <c r="C3" s="264" t="s">
        <v>1003</v>
      </c>
      <c r="D3" s="264" t="s">
        <v>1004</v>
      </c>
      <c r="E3" s="264">
        <v>100</v>
      </c>
      <c r="F3" s="264" t="s">
        <v>770</v>
      </c>
      <c r="H3" s="264">
        <v>0</v>
      </c>
      <c r="I3" s="389">
        <v>38930</v>
      </c>
      <c r="K3" s="390">
        <v>42278</v>
      </c>
      <c r="L3" s="264">
        <v>40</v>
      </c>
      <c r="M3" s="264" t="s">
        <v>992</v>
      </c>
      <c r="N3" s="264">
        <v>2</v>
      </c>
      <c r="O3" s="264" t="s">
        <v>993</v>
      </c>
      <c r="P3" s="264" t="s">
        <v>994</v>
      </c>
      <c r="Q3" s="264" t="s">
        <v>995</v>
      </c>
      <c r="R3" s="264" t="s">
        <v>995</v>
      </c>
      <c r="S3" s="264" t="s">
        <v>996</v>
      </c>
      <c r="T3" s="264" t="s">
        <v>997</v>
      </c>
      <c r="U3" s="264" t="s">
        <v>995</v>
      </c>
      <c r="V3" s="264" t="s">
        <v>995</v>
      </c>
      <c r="W3" s="264" t="s">
        <v>995</v>
      </c>
      <c r="X3" s="264" t="s">
        <v>828</v>
      </c>
      <c r="Y3" s="264" t="s">
        <v>998</v>
      </c>
      <c r="Z3" s="264">
        <v>31</v>
      </c>
      <c r="AA3" s="264" t="s">
        <v>999</v>
      </c>
      <c r="AB3" s="264">
        <v>31</v>
      </c>
      <c r="AC3" s="264" t="s">
        <v>999</v>
      </c>
      <c r="AD3" s="264" t="s">
        <v>1000</v>
      </c>
      <c r="AE3" s="264" t="s">
        <v>1001</v>
      </c>
      <c r="AF3" s="264" t="s">
        <v>1001</v>
      </c>
      <c r="AG3" s="264" t="s">
        <v>1001</v>
      </c>
      <c r="AH3" s="264" t="s">
        <v>1002</v>
      </c>
      <c r="AI3" s="264" t="s">
        <v>1002</v>
      </c>
      <c r="AJ3" s="264" t="s">
        <v>995</v>
      </c>
      <c r="AK3" s="264" t="s">
        <v>995</v>
      </c>
      <c r="AL3" s="264" t="s">
        <v>995</v>
      </c>
    </row>
    <row r="4" spans="1:38">
      <c r="A4" s="264">
        <v>6127</v>
      </c>
      <c r="B4" s="264" t="s">
        <v>772</v>
      </c>
      <c r="C4" s="264" t="s">
        <v>1005</v>
      </c>
      <c r="D4" s="264" t="s">
        <v>1004</v>
      </c>
      <c r="E4" s="264">
        <v>100</v>
      </c>
      <c r="F4" s="264" t="s">
        <v>770</v>
      </c>
      <c r="G4" s="389">
        <v>17225</v>
      </c>
      <c r="H4" s="264">
        <v>76</v>
      </c>
      <c r="I4" s="389">
        <v>39173</v>
      </c>
      <c r="K4" s="390">
        <v>42278</v>
      </c>
      <c r="L4" s="264">
        <v>40</v>
      </c>
      <c r="M4" s="264" t="s">
        <v>992</v>
      </c>
      <c r="N4" s="264">
        <v>2</v>
      </c>
      <c r="O4" s="264" t="s">
        <v>993</v>
      </c>
      <c r="P4" s="264" t="s">
        <v>994</v>
      </c>
      <c r="Q4" s="264" t="s">
        <v>995</v>
      </c>
      <c r="R4" s="264" t="s">
        <v>995</v>
      </c>
      <c r="S4" s="264" t="s">
        <v>996</v>
      </c>
      <c r="T4" s="264" t="s">
        <v>997</v>
      </c>
      <c r="U4" s="264" t="s">
        <v>995</v>
      </c>
      <c r="V4" s="264" t="s">
        <v>995</v>
      </c>
      <c r="W4" s="264" t="s">
        <v>995</v>
      </c>
      <c r="X4" s="264" t="s">
        <v>828</v>
      </c>
      <c r="Y4" s="264" t="s">
        <v>998</v>
      </c>
      <c r="Z4" s="264">
        <v>31</v>
      </c>
      <c r="AA4" s="264" t="s">
        <v>999</v>
      </c>
      <c r="AB4" s="264">
        <v>31</v>
      </c>
      <c r="AC4" s="264" t="s">
        <v>999</v>
      </c>
      <c r="AD4" s="264" t="s">
        <v>1000</v>
      </c>
      <c r="AE4" s="264" t="s">
        <v>1001</v>
      </c>
      <c r="AF4" s="264" t="s">
        <v>1001</v>
      </c>
      <c r="AG4" s="264" t="s">
        <v>1001</v>
      </c>
      <c r="AH4" s="264" t="s">
        <v>1002</v>
      </c>
      <c r="AI4" s="264" t="s">
        <v>1002</v>
      </c>
      <c r="AJ4" s="264" t="s">
        <v>995</v>
      </c>
      <c r="AK4" s="264" t="s">
        <v>995</v>
      </c>
      <c r="AL4" s="264" t="s">
        <v>995</v>
      </c>
    </row>
    <row r="5" spans="1:38">
      <c r="A5" s="264">
        <v>6130</v>
      </c>
      <c r="B5" s="264" t="s">
        <v>773</v>
      </c>
      <c r="C5" s="264" t="s">
        <v>1006</v>
      </c>
      <c r="D5" s="264" t="s">
        <v>1004</v>
      </c>
      <c r="E5" s="264">
        <v>100</v>
      </c>
      <c r="F5" s="264" t="s">
        <v>770</v>
      </c>
      <c r="G5" s="389">
        <v>18841</v>
      </c>
      <c r="H5" s="264">
        <v>72</v>
      </c>
      <c r="I5" s="389">
        <v>41275</v>
      </c>
      <c r="K5" s="390">
        <v>42278</v>
      </c>
      <c r="L5" s="264">
        <v>40</v>
      </c>
      <c r="M5" s="264" t="s">
        <v>992</v>
      </c>
      <c r="N5" s="264">
        <v>2</v>
      </c>
      <c r="O5" s="264" t="s">
        <v>993</v>
      </c>
      <c r="P5" s="264" t="s">
        <v>994</v>
      </c>
      <c r="Q5" s="264" t="s">
        <v>995</v>
      </c>
      <c r="R5" s="264" t="s">
        <v>995</v>
      </c>
      <c r="S5" s="264" t="s">
        <v>996</v>
      </c>
      <c r="T5" s="264" t="s">
        <v>997</v>
      </c>
      <c r="U5" s="264" t="s">
        <v>995</v>
      </c>
      <c r="V5" s="264" t="s">
        <v>995</v>
      </c>
      <c r="W5" s="264" t="s">
        <v>995</v>
      </c>
      <c r="X5" s="264" t="s">
        <v>828</v>
      </c>
      <c r="Y5" s="264" t="s">
        <v>998</v>
      </c>
      <c r="Z5" s="264">
        <v>31</v>
      </c>
      <c r="AA5" s="264" t="s">
        <v>999</v>
      </c>
      <c r="AB5" s="264">
        <v>31</v>
      </c>
      <c r="AC5" s="264" t="s">
        <v>999</v>
      </c>
      <c r="AD5" s="264" t="s">
        <v>1000</v>
      </c>
      <c r="AE5" s="264" t="s">
        <v>1001</v>
      </c>
      <c r="AF5" s="264" t="s">
        <v>1001</v>
      </c>
      <c r="AG5" s="264" t="s">
        <v>1001</v>
      </c>
      <c r="AH5" s="264" t="s">
        <v>1002</v>
      </c>
      <c r="AI5" s="264" t="s">
        <v>1002</v>
      </c>
      <c r="AJ5" s="264" t="s">
        <v>995</v>
      </c>
      <c r="AK5" s="264" t="s">
        <v>995</v>
      </c>
      <c r="AL5" s="264" t="s">
        <v>995</v>
      </c>
    </row>
    <row r="6" spans="1:38">
      <c r="A6" s="264">
        <v>6134</v>
      </c>
      <c r="B6" s="264" t="s">
        <v>774</v>
      </c>
      <c r="C6" s="264" t="s">
        <v>1011</v>
      </c>
      <c r="D6" s="264" t="s">
        <v>1004</v>
      </c>
      <c r="E6" s="264">
        <v>100</v>
      </c>
      <c r="F6" s="264" t="s">
        <v>770</v>
      </c>
      <c r="G6" s="389">
        <v>14946</v>
      </c>
      <c r="H6" s="264">
        <v>83</v>
      </c>
      <c r="I6" s="389">
        <v>42614</v>
      </c>
      <c r="K6" s="390">
        <v>42644</v>
      </c>
      <c r="L6" s="264">
        <v>40</v>
      </c>
      <c r="M6" s="264" t="s">
        <v>992</v>
      </c>
      <c r="N6" s="264">
        <v>3</v>
      </c>
      <c r="O6" s="264" t="s">
        <v>1008</v>
      </c>
      <c r="P6" s="264" t="s">
        <v>994</v>
      </c>
      <c r="Q6" s="264" t="s">
        <v>995</v>
      </c>
      <c r="R6" s="264" t="s">
        <v>995</v>
      </c>
      <c r="S6" s="264" t="s">
        <v>1012</v>
      </c>
      <c r="T6" s="264" t="s">
        <v>997</v>
      </c>
      <c r="U6" s="264" t="s">
        <v>995</v>
      </c>
      <c r="V6" s="264" t="s">
        <v>995</v>
      </c>
      <c r="W6" s="264" t="s">
        <v>995</v>
      </c>
      <c r="X6" s="264" t="s">
        <v>828</v>
      </c>
      <c r="Y6" s="264" t="s">
        <v>998</v>
      </c>
      <c r="Z6" s="264">
        <v>31</v>
      </c>
      <c r="AA6" s="264" t="s">
        <v>999</v>
      </c>
      <c r="AB6" s="264">
        <v>31</v>
      </c>
      <c r="AC6" s="264" t="s">
        <v>999</v>
      </c>
      <c r="AD6" s="264" t="s">
        <v>1000</v>
      </c>
      <c r="AE6" s="264" t="s">
        <v>1000</v>
      </c>
      <c r="AF6" s="264" t="s">
        <v>1001</v>
      </c>
      <c r="AG6" s="264" t="s">
        <v>1001</v>
      </c>
      <c r="AH6" s="264" t="s">
        <v>1002</v>
      </c>
      <c r="AI6" s="264" t="s">
        <v>1002</v>
      </c>
      <c r="AJ6" s="264" t="s">
        <v>995</v>
      </c>
      <c r="AK6" s="264" t="s">
        <v>995</v>
      </c>
      <c r="AL6" s="264" t="s">
        <v>995</v>
      </c>
    </row>
    <row r="7" spans="1:38">
      <c r="A7" s="264">
        <v>6135</v>
      </c>
      <c r="B7" s="264" t="s">
        <v>775</v>
      </c>
      <c r="C7" s="264" t="s">
        <v>1013</v>
      </c>
      <c r="D7" s="264" t="s">
        <v>1004</v>
      </c>
      <c r="E7" s="264">
        <v>100</v>
      </c>
      <c r="F7" s="264" t="s">
        <v>770</v>
      </c>
      <c r="G7" s="389">
        <v>20342</v>
      </c>
      <c r="H7" s="264">
        <v>68</v>
      </c>
      <c r="I7" s="389">
        <v>43864</v>
      </c>
      <c r="K7" s="390">
        <v>44652</v>
      </c>
      <c r="L7" s="264">
        <v>95</v>
      </c>
      <c r="M7" s="264" t="s">
        <v>1007</v>
      </c>
      <c r="N7" s="264">
        <v>2</v>
      </c>
      <c r="O7" s="264" t="s">
        <v>993</v>
      </c>
      <c r="P7" s="264" t="s">
        <v>994</v>
      </c>
      <c r="Q7" s="264" t="s">
        <v>1009</v>
      </c>
      <c r="R7" s="264" t="s">
        <v>1010</v>
      </c>
      <c r="S7" s="264" t="s">
        <v>996</v>
      </c>
      <c r="T7" s="264" t="s">
        <v>997</v>
      </c>
      <c r="U7" s="264" t="s">
        <v>995</v>
      </c>
      <c r="V7" s="264" t="s">
        <v>995</v>
      </c>
      <c r="W7" s="264" t="s">
        <v>995</v>
      </c>
      <c r="X7" s="264" t="s">
        <v>828</v>
      </c>
      <c r="Y7" s="264" t="s">
        <v>998</v>
      </c>
      <c r="Z7" s="264">
        <v>31</v>
      </c>
      <c r="AA7" s="264" t="s">
        <v>999</v>
      </c>
      <c r="AB7" s="264">
        <v>31</v>
      </c>
      <c r="AC7" s="264" t="s">
        <v>999</v>
      </c>
      <c r="AD7" s="264" t="s">
        <v>1001</v>
      </c>
      <c r="AE7" s="264" t="s">
        <v>1001</v>
      </c>
      <c r="AF7" s="264" t="s">
        <v>1001</v>
      </c>
      <c r="AG7" s="264" t="s">
        <v>1001</v>
      </c>
      <c r="AH7" s="264" t="s">
        <v>1002</v>
      </c>
      <c r="AI7" s="264" t="s">
        <v>1002</v>
      </c>
      <c r="AJ7" s="264" t="s">
        <v>995</v>
      </c>
      <c r="AK7" s="264" t="s">
        <v>995</v>
      </c>
      <c r="AL7" s="264" t="s">
        <v>995</v>
      </c>
    </row>
    <row r="8" spans="1:38">
      <c r="A8" s="264">
        <v>6137</v>
      </c>
      <c r="B8" s="264" t="s">
        <v>1617</v>
      </c>
      <c r="C8" s="264" t="s">
        <v>1618</v>
      </c>
      <c r="D8" s="264" t="s">
        <v>991</v>
      </c>
      <c r="G8" s="389">
        <v>17396</v>
      </c>
      <c r="H8" s="264">
        <v>76</v>
      </c>
      <c r="I8" s="389">
        <v>44927</v>
      </c>
      <c r="K8" s="390">
        <v>44927</v>
      </c>
      <c r="L8" s="264">
        <v>95</v>
      </c>
      <c r="M8" s="264" t="s">
        <v>1007</v>
      </c>
      <c r="N8" s="264">
        <v>3</v>
      </c>
      <c r="O8" s="264" t="s">
        <v>1008</v>
      </c>
      <c r="P8" s="264" t="s">
        <v>994</v>
      </c>
      <c r="Q8" s="264" t="s">
        <v>995</v>
      </c>
      <c r="R8" s="264" t="s">
        <v>995</v>
      </c>
      <c r="S8" s="264" t="s">
        <v>996</v>
      </c>
      <c r="T8" s="264" t="s">
        <v>997</v>
      </c>
      <c r="U8" s="264" t="s">
        <v>995</v>
      </c>
      <c r="V8" s="264" t="s">
        <v>995</v>
      </c>
      <c r="W8" s="264" t="s">
        <v>995</v>
      </c>
      <c r="X8" s="264" t="s">
        <v>828</v>
      </c>
      <c r="Y8" s="264" t="s">
        <v>998</v>
      </c>
      <c r="Z8" s="264">
        <v>31</v>
      </c>
      <c r="AA8" s="264" t="s">
        <v>999</v>
      </c>
      <c r="AB8" s="264">
        <v>31</v>
      </c>
      <c r="AC8" s="264" t="s">
        <v>999</v>
      </c>
      <c r="AD8" s="264" t="s">
        <v>1001</v>
      </c>
      <c r="AE8" s="264" t="s">
        <v>1001</v>
      </c>
      <c r="AF8" s="264" t="s">
        <v>1001</v>
      </c>
      <c r="AG8" s="264" t="s">
        <v>1001</v>
      </c>
      <c r="AH8" s="264" t="s">
        <v>1002</v>
      </c>
      <c r="AI8" s="264" t="s">
        <v>1002</v>
      </c>
      <c r="AJ8" s="264" t="s">
        <v>995</v>
      </c>
      <c r="AK8" s="264" t="s">
        <v>995</v>
      </c>
      <c r="AL8" s="264" t="s">
        <v>995</v>
      </c>
    </row>
    <row r="9" spans="1:38">
      <c r="A9" s="264">
        <v>2820</v>
      </c>
      <c r="B9" s="264" t="s">
        <v>1540</v>
      </c>
      <c r="C9" s="264" t="s">
        <v>1541</v>
      </c>
      <c r="D9" s="264" t="s">
        <v>1004</v>
      </c>
      <c r="E9" s="264">
        <v>80000</v>
      </c>
      <c r="F9" s="264" t="s">
        <v>172</v>
      </c>
      <c r="G9" s="389">
        <v>24130</v>
      </c>
      <c r="H9" s="264">
        <v>58</v>
      </c>
      <c r="I9" s="389">
        <v>32226</v>
      </c>
      <c r="K9" s="390">
        <v>43191</v>
      </c>
      <c r="L9" s="264">
        <v>95</v>
      </c>
      <c r="M9" s="264" t="s">
        <v>1007</v>
      </c>
      <c r="N9" s="264">
        <v>3</v>
      </c>
      <c r="O9" s="264" t="s">
        <v>1008</v>
      </c>
      <c r="P9" s="264" t="s">
        <v>994</v>
      </c>
      <c r="Q9" s="264" t="s">
        <v>1009</v>
      </c>
      <c r="R9" s="264" t="s">
        <v>1010</v>
      </c>
      <c r="S9" s="264" t="s">
        <v>996</v>
      </c>
      <c r="T9" s="264" t="s">
        <v>997</v>
      </c>
      <c r="U9" s="264" t="s">
        <v>995</v>
      </c>
      <c r="V9" s="264" t="s">
        <v>995</v>
      </c>
      <c r="W9" s="264" t="s">
        <v>995</v>
      </c>
      <c r="X9" s="264" t="s">
        <v>828</v>
      </c>
      <c r="Y9" s="264" t="s">
        <v>998</v>
      </c>
      <c r="Z9" s="264">
        <v>31</v>
      </c>
      <c r="AA9" s="264" t="s">
        <v>999</v>
      </c>
      <c r="AB9" s="264">
        <v>31</v>
      </c>
      <c r="AC9" s="264" t="s">
        <v>999</v>
      </c>
      <c r="AD9" s="264" t="s">
        <v>1001</v>
      </c>
      <c r="AE9" s="264" t="s">
        <v>1001</v>
      </c>
      <c r="AF9" s="264" t="s">
        <v>1001</v>
      </c>
      <c r="AG9" s="264" t="s">
        <v>1001</v>
      </c>
      <c r="AH9" s="264" t="s">
        <v>1002</v>
      </c>
      <c r="AI9" s="264" t="s">
        <v>1002</v>
      </c>
      <c r="AJ9" s="264" t="s">
        <v>995</v>
      </c>
      <c r="AK9" s="264" t="s">
        <v>995</v>
      </c>
      <c r="AL9" s="264" t="s">
        <v>995</v>
      </c>
    </row>
    <row r="10" spans="1:38">
      <c r="A10" s="264">
        <v>3019</v>
      </c>
      <c r="B10" s="264" t="s">
        <v>164</v>
      </c>
      <c r="C10" s="264" t="s">
        <v>1352</v>
      </c>
      <c r="D10" s="264" t="s">
        <v>1004</v>
      </c>
      <c r="E10" s="264">
        <v>51000</v>
      </c>
      <c r="F10" s="264" t="s">
        <v>124</v>
      </c>
      <c r="G10" s="389">
        <v>26640</v>
      </c>
      <c r="H10" s="264">
        <v>51</v>
      </c>
      <c r="I10" s="389">
        <v>34780</v>
      </c>
      <c r="K10" s="390">
        <v>42278</v>
      </c>
      <c r="L10" s="264">
        <v>20</v>
      </c>
      <c r="M10" s="264" t="s">
        <v>1015</v>
      </c>
      <c r="N10" s="264">
        <v>1</v>
      </c>
      <c r="O10" s="264" t="s">
        <v>829</v>
      </c>
      <c r="P10" s="264" t="s">
        <v>994</v>
      </c>
      <c r="Q10" s="264" t="s">
        <v>1009</v>
      </c>
      <c r="R10" s="264" t="s">
        <v>1010</v>
      </c>
      <c r="S10" s="264" t="s">
        <v>996</v>
      </c>
      <c r="T10" s="264" t="s">
        <v>997</v>
      </c>
      <c r="U10" s="264" t="s">
        <v>995</v>
      </c>
      <c r="V10" s="264" t="s">
        <v>995</v>
      </c>
      <c r="W10" s="264" t="s">
        <v>995</v>
      </c>
      <c r="X10" s="264" t="s">
        <v>828</v>
      </c>
      <c r="Y10" s="264" t="s">
        <v>998</v>
      </c>
      <c r="Z10" s="264">
        <v>31</v>
      </c>
      <c r="AA10" s="264" t="s">
        <v>999</v>
      </c>
      <c r="AB10" s="264">
        <v>31</v>
      </c>
      <c r="AC10" s="264" t="s">
        <v>999</v>
      </c>
      <c r="AD10" s="264" t="s">
        <v>1000</v>
      </c>
      <c r="AE10" s="264" t="s">
        <v>1000</v>
      </c>
      <c r="AF10" s="264" t="s">
        <v>1000</v>
      </c>
      <c r="AG10" s="264" t="s">
        <v>1000</v>
      </c>
      <c r="AH10" s="264" t="s">
        <v>1002</v>
      </c>
      <c r="AI10" s="264" t="s">
        <v>1002</v>
      </c>
      <c r="AJ10" s="264" t="s">
        <v>995</v>
      </c>
      <c r="AK10" s="264" t="s">
        <v>995</v>
      </c>
      <c r="AL10" s="264" t="s">
        <v>995</v>
      </c>
    </row>
    <row r="11" spans="1:38">
      <c r="A11" s="264">
        <v>3084</v>
      </c>
      <c r="B11" s="264" t="s">
        <v>219</v>
      </c>
      <c r="C11" s="264" t="s">
        <v>1412</v>
      </c>
      <c r="D11" s="264" t="s">
        <v>1004</v>
      </c>
      <c r="E11" s="264">
        <v>63000</v>
      </c>
      <c r="F11" s="264" t="s">
        <v>165</v>
      </c>
      <c r="G11" s="389">
        <v>26669</v>
      </c>
      <c r="H11" s="264">
        <v>51</v>
      </c>
      <c r="I11" s="389">
        <v>34780</v>
      </c>
      <c r="K11" s="390">
        <v>42278</v>
      </c>
      <c r="L11" s="264">
        <v>20</v>
      </c>
      <c r="M11" s="264" t="s">
        <v>1015</v>
      </c>
      <c r="N11" s="264">
        <v>1</v>
      </c>
      <c r="O11" s="264" t="s">
        <v>829</v>
      </c>
      <c r="P11" s="264" t="s">
        <v>994</v>
      </c>
      <c r="Q11" s="264" t="s">
        <v>1009</v>
      </c>
      <c r="R11" s="264" t="s">
        <v>1010</v>
      </c>
      <c r="S11" s="264" t="s">
        <v>996</v>
      </c>
      <c r="T11" s="264" t="s">
        <v>997</v>
      </c>
      <c r="U11" s="264" t="s">
        <v>995</v>
      </c>
      <c r="V11" s="264" t="s">
        <v>995</v>
      </c>
      <c r="W11" s="264" t="s">
        <v>995</v>
      </c>
      <c r="X11" s="264" t="s">
        <v>828</v>
      </c>
      <c r="Y11" s="264" t="s">
        <v>998</v>
      </c>
      <c r="Z11" s="264">
        <v>31</v>
      </c>
      <c r="AA11" s="264" t="s">
        <v>999</v>
      </c>
      <c r="AB11" s="264">
        <v>31</v>
      </c>
      <c r="AC11" s="264" t="s">
        <v>999</v>
      </c>
      <c r="AD11" s="264" t="s">
        <v>1000</v>
      </c>
      <c r="AE11" s="264" t="s">
        <v>1000</v>
      </c>
      <c r="AF11" s="264" t="s">
        <v>1000</v>
      </c>
      <c r="AG11" s="264" t="s">
        <v>1000</v>
      </c>
      <c r="AH11" s="264" t="s">
        <v>1002</v>
      </c>
      <c r="AI11" s="264" t="s">
        <v>1002</v>
      </c>
      <c r="AJ11" s="264" t="s">
        <v>995</v>
      </c>
      <c r="AK11" s="264" t="s">
        <v>995</v>
      </c>
      <c r="AL11" s="264" t="s">
        <v>995</v>
      </c>
    </row>
    <row r="12" spans="1:38">
      <c r="A12" s="264">
        <v>1339</v>
      </c>
      <c r="B12" s="264" t="s">
        <v>167</v>
      </c>
      <c r="C12" s="264" t="s">
        <v>1413</v>
      </c>
      <c r="D12" s="264" t="s">
        <v>1004</v>
      </c>
      <c r="E12" s="264">
        <v>63000</v>
      </c>
      <c r="F12" s="264" t="s">
        <v>165</v>
      </c>
      <c r="G12" s="389">
        <v>27250</v>
      </c>
      <c r="H12" s="264">
        <v>49</v>
      </c>
      <c r="I12" s="389">
        <v>38777</v>
      </c>
      <c r="K12" s="390">
        <v>42278</v>
      </c>
      <c r="L12" s="264">
        <v>20</v>
      </c>
      <c r="M12" s="264" t="s">
        <v>1015</v>
      </c>
      <c r="N12" s="264">
        <v>1</v>
      </c>
      <c r="O12" s="264" t="s">
        <v>829</v>
      </c>
      <c r="P12" s="264" t="s">
        <v>994</v>
      </c>
      <c r="Q12" s="264" t="s">
        <v>1009</v>
      </c>
      <c r="R12" s="264" t="s">
        <v>1010</v>
      </c>
      <c r="S12" s="264" t="s">
        <v>996</v>
      </c>
      <c r="T12" s="264" t="s">
        <v>997</v>
      </c>
      <c r="U12" s="264" t="s">
        <v>995</v>
      </c>
      <c r="V12" s="264" t="s">
        <v>995</v>
      </c>
      <c r="W12" s="264" t="s">
        <v>995</v>
      </c>
      <c r="X12" s="264" t="s">
        <v>828</v>
      </c>
      <c r="Y12" s="264" t="s">
        <v>998</v>
      </c>
      <c r="Z12" s="264">
        <v>31</v>
      </c>
      <c r="AA12" s="264" t="s">
        <v>999</v>
      </c>
      <c r="AB12" s="264">
        <v>31</v>
      </c>
      <c r="AC12" s="264" t="s">
        <v>999</v>
      </c>
      <c r="AD12" s="264" t="s">
        <v>1000</v>
      </c>
      <c r="AE12" s="264" t="s">
        <v>1000</v>
      </c>
      <c r="AF12" s="264" t="s">
        <v>1000</v>
      </c>
      <c r="AG12" s="264" t="s">
        <v>1000</v>
      </c>
      <c r="AH12" s="264" t="s">
        <v>1002</v>
      </c>
      <c r="AI12" s="264" t="s">
        <v>1002</v>
      </c>
      <c r="AJ12" s="264" t="s">
        <v>995</v>
      </c>
      <c r="AK12" s="264" t="s">
        <v>995</v>
      </c>
      <c r="AL12" s="264" t="s">
        <v>995</v>
      </c>
    </row>
    <row r="13" spans="1:38">
      <c r="A13" s="264">
        <v>1412</v>
      </c>
      <c r="B13" s="264" t="s">
        <v>744</v>
      </c>
      <c r="C13" s="264" t="s">
        <v>1414</v>
      </c>
      <c r="D13" s="264" t="s">
        <v>1004</v>
      </c>
      <c r="E13" s="264">
        <v>63000</v>
      </c>
      <c r="F13" s="264" t="s">
        <v>165</v>
      </c>
      <c r="G13" s="389">
        <v>24538</v>
      </c>
      <c r="H13" s="264">
        <v>56</v>
      </c>
      <c r="I13" s="389">
        <v>44378</v>
      </c>
      <c r="K13" s="390">
        <v>44166</v>
      </c>
      <c r="L13" s="264">
        <v>20</v>
      </c>
      <c r="M13" s="264" t="s">
        <v>1015</v>
      </c>
      <c r="N13" s="264">
        <v>1</v>
      </c>
      <c r="O13" s="264" t="s">
        <v>829</v>
      </c>
      <c r="P13" s="264" t="s">
        <v>994</v>
      </c>
      <c r="Q13" s="264" t="s">
        <v>1009</v>
      </c>
      <c r="R13" s="264" t="s">
        <v>1010</v>
      </c>
      <c r="S13" s="264" t="s">
        <v>996</v>
      </c>
      <c r="T13" s="264" t="s">
        <v>997</v>
      </c>
      <c r="U13" s="264" t="s">
        <v>995</v>
      </c>
      <c r="V13" s="264" t="s">
        <v>995</v>
      </c>
      <c r="W13" s="264" t="s">
        <v>995</v>
      </c>
      <c r="X13" s="264" t="s">
        <v>828</v>
      </c>
      <c r="Y13" s="264" t="s">
        <v>998</v>
      </c>
      <c r="Z13" s="264">
        <v>31</v>
      </c>
      <c r="AA13" s="264" t="s">
        <v>999</v>
      </c>
      <c r="AB13" s="264">
        <v>31</v>
      </c>
      <c r="AC13" s="264" t="s">
        <v>999</v>
      </c>
      <c r="AD13" s="264" t="s">
        <v>1000</v>
      </c>
      <c r="AE13" s="264" t="s">
        <v>1000</v>
      </c>
      <c r="AF13" s="264" t="s">
        <v>1000</v>
      </c>
      <c r="AG13" s="264" t="s">
        <v>1000</v>
      </c>
      <c r="AH13" s="264" t="s">
        <v>1002</v>
      </c>
      <c r="AI13" s="264" t="s">
        <v>1002</v>
      </c>
      <c r="AJ13" s="264" t="s">
        <v>995</v>
      </c>
      <c r="AK13" s="264" t="s">
        <v>995</v>
      </c>
      <c r="AL13" s="264" t="s">
        <v>995</v>
      </c>
    </row>
    <row r="14" spans="1:38">
      <c r="A14" s="264">
        <v>3320</v>
      </c>
      <c r="B14" s="264" t="s">
        <v>168</v>
      </c>
      <c r="C14" s="264" t="s">
        <v>1415</v>
      </c>
      <c r="D14" s="264" t="s">
        <v>1004</v>
      </c>
      <c r="E14" s="264">
        <v>63000</v>
      </c>
      <c r="F14" s="264" t="s">
        <v>165</v>
      </c>
      <c r="G14" s="389">
        <v>31896</v>
      </c>
      <c r="H14" s="264">
        <v>36</v>
      </c>
      <c r="I14" s="389">
        <v>40258</v>
      </c>
      <c r="K14" s="390">
        <v>42278</v>
      </c>
      <c r="L14" s="264">
        <v>20</v>
      </c>
      <c r="M14" s="264" t="s">
        <v>1015</v>
      </c>
      <c r="N14" s="264">
        <v>1</v>
      </c>
      <c r="O14" s="264" t="s">
        <v>829</v>
      </c>
      <c r="P14" s="264" t="s">
        <v>994</v>
      </c>
      <c r="Q14" s="264" t="s">
        <v>1009</v>
      </c>
      <c r="R14" s="264" t="s">
        <v>1010</v>
      </c>
      <c r="S14" s="264" t="s">
        <v>996</v>
      </c>
      <c r="T14" s="264" t="s">
        <v>997</v>
      </c>
      <c r="U14" s="264" t="s">
        <v>995</v>
      </c>
      <c r="V14" s="264" t="s">
        <v>995</v>
      </c>
      <c r="W14" s="264" t="s">
        <v>995</v>
      </c>
      <c r="X14" s="264" t="s">
        <v>828</v>
      </c>
      <c r="Y14" s="264" t="s">
        <v>998</v>
      </c>
      <c r="Z14" s="264">
        <v>31</v>
      </c>
      <c r="AA14" s="264" t="s">
        <v>999</v>
      </c>
      <c r="AB14" s="264">
        <v>31</v>
      </c>
      <c r="AC14" s="264" t="s">
        <v>999</v>
      </c>
      <c r="AD14" s="264" t="s">
        <v>1000</v>
      </c>
      <c r="AE14" s="264" t="s">
        <v>1000</v>
      </c>
      <c r="AF14" s="264" t="s">
        <v>1000</v>
      </c>
      <c r="AG14" s="264" t="s">
        <v>1000</v>
      </c>
      <c r="AH14" s="264" t="s">
        <v>1002</v>
      </c>
      <c r="AI14" s="264" t="s">
        <v>1002</v>
      </c>
      <c r="AJ14" s="264" t="s">
        <v>995</v>
      </c>
      <c r="AK14" s="264" t="s">
        <v>995</v>
      </c>
      <c r="AL14" s="264" t="s">
        <v>995</v>
      </c>
    </row>
    <row r="15" spans="1:38">
      <c r="A15" s="264">
        <v>3431</v>
      </c>
      <c r="B15" s="264" t="s">
        <v>128</v>
      </c>
      <c r="C15" s="264" t="s">
        <v>1416</v>
      </c>
      <c r="D15" s="264" t="s">
        <v>1004</v>
      </c>
      <c r="E15" s="264">
        <v>63000</v>
      </c>
      <c r="F15" s="264" t="s">
        <v>165</v>
      </c>
      <c r="G15" s="389">
        <v>33827</v>
      </c>
      <c r="H15" s="264">
        <v>31</v>
      </c>
      <c r="I15" s="389">
        <v>42095</v>
      </c>
      <c r="K15" s="390">
        <v>42278</v>
      </c>
      <c r="L15" s="264">
        <v>20</v>
      </c>
      <c r="M15" s="264" t="s">
        <v>1015</v>
      </c>
      <c r="N15" s="264">
        <v>1</v>
      </c>
      <c r="O15" s="264" t="s">
        <v>829</v>
      </c>
      <c r="P15" s="264" t="s">
        <v>994</v>
      </c>
      <c r="Q15" s="264" t="s">
        <v>1009</v>
      </c>
      <c r="R15" s="264" t="s">
        <v>1010</v>
      </c>
      <c r="S15" s="264" t="s">
        <v>996</v>
      </c>
      <c r="T15" s="264" t="s">
        <v>997</v>
      </c>
      <c r="U15" s="264" t="s">
        <v>995</v>
      </c>
      <c r="V15" s="264" t="s">
        <v>995</v>
      </c>
      <c r="W15" s="264" t="s">
        <v>995</v>
      </c>
      <c r="X15" s="264" t="s">
        <v>828</v>
      </c>
      <c r="Y15" s="264" t="s">
        <v>998</v>
      </c>
      <c r="Z15" s="264">
        <v>31</v>
      </c>
      <c r="AA15" s="264" t="s">
        <v>999</v>
      </c>
      <c r="AB15" s="264">
        <v>31</v>
      </c>
      <c r="AC15" s="264" t="s">
        <v>999</v>
      </c>
      <c r="AD15" s="264" t="s">
        <v>1000</v>
      </c>
      <c r="AE15" s="264" t="s">
        <v>1000</v>
      </c>
      <c r="AF15" s="264" t="s">
        <v>1000</v>
      </c>
      <c r="AG15" s="264" t="s">
        <v>1000</v>
      </c>
      <c r="AH15" s="264" t="s">
        <v>1002</v>
      </c>
      <c r="AI15" s="264" t="s">
        <v>1002</v>
      </c>
      <c r="AJ15" s="264" t="s">
        <v>995</v>
      </c>
      <c r="AK15" s="264" t="s">
        <v>995</v>
      </c>
      <c r="AL15" s="264" t="s">
        <v>995</v>
      </c>
    </row>
    <row r="16" spans="1:38">
      <c r="A16" s="264">
        <v>3950</v>
      </c>
      <c r="B16" s="264" t="s">
        <v>246</v>
      </c>
      <c r="C16" s="264" t="s">
        <v>1417</v>
      </c>
      <c r="D16" s="264" t="s">
        <v>991</v>
      </c>
      <c r="E16" s="264">
        <v>63000</v>
      </c>
      <c r="F16" s="264" t="s">
        <v>165</v>
      </c>
      <c r="G16" s="389">
        <v>25397</v>
      </c>
      <c r="H16" s="264">
        <v>54</v>
      </c>
      <c r="I16" s="389">
        <v>38769</v>
      </c>
      <c r="K16" s="390">
        <v>42278</v>
      </c>
      <c r="L16" s="264">
        <v>20</v>
      </c>
      <c r="M16" s="264" t="s">
        <v>1015</v>
      </c>
      <c r="N16" s="264">
        <v>1</v>
      </c>
      <c r="O16" s="264" t="s">
        <v>829</v>
      </c>
      <c r="P16" s="264" t="s">
        <v>994</v>
      </c>
      <c r="Q16" s="264" t="s">
        <v>1009</v>
      </c>
      <c r="R16" s="264" t="s">
        <v>1010</v>
      </c>
      <c r="S16" s="264" t="s">
        <v>996</v>
      </c>
      <c r="T16" s="264" t="s">
        <v>1291</v>
      </c>
      <c r="U16" s="264" t="s">
        <v>995</v>
      </c>
      <c r="V16" s="264" t="s">
        <v>995</v>
      </c>
      <c r="W16" s="264" t="s">
        <v>995</v>
      </c>
      <c r="X16" s="264" t="s">
        <v>828</v>
      </c>
      <c r="Y16" s="264" t="s">
        <v>998</v>
      </c>
      <c r="Z16" s="264">
        <v>31</v>
      </c>
      <c r="AA16" s="264" t="s">
        <v>999</v>
      </c>
      <c r="AB16" s="264">
        <v>31</v>
      </c>
      <c r="AC16" s="264" t="s">
        <v>999</v>
      </c>
      <c r="AD16" s="264" t="s">
        <v>1000</v>
      </c>
      <c r="AE16" s="264" t="s">
        <v>1000</v>
      </c>
      <c r="AF16" s="264" t="s">
        <v>1000</v>
      </c>
      <c r="AG16" s="264" t="s">
        <v>1000</v>
      </c>
      <c r="AH16" s="264" t="s">
        <v>1002</v>
      </c>
      <c r="AI16" s="264" t="s">
        <v>1002</v>
      </c>
      <c r="AJ16" s="264" t="s">
        <v>995</v>
      </c>
      <c r="AK16" s="264" t="s">
        <v>995</v>
      </c>
      <c r="AL16" s="264" t="s">
        <v>995</v>
      </c>
    </row>
    <row r="17" spans="1:38">
      <c r="A17" s="264">
        <v>1423</v>
      </c>
      <c r="B17" s="264" t="s">
        <v>749</v>
      </c>
      <c r="C17" s="264" t="s">
        <v>1418</v>
      </c>
      <c r="D17" s="264" t="s">
        <v>1004</v>
      </c>
      <c r="E17" s="264">
        <v>63000</v>
      </c>
      <c r="F17" s="264" t="s">
        <v>165</v>
      </c>
      <c r="G17" s="389">
        <v>34901</v>
      </c>
      <c r="H17" s="264">
        <v>28</v>
      </c>
      <c r="I17" s="389">
        <v>44621</v>
      </c>
      <c r="K17" s="390">
        <v>44652</v>
      </c>
      <c r="L17" s="264">
        <v>20</v>
      </c>
      <c r="M17" s="264" t="s">
        <v>1015</v>
      </c>
      <c r="N17" s="264">
        <v>1</v>
      </c>
      <c r="O17" s="264" t="s">
        <v>829</v>
      </c>
      <c r="P17" s="264" t="s">
        <v>994</v>
      </c>
      <c r="Q17" s="264" t="s">
        <v>1009</v>
      </c>
      <c r="R17" s="264" t="s">
        <v>1010</v>
      </c>
      <c r="S17" s="264" t="s">
        <v>996</v>
      </c>
      <c r="T17" s="264" t="s">
        <v>997</v>
      </c>
      <c r="U17" s="264" t="s">
        <v>995</v>
      </c>
      <c r="V17" s="264" t="s">
        <v>995</v>
      </c>
      <c r="W17" s="264" t="s">
        <v>995</v>
      </c>
      <c r="X17" s="264" t="s">
        <v>828</v>
      </c>
      <c r="Y17" s="264" t="s">
        <v>998</v>
      </c>
      <c r="Z17" s="264">
        <v>31</v>
      </c>
      <c r="AA17" s="264" t="s">
        <v>999</v>
      </c>
      <c r="AB17" s="264">
        <v>31</v>
      </c>
      <c r="AC17" s="264" t="s">
        <v>999</v>
      </c>
      <c r="AD17" s="264" t="s">
        <v>1000</v>
      </c>
      <c r="AE17" s="264" t="s">
        <v>1000</v>
      </c>
      <c r="AF17" s="264" t="s">
        <v>1000</v>
      </c>
      <c r="AG17" s="264" t="s">
        <v>1000</v>
      </c>
      <c r="AH17" s="264" t="s">
        <v>1002</v>
      </c>
      <c r="AI17" s="264" t="s">
        <v>1002</v>
      </c>
      <c r="AJ17" s="264" t="s">
        <v>995</v>
      </c>
      <c r="AK17" s="264" t="s">
        <v>995</v>
      </c>
      <c r="AL17" s="264" t="s">
        <v>995</v>
      </c>
    </row>
    <row r="18" spans="1:38">
      <c r="A18" s="264">
        <v>3380</v>
      </c>
      <c r="B18" s="264" t="s">
        <v>170</v>
      </c>
      <c r="C18" s="264" t="s">
        <v>1419</v>
      </c>
      <c r="D18" s="264" t="s">
        <v>1004</v>
      </c>
      <c r="E18" s="264">
        <v>63000</v>
      </c>
      <c r="F18" s="264" t="s">
        <v>165</v>
      </c>
      <c r="G18" s="389">
        <v>34150</v>
      </c>
      <c r="H18" s="264">
        <v>30</v>
      </c>
      <c r="I18" s="389">
        <v>40989</v>
      </c>
      <c r="K18" s="390">
        <v>42278</v>
      </c>
      <c r="L18" s="264">
        <v>20</v>
      </c>
      <c r="M18" s="264" t="s">
        <v>1015</v>
      </c>
      <c r="N18" s="264">
        <v>1</v>
      </c>
      <c r="O18" s="264" t="s">
        <v>829</v>
      </c>
      <c r="P18" s="264" t="s">
        <v>994</v>
      </c>
      <c r="Q18" s="264" t="s">
        <v>1009</v>
      </c>
      <c r="R18" s="264" t="s">
        <v>1010</v>
      </c>
      <c r="S18" s="264" t="s">
        <v>996</v>
      </c>
      <c r="T18" s="264" t="s">
        <v>997</v>
      </c>
      <c r="U18" s="264" t="s">
        <v>995</v>
      </c>
      <c r="V18" s="264" t="s">
        <v>995</v>
      </c>
      <c r="W18" s="264" t="s">
        <v>995</v>
      </c>
      <c r="X18" s="264" t="s">
        <v>828</v>
      </c>
      <c r="Y18" s="264" t="s">
        <v>998</v>
      </c>
      <c r="Z18" s="264">
        <v>31</v>
      </c>
      <c r="AA18" s="264" t="s">
        <v>999</v>
      </c>
      <c r="AB18" s="264">
        <v>31</v>
      </c>
      <c r="AC18" s="264" t="s">
        <v>999</v>
      </c>
      <c r="AD18" s="264" t="s">
        <v>1000</v>
      </c>
      <c r="AE18" s="264" t="s">
        <v>1000</v>
      </c>
      <c r="AF18" s="264" t="s">
        <v>1000</v>
      </c>
      <c r="AG18" s="264" t="s">
        <v>1000</v>
      </c>
      <c r="AH18" s="264" t="s">
        <v>1002</v>
      </c>
      <c r="AI18" s="264" t="s">
        <v>1002</v>
      </c>
      <c r="AJ18" s="264" t="s">
        <v>995</v>
      </c>
      <c r="AK18" s="264" t="s">
        <v>995</v>
      </c>
      <c r="AL18" s="264" t="s">
        <v>995</v>
      </c>
    </row>
    <row r="19" spans="1:38">
      <c r="A19" s="264">
        <v>3537</v>
      </c>
      <c r="B19" s="264" t="s">
        <v>1420</v>
      </c>
      <c r="C19" s="264" t="s">
        <v>1421</v>
      </c>
      <c r="D19" s="264" t="s">
        <v>1004</v>
      </c>
      <c r="E19" s="264">
        <v>63000</v>
      </c>
      <c r="F19" s="264" t="s">
        <v>165</v>
      </c>
      <c r="G19" s="389">
        <v>36807</v>
      </c>
      <c r="H19" s="264">
        <v>23</v>
      </c>
      <c r="I19" s="389">
        <v>45017</v>
      </c>
      <c r="K19" s="390">
        <v>45047</v>
      </c>
      <c r="L19" s="264">
        <v>20</v>
      </c>
      <c r="M19" s="264" t="s">
        <v>1015</v>
      </c>
      <c r="N19" s="264">
        <v>1</v>
      </c>
      <c r="O19" s="264" t="s">
        <v>829</v>
      </c>
      <c r="P19" s="264" t="s">
        <v>994</v>
      </c>
      <c r="Q19" s="264" t="s">
        <v>1009</v>
      </c>
      <c r="R19" s="264" t="s">
        <v>1010</v>
      </c>
      <c r="S19" s="264" t="s">
        <v>996</v>
      </c>
      <c r="T19" s="264" t="s">
        <v>997</v>
      </c>
      <c r="U19" s="264" t="s">
        <v>995</v>
      </c>
      <c r="V19" s="264" t="s">
        <v>995</v>
      </c>
      <c r="W19" s="264" t="s">
        <v>995</v>
      </c>
      <c r="X19" s="264" t="s">
        <v>828</v>
      </c>
      <c r="Y19" s="264" t="s">
        <v>998</v>
      </c>
      <c r="Z19" s="264">
        <v>31</v>
      </c>
      <c r="AA19" s="264" t="s">
        <v>999</v>
      </c>
      <c r="AB19" s="264">
        <v>31</v>
      </c>
      <c r="AC19" s="264" t="s">
        <v>999</v>
      </c>
      <c r="AD19" s="264" t="s">
        <v>1000</v>
      </c>
      <c r="AE19" s="264" t="s">
        <v>1000</v>
      </c>
      <c r="AF19" s="264" t="s">
        <v>1000</v>
      </c>
      <c r="AG19" s="264" t="s">
        <v>1000</v>
      </c>
      <c r="AH19" s="264" t="s">
        <v>1002</v>
      </c>
      <c r="AI19" s="264" t="s">
        <v>1002</v>
      </c>
      <c r="AJ19" s="264" t="s">
        <v>995</v>
      </c>
      <c r="AK19" s="264" t="s">
        <v>995</v>
      </c>
      <c r="AL19" s="264" t="s">
        <v>995</v>
      </c>
    </row>
    <row r="20" spans="1:38">
      <c r="A20" s="264">
        <v>5062</v>
      </c>
      <c r="B20" s="264" t="s">
        <v>119</v>
      </c>
      <c r="C20" s="264" t="s">
        <v>1422</v>
      </c>
      <c r="D20" s="264" t="s">
        <v>1004</v>
      </c>
      <c r="E20" s="264">
        <v>63000</v>
      </c>
      <c r="F20" s="264" t="s">
        <v>165</v>
      </c>
      <c r="G20" s="389">
        <v>24323</v>
      </c>
      <c r="H20" s="264">
        <v>57</v>
      </c>
      <c r="I20" s="389">
        <v>30035</v>
      </c>
      <c r="K20" s="390">
        <v>42278</v>
      </c>
      <c r="L20" s="264">
        <v>20</v>
      </c>
      <c r="M20" s="264" t="s">
        <v>1015</v>
      </c>
      <c r="N20" s="264">
        <v>1</v>
      </c>
      <c r="O20" s="264" t="s">
        <v>829</v>
      </c>
      <c r="P20" s="264" t="s">
        <v>994</v>
      </c>
      <c r="Q20" s="264" t="s">
        <v>1009</v>
      </c>
      <c r="R20" s="264" t="s">
        <v>1010</v>
      </c>
      <c r="S20" s="264" t="s">
        <v>996</v>
      </c>
      <c r="T20" s="264" t="s">
        <v>997</v>
      </c>
      <c r="U20" s="264" t="s">
        <v>995</v>
      </c>
      <c r="V20" s="264" t="s">
        <v>995</v>
      </c>
      <c r="W20" s="264" t="s">
        <v>995</v>
      </c>
      <c r="X20" s="264" t="s">
        <v>828</v>
      </c>
      <c r="Y20" s="264" t="s">
        <v>998</v>
      </c>
      <c r="Z20" s="264">
        <v>31</v>
      </c>
      <c r="AA20" s="264" t="s">
        <v>999</v>
      </c>
      <c r="AB20" s="264">
        <v>31</v>
      </c>
      <c r="AC20" s="264" t="s">
        <v>999</v>
      </c>
      <c r="AD20" s="264" t="s">
        <v>1000</v>
      </c>
      <c r="AE20" s="264" t="s">
        <v>1000</v>
      </c>
      <c r="AF20" s="264" t="s">
        <v>1000</v>
      </c>
      <c r="AG20" s="264" t="s">
        <v>1000</v>
      </c>
      <c r="AH20" s="264" t="s">
        <v>1002</v>
      </c>
      <c r="AI20" s="264" t="s">
        <v>1002</v>
      </c>
      <c r="AJ20" s="264" t="s">
        <v>995</v>
      </c>
      <c r="AK20" s="264" t="s">
        <v>995</v>
      </c>
      <c r="AL20" s="264" t="s">
        <v>995</v>
      </c>
    </row>
    <row r="21" spans="1:38">
      <c r="A21" s="264">
        <v>3178</v>
      </c>
      <c r="B21" s="264" t="s">
        <v>125</v>
      </c>
      <c r="C21" s="264" t="s">
        <v>1281</v>
      </c>
      <c r="D21" s="264" t="s">
        <v>1004</v>
      </c>
      <c r="E21" s="264">
        <v>51000</v>
      </c>
      <c r="F21" s="264" t="s">
        <v>124</v>
      </c>
      <c r="G21" s="389">
        <v>29150</v>
      </c>
      <c r="H21" s="264">
        <v>44</v>
      </c>
      <c r="I21" s="389">
        <v>37337</v>
      </c>
      <c r="K21" s="390">
        <v>42278</v>
      </c>
      <c r="L21" s="264">
        <v>20</v>
      </c>
      <c r="M21" s="264" t="s">
        <v>1015</v>
      </c>
      <c r="N21" s="264">
        <v>1</v>
      </c>
      <c r="O21" s="264" t="s">
        <v>829</v>
      </c>
      <c r="P21" s="264" t="s">
        <v>994</v>
      </c>
      <c r="Q21" s="264" t="s">
        <v>1009</v>
      </c>
      <c r="R21" s="264" t="s">
        <v>1010</v>
      </c>
      <c r="S21" s="264" t="s">
        <v>996</v>
      </c>
      <c r="T21" s="264" t="s">
        <v>997</v>
      </c>
      <c r="U21" s="264" t="s">
        <v>995</v>
      </c>
      <c r="V21" s="264" t="s">
        <v>995</v>
      </c>
      <c r="W21" s="264" t="s">
        <v>995</v>
      </c>
      <c r="X21" s="264" t="s">
        <v>828</v>
      </c>
      <c r="Y21" s="264" t="s">
        <v>998</v>
      </c>
      <c r="Z21" s="264">
        <v>31</v>
      </c>
      <c r="AA21" s="264" t="s">
        <v>999</v>
      </c>
      <c r="AB21" s="264">
        <v>31</v>
      </c>
      <c r="AC21" s="264" t="s">
        <v>999</v>
      </c>
      <c r="AD21" s="264" t="s">
        <v>1000</v>
      </c>
      <c r="AE21" s="264" t="s">
        <v>1000</v>
      </c>
      <c r="AF21" s="264" t="s">
        <v>1000</v>
      </c>
      <c r="AG21" s="264" t="s">
        <v>1000</v>
      </c>
      <c r="AH21" s="264" t="s">
        <v>1002</v>
      </c>
      <c r="AI21" s="264" t="s">
        <v>1002</v>
      </c>
      <c r="AJ21" s="264" t="s">
        <v>995</v>
      </c>
      <c r="AK21" s="264" t="s">
        <v>995</v>
      </c>
      <c r="AL21" s="264" t="s">
        <v>995</v>
      </c>
    </row>
    <row r="22" spans="1:38">
      <c r="A22" s="264">
        <v>3319</v>
      </c>
      <c r="B22" s="264" t="s">
        <v>126</v>
      </c>
      <c r="C22" s="264" t="s">
        <v>1353</v>
      </c>
      <c r="D22" s="264" t="s">
        <v>1004</v>
      </c>
      <c r="E22" s="264">
        <v>51000</v>
      </c>
      <c r="F22" s="264" t="s">
        <v>124</v>
      </c>
      <c r="G22" s="389">
        <v>32123</v>
      </c>
      <c r="H22" s="264">
        <v>36</v>
      </c>
      <c r="I22" s="389">
        <v>40258</v>
      </c>
      <c r="K22" s="390">
        <v>42278</v>
      </c>
      <c r="L22" s="264">
        <v>20</v>
      </c>
      <c r="M22" s="264" t="s">
        <v>1015</v>
      </c>
      <c r="N22" s="264">
        <v>1</v>
      </c>
      <c r="O22" s="264" t="s">
        <v>829</v>
      </c>
      <c r="P22" s="264" t="s">
        <v>994</v>
      </c>
      <c r="Q22" s="264" t="s">
        <v>1009</v>
      </c>
      <c r="R22" s="264" t="s">
        <v>1010</v>
      </c>
      <c r="S22" s="264" t="s">
        <v>996</v>
      </c>
      <c r="T22" s="264" t="s">
        <v>997</v>
      </c>
      <c r="U22" s="264" t="s">
        <v>995</v>
      </c>
      <c r="V22" s="264" t="s">
        <v>995</v>
      </c>
      <c r="W22" s="264" t="s">
        <v>995</v>
      </c>
      <c r="X22" s="264" t="s">
        <v>828</v>
      </c>
      <c r="Y22" s="264" t="s">
        <v>998</v>
      </c>
      <c r="Z22" s="264">
        <v>31</v>
      </c>
      <c r="AA22" s="264" t="s">
        <v>999</v>
      </c>
      <c r="AB22" s="264">
        <v>31</v>
      </c>
      <c r="AC22" s="264" t="s">
        <v>999</v>
      </c>
      <c r="AD22" s="264" t="s">
        <v>1000</v>
      </c>
      <c r="AE22" s="264" t="s">
        <v>1000</v>
      </c>
      <c r="AF22" s="264" t="s">
        <v>1000</v>
      </c>
      <c r="AG22" s="264" t="s">
        <v>1000</v>
      </c>
      <c r="AH22" s="264" t="s">
        <v>1002</v>
      </c>
      <c r="AI22" s="264" t="s">
        <v>1002</v>
      </c>
      <c r="AJ22" s="264" t="s">
        <v>995</v>
      </c>
      <c r="AK22" s="264" t="s">
        <v>995</v>
      </c>
      <c r="AL22" s="264" t="s">
        <v>995</v>
      </c>
    </row>
    <row r="23" spans="1:38">
      <c r="A23" s="264">
        <v>3360</v>
      </c>
      <c r="B23" s="264" t="s">
        <v>127</v>
      </c>
      <c r="C23" s="264" t="s">
        <v>1354</v>
      </c>
      <c r="D23" s="264" t="s">
        <v>1004</v>
      </c>
      <c r="E23" s="264">
        <v>51000</v>
      </c>
      <c r="F23" s="264" t="s">
        <v>124</v>
      </c>
      <c r="G23" s="389">
        <v>32815</v>
      </c>
      <c r="H23" s="264">
        <v>34</v>
      </c>
      <c r="I23" s="389">
        <v>40989</v>
      </c>
      <c r="K23" s="390">
        <v>42278</v>
      </c>
      <c r="L23" s="264">
        <v>20</v>
      </c>
      <c r="M23" s="264" t="s">
        <v>1015</v>
      </c>
      <c r="N23" s="264">
        <v>1</v>
      </c>
      <c r="O23" s="264" t="s">
        <v>829</v>
      </c>
      <c r="P23" s="264" t="s">
        <v>994</v>
      </c>
      <c r="Q23" s="264" t="s">
        <v>1009</v>
      </c>
      <c r="R23" s="264" t="s">
        <v>1010</v>
      </c>
      <c r="S23" s="264" t="s">
        <v>996</v>
      </c>
      <c r="T23" s="264" t="s">
        <v>997</v>
      </c>
      <c r="U23" s="264" t="s">
        <v>995</v>
      </c>
      <c r="V23" s="264" t="s">
        <v>995</v>
      </c>
      <c r="W23" s="264" t="s">
        <v>995</v>
      </c>
      <c r="X23" s="264" t="s">
        <v>828</v>
      </c>
      <c r="Y23" s="264" t="s">
        <v>998</v>
      </c>
      <c r="Z23" s="264">
        <v>31</v>
      </c>
      <c r="AA23" s="264" t="s">
        <v>999</v>
      </c>
      <c r="AB23" s="264">
        <v>31</v>
      </c>
      <c r="AC23" s="264" t="s">
        <v>999</v>
      </c>
      <c r="AD23" s="264" t="s">
        <v>1000</v>
      </c>
      <c r="AE23" s="264" t="s">
        <v>1000</v>
      </c>
      <c r="AF23" s="264" t="s">
        <v>1000</v>
      </c>
      <c r="AG23" s="264" t="s">
        <v>1000</v>
      </c>
      <c r="AH23" s="264" t="s">
        <v>1002</v>
      </c>
      <c r="AI23" s="264" t="s">
        <v>1002</v>
      </c>
      <c r="AJ23" s="264" t="s">
        <v>995</v>
      </c>
      <c r="AK23" s="264" t="s">
        <v>995</v>
      </c>
      <c r="AL23" s="264" t="s">
        <v>995</v>
      </c>
    </row>
    <row r="24" spans="1:38">
      <c r="A24" s="264">
        <v>3413</v>
      </c>
      <c r="B24" s="264" t="s">
        <v>169</v>
      </c>
      <c r="C24" s="264" t="s">
        <v>1355</v>
      </c>
      <c r="D24" s="264" t="s">
        <v>1004</v>
      </c>
      <c r="E24" s="264">
        <v>51000</v>
      </c>
      <c r="F24" s="264" t="s">
        <v>124</v>
      </c>
      <c r="G24" s="389">
        <v>32683</v>
      </c>
      <c r="H24" s="264">
        <v>34</v>
      </c>
      <c r="I24" s="389">
        <v>41719</v>
      </c>
      <c r="K24" s="390">
        <v>42278</v>
      </c>
      <c r="L24" s="264">
        <v>20</v>
      </c>
      <c r="M24" s="264" t="s">
        <v>1015</v>
      </c>
      <c r="N24" s="264">
        <v>1</v>
      </c>
      <c r="O24" s="264" t="s">
        <v>829</v>
      </c>
      <c r="P24" s="264" t="s">
        <v>994</v>
      </c>
      <c r="Q24" s="264" t="s">
        <v>1009</v>
      </c>
      <c r="R24" s="264" t="s">
        <v>1010</v>
      </c>
      <c r="S24" s="264" t="s">
        <v>996</v>
      </c>
      <c r="T24" s="264" t="s">
        <v>997</v>
      </c>
      <c r="U24" s="264" t="s">
        <v>995</v>
      </c>
      <c r="V24" s="264" t="s">
        <v>995</v>
      </c>
      <c r="W24" s="264" t="s">
        <v>995</v>
      </c>
      <c r="X24" s="264" t="s">
        <v>828</v>
      </c>
      <c r="Y24" s="264" t="s">
        <v>998</v>
      </c>
      <c r="Z24" s="264">
        <v>31</v>
      </c>
      <c r="AA24" s="264" t="s">
        <v>999</v>
      </c>
      <c r="AB24" s="264">
        <v>31</v>
      </c>
      <c r="AC24" s="264" t="s">
        <v>999</v>
      </c>
      <c r="AD24" s="264" t="s">
        <v>1000</v>
      </c>
      <c r="AE24" s="264" t="s">
        <v>1000</v>
      </c>
      <c r="AF24" s="264" t="s">
        <v>1000</v>
      </c>
      <c r="AG24" s="264" t="s">
        <v>1000</v>
      </c>
      <c r="AH24" s="264" t="s">
        <v>1002</v>
      </c>
      <c r="AI24" s="264" t="s">
        <v>1002</v>
      </c>
      <c r="AJ24" s="264" t="s">
        <v>995</v>
      </c>
      <c r="AK24" s="264" t="s">
        <v>995</v>
      </c>
      <c r="AL24" s="264" t="s">
        <v>995</v>
      </c>
    </row>
    <row r="25" spans="1:38">
      <c r="A25" s="264">
        <v>3529</v>
      </c>
      <c r="B25" s="264" t="s">
        <v>763</v>
      </c>
      <c r="C25" s="264" t="s">
        <v>1348</v>
      </c>
      <c r="D25" s="264" t="s">
        <v>991</v>
      </c>
      <c r="E25" s="264">
        <v>50000</v>
      </c>
      <c r="F25" s="264" t="s">
        <v>120</v>
      </c>
      <c r="G25" s="389">
        <v>36546</v>
      </c>
      <c r="H25" s="264">
        <v>24</v>
      </c>
      <c r="I25" s="389">
        <v>44652</v>
      </c>
      <c r="K25" s="390">
        <v>44652</v>
      </c>
      <c r="L25" s="264">
        <v>20</v>
      </c>
      <c r="M25" s="264" t="s">
        <v>1015</v>
      </c>
      <c r="N25" s="264">
        <v>1</v>
      </c>
      <c r="O25" s="264" t="s">
        <v>829</v>
      </c>
      <c r="P25" s="264" t="s">
        <v>994</v>
      </c>
      <c r="Q25" s="264" t="s">
        <v>1009</v>
      </c>
      <c r="R25" s="264" t="s">
        <v>1010</v>
      </c>
      <c r="S25" s="264" t="s">
        <v>996</v>
      </c>
      <c r="T25" s="264" t="s">
        <v>997</v>
      </c>
      <c r="U25" s="264" t="s">
        <v>995</v>
      </c>
      <c r="V25" s="264" t="s">
        <v>995</v>
      </c>
      <c r="W25" s="264" t="s">
        <v>995</v>
      </c>
      <c r="X25" s="264" t="s">
        <v>828</v>
      </c>
      <c r="Y25" s="264" t="s">
        <v>998</v>
      </c>
      <c r="Z25" s="264">
        <v>31</v>
      </c>
      <c r="AA25" s="264" t="s">
        <v>999</v>
      </c>
      <c r="AB25" s="264">
        <v>31</v>
      </c>
      <c r="AC25" s="264" t="s">
        <v>999</v>
      </c>
      <c r="AD25" s="264" t="s">
        <v>1000</v>
      </c>
      <c r="AE25" s="264" t="s">
        <v>1000</v>
      </c>
      <c r="AF25" s="264" t="s">
        <v>1000</v>
      </c>
      <c r="AG25" s="264" t="s">
        <v>1000</v>
      </c>
      <c r="AH25" s="264" t="s">
        <v>1002</v>
      </c>
      <c r="AI25" s="264" t="s">
        <v>1002</v>
      </c>
      <c r="AJ25" s="264" t="s">
        <v>995</v>
      </c>
      <c r="AK25" s="264" t="s">
        <v>995</v>
      </c>
      <c r="AL25" s="264" t="s">
        <v>995</v>
      </c>
    </row>
    <row r="26" spans="1:38">
      <c r="A26" s="264">
        <v>1418</v>
      </c>
      <c r="B26" s="264" t="s">
        <v>830</v>
      </c>
      <c r="C26" s="264" t="s">
        <v>1349</v>
      </c>
      <c r="D26" s="264" t="s">
        <v>1004</v>
      </c>
      <c r="E26" s="264">
        <v>50000</v>
      </c>
      <c r="F26" s="264" t="s">
        <v>120</v>
      </c>
      <c r="G26" s="389">
        <v>32238</v>
      </c>
      <c r="H26" s="264">
        <v>35</v>
      </c>
      <c r="I26" s="389">
        <v>44531</v>
      </c>
      <c r="K26" s="390">
        <v>44166</v>
      </c>
      <c r="L26" s="264">
        <v>20</v>
      </c>
      <c r="M26" s="264" t="s">
        <v>1015</v>
      </c>
      <c r="N26" s="264">
        <v>1</v>
      </c>
      <c r="O26" s="264" t="s">
        <v>829</v>
      </c>
      <c r="P26" s="264" t="s">
        <v>994</v>
      </c>
      <c r="Q26" s="264" t="s">
        <v>1009</v>
      </c>
      <c r="R26" s="264" t="s">
        <v>1010</v>
      </c>
      <c r="S26" s="264" t="s">
        <v>996</v>
      </c>
      <c r="T26" s="264" t="s">
        <v>997</v>
      </c>
      <c r="U26" s="264" t="s">
        <v>995</v>
      </c>
      <c r="V26" s="264" t="s">
        <v>995</v>
      </c>
      <c r="W26" s="264" t="s">
        <v>995</v>
      </c>
      <c r="X26" s="264" t="s">
        <v>828</v>
      </c>
      <c r="Y26" s="264" t="s">
        <v>998</v>
      </c>
      <c r="Z26" s="264">
        <v>31</v>
      </c>
      <c r="AA26" s="264" t="s">
        <v>999</v>
      </c>
      <c r="AB26" s="264">
        <v>31</v>
      </c>
      <c r="AC26" s="264" t="s">
        <v>999</v>
      </c>
      <c r="AD26" s="264" t="s">
        <v>1000</v>
      </c>
      <c r="AE26" s="264" t="s">
        <v>1000</v>
      </c>
      <c r="AF26" s="264" t="s">
        <v>1000</v>
      </c>
      <c r="AG26" s="264" t="s">
        <v>1000</v>
      </c>
      <c r="AH26" s="264" t="s">
        <v>1002</v>
      </c>
      <c r="AI26" s="264" t="s">
        <v>1002</v>
      </c>
      <c r="AJ26" s="264" t="s">
        <v>995</v>
      </c>
      <c r="AK26" s="264" t="s">
        <v>995</v>
      </c>
      <c r="AL26" s="264" t="s">
        <v>995</v>
      </c>
    </row>
    <row r="27" spans="1:38">
      <c r="A27" s="264">
        <v>3489</v>
      </c>
      <c r="B27" s="264" t="s">
        <v>122</v>
      </c>
      <c r="C27" s="264" t="s">
        <v>1350</v>
      </c>
      <c r="D27" s="264" t="s">
        <v>1004</v>
      </c>
      <c r="E27" s="264">
        <v>50000</v>
      </c>
      <c r="F27" s="264" t="s">
        <v>120</v>
      </c>
      <c r="G27" s="389">
        <v>34865</v>
      </c>
      <c r="H27" s="264">
        <v>28</v>
      </c>
      <c r="I27" s="389">
        <v>43191</v>
      </c>
      <c r="K27" s="390">
        <v>43191</v>
      </c>
      <c r="L27" s="264">
        <v>20</v>
      </c>
      <c r="M27" s="264" t="s">
        <v>1015</v>
      </c>
      <c r="N27" s="264">
        <v>1</v>
      </c>
      <c r="O27" s="264" t="s">
        <v>829</v>
      </c>
      <c r="P27" s="264" t="s">
        <v>994</v>
      </c>
      <c r="Q27" s="264" t="s">
        <v>1009</v>
      </c>
      <c r="R27" s="264" t="s">
        <v>1010</v>
      </c>
      <c r="S27" s="264" t="s">
        <v>996</v>
      </c>
      <c r="T27" s="264" t="s">
        <v>997</v>
      </c>
      <c r="U27" s="264" t="s">
        <v>995</v>
      </c>
      <c r="V27" s="264" t="s">
        <v>995</v>
      </c>
      <c r="W27" s="264" t="s">
        <v>995</v>
      </c>
      <c r="X27" s="264" t="s">
        <v>828</v>
      </c>
      <c r="Y27" s="264" t="s">
        <v>998</v>
      </c>
      <c r="Z27" s="264">
        <v>31</v>
      </c>
      <c r="AA27" s="264" t="s">
        <v>999</v>
      </c>
      <c r="AB27" s="264">
        <v>31</v>
      </c>
      <c r="AC27" s="264" t="s">
        <v>999</v>
      </c>
      <c r="AD27" s="264" t="s">
        <v>1000</v>
      </c>
      <c r="AE27" s="264" t="s">
        <v>1000</v>
      </c>
      <c r="AF27" s="264" t="s">
        <v>1000</v>
      </c>
      <c r="AG27" s="264" t="s">
        <v>1000</v>
      </c>
      <c r="AH27" s="264" t="s">
        <v>1002</v>
      </c>
      <c r="AI27" s="264" t="s">
        <v>1002</v>
      </c>
      <c r="AJ27" s="264" t="s">
        <v>995</v>
      </c>
      <c r="AK27" s="264" t="s">
        <v>995</v>
      </c>
      <c r="AL27" s="264" t="s">
        <v>995</v>
      </c>
    </row>
    <row r="28" spans="1:38">
      <c r="A28" s="264">
        <v>3496</v>
      </c>
      <c r="B28" s="264" t="s">
        <v>239</v>
      </c>
      <c r="C28" s="264" t="s">
        <v>1351</v>
      </c>
      <c r="D28" s="264" t="s">
        <v>991</v>
      </c>
      <c r="E28" s="264">
        <v>50000</v>
      </c>
      <c r="F28" s="264" t="s">
        <v>120</v>
      </c>
      <c r="G28" s="389">
        <v>36292</v>
      </c>
      <c r="H28" s="264">
        <v>24</v>
      </c>
      <c r="I28" s="389">
        <v>43191</v>
      </c>
      <c r="K28" s="390">
        <v>43191</v>
      </c>
      <c r="L28" s="264">
        <v>20</v>
      </c>
      <c r="M28" s="264" t="s">
        <v>1015</v>
      </c>
      <c r="N28" s="264">
        <v>1</v>
      </c>
      <c r="O28" s="264" t="s">
        <v>829</v>
      </c>
      <c r="P28" s="264" t="s">
        <v>994</v>
      </c>
      <c r="Q28" s="264" t="s">
        <v>1009</v>
      </c>
      <c r="R28" s="264" t="s">
        <v>1010</v>
      </c>
      <c r="S28" s="264" t="s">
        <v>996</v>
      </c>
      <c r="T28" s="264" t="s">
        <v>997</v>
      </c>
      <c r="U28" s="264" t="s">
        <v>995</v>
      </c>
      <c r="V28" s="264" t="s">
        <v>995</v>
      </c>
      <c r="W28" s="264" t="s">
        <v>995</v>
      </c>
      <c r="X28" s="264" t="s">
        <v>828</v>
      </c>
      <c r="Y28" s="264" t="s">
        <v>998</v>
      </c>
      <c r="Z28" s="264">
        <v>31</v>
      </c>
      <c r="AA28" s="264" t="s">
        <v>999</v>
      </c>
      <c r="AB28" s="264">
        <v>31</v>
      </c>
      <c r="AC28" s="264" t="s">
        <v>999</v>
      </c>
      <c r="AD28" s="264" t="s">
        <v>1000</v>
      </c>
      <c r="AE28" s="264" t="s">
        <v>1000</v>
      </c>
      <c r="AF28" s="264" t="s">
        <v>1000</v>
      </c>
      <c r="AG28" s="264" t="s">
        <v>1000</v>
      </c>
      <c r="AH28" s="264" t="s">
        <v>1002</v>
      </c>
      <c r="AI28" s="264" t="s">
        <v>1002</v>
      </c>
      <c r="AJ28" s="264" t="s">
        <v>995</v>
      </c>
      <c r="AK28" s="264" t="s">
        <v>995</v>
      </c>
      <c r="AL28" s="264" t="s">
        <v>995</v>
      </c>
    </row>
    <row r="29" spans="1:38">
      <c r="A29" s="264">
        <v>3501</v>
      </c>
      <c r="B29" s="264" t="s">
        <v>156</v>
      </c>
      <c r="C29" s="264" t="s">
        <v>1356</v>
      </c>
      <c r="D29" s="264" t="s">
        <v>1004</v>
      </c>
      <c r="E29" s="264">
        <v>51000</v>
      </c>
      <c r="F29" s="264" t="s">
        <v>124</v>
      </c>
      <c r="G29" s="389">
        <v>35458</v>
      </c>
      <c r="H29" s="264">
        <v>27</v>
      </c>
      <c r="I29" s="389">
        <v>43556</v>
      </c>
      <c r="K29" s="390">
        <v>43586</v>
      </c>
      <c r="L29" s="264">
        <v>20</v>
      </c>
      <c r="M29" s="264" t="s">
        <v>1015</v>
      </c>
      <c r="N29" s="264">
        <v>1</v>
      </c>
      <c r="O29" s="264" t="s">
        <v>829</v>
      </c>
      <c r="P29" s="264" t="s">
        <v>994</v>
      </c>
      <c r="Q29" s="264" t="s">
        <v>1009</v>
      </c>
      <c r="R29" s="264" t="s">
        <v>1010</v>
      </c>
      <c r="S29" s="264" t="s">
        <v>996</v>
      </c>
      <c r="T29" s="264" t="s">
        <v>997</v>
      </c>
      <c r="U29" s="264" t="s">
        <v>995</v>
      </c>
      <c r="V29" s="264" t="s">
        <v>995</v>
      </c>
      <c r="W29" s="264" t="s">
        <v>995</v>
      </c>
      <c r="X29" s="264" t="s">
        <v>828</v>
      </c>
      <c r="Y29" s="264" t="s">
        <v>998</v>
      </c>
      <c r="Z29" s="264">
        <v>31</v>
      </c>
      <c r="AA29" s="264" t="s">
        <v>999</v>
      </c>
      <c r="AB29" s="264">
        <v>31</v>
      </c>
      <c r="AC29" s="264" t="s">
        <v>999</v>
      </c>
      <c r="AD29" s="264" t="s">
        <v>1000</v>
      </c>
      <c r="AE29" s="264" t="s">
        <v>1000</v>
      </c>
      <c r="AF29" s="264" t="s">
        <v>1000</v>
      </c>
      <c r="AG29" s="264" t="s">
        <v>1000</v>
      </c>
      <c r="AH29" s="264" t="s">
        <v>1002</v>
      </c>
      <c r="AI29" s="264" t="s">
        <v>1002</v>
      </c>
      <c r="AJ29" s="264" t="s">
        <v>995</v>
      </c>
      <c r="AK29" s="264" t="s">
        <v>995</v>
      </c>
      <c r="AL29" s="264" t="s">
        <v>995</v>
      </c>
    </row>
    <row r="30" spans="1:38">
      <c r="A30" s="264">
        <v>1278</v>
      </c>
      <c r="B30" s="264" t="s">
        <v>14</v>
      </c>
      <c r="C30" s="264" t="s">
        <v>1028</v>
      </c>
      <c r="D30" s="264" t="s">
        <v>1004</v>
      </c>
      <c r="E30" s="264">
        <v>3000</v>
      </c>
      <c r="F30" s="264" t="s">
        <v>736</v>
      </c>
      <c r="G30" s="389">
        <v>22834</v>
      </c>
      <c r="H30" s="264">
        <v>61</v>
      </c>
      <c r="I30" s="389">
        <v>33633</v>
      </c>
      <c r="K30" s="390">
        <v>42278</v>
      </c>
      <c r="L30" s="264">
        <v>20</v>
      </c>
      <c r="M30" s="264" t="s">
        <v>1015</v>
      </c>
      <c r="N30" s="264">
        <v>1</v>
      </c>
      <c r="O30" s="264" t="s">
        <v>829</v>
      </c>
      <c r="P30" s="264" t="s">
        <v>994</v>
      </c>
      <c r="Q30" s="264" t="s">
        <v>1009</v>
      </c>
      <c r="R30" s="264" t="s">
        <v>1010</v>
      </c>
      <c r="S30" s="264" t="s">
        <v>996</v>
      </c>
      <c r="T30" s="264" t="s">
        <v>997</v>
      </c>
      <c r="U30" s="264" t="s">
        <v>995</v>
      </c>
      <c r="V30" s="264" t="s">
        <v>995</v>
      </c>
      <c r="W30" s="264" t="s">
        <v>995</v>
      </c>
      <c r="X30" s="264" t="s">
        <v>828</v>
      </c>
      <c r="Y30" s="264" t="s">
        <v>998</v>
      </c>
      <c r="Z30" s="264">
        <v>31</v>
      </c>
      <c r="AA30" s="264" t="s">
        <v>999</v>
      </c>
      <c r="AB30" s="264">
        <v>31</v>
      </c>
      <c r="AC30" s="264" t="s">
        <v>999</v>
      </c>
      <c r="AD30" s="264" t="s">
        <v>1000</v>
      </c>
      <c r="AE30" s="264" t="s">
        <v>1000</v>
      </c>
      <c r="AF30" s="264" t="s">
        <v>1000</v>
      </c>
      <c r="AG30" s="264" t="s">
        <v>1000</v>
      </c>
      <c r="AH30" s="264" t="s">
        <v>1002</v>
      </c>
      <c r="AI30" s="264" t="s">
        <v>1002</v>
      </c>
      <c r="AJ30" s="264" t="s">
        <v>995</v>
      </c>
      <c r="AK30" s="264" t="s">
        <v>995</v>
      </c>
      <c r="AL30" s="264" t="s">
        <v>995</v>
      </c>
    </row>
    <row r="31" spans="1:38">
      <c r="A31" s="264">
        <v>1419</v>
      </c>
      <c r="B31" s="264" t="s">
        <v>746</v>
      </c>
      <c r="C31" s="264" t="s">
        <v>1029</v>
      </c>
      <c r="D31" s="264" t="s">
        <v>1004</v>
      </c>
      <c r="E31" s="264">
        <v>3000</v>
      </c>
      <c r="F31" s="264" t="s">
        <v>736</v>
      </c>
      <c r="G31" s="389">
        <v>26634</v>
      </c>
      <c r="H31" s="264">
        <v>51</v>
      </c>
      <c r="I31" s="389">
        <v>44550</v>
      </c>
      <c r="K31" s="390">
        <v>45017</v>
      </c>
      <c r="L31" s="264">
        <v>95</v>
      </c>
      <c r="M31" s="264" t="s">
        <v>1007</v>
      </c>
      <c r="N31" s="264">
        <v>3</v>
      </c>
      <c r="O31" s="264" t="s">
        <v>1008</v>
      </c>
      <c r="P31" s="264" t="s">
        <v>994</v>
      </c>
      <c r="Q31" s="264" t="s">
        <v>1009</v>
      </c>
      <c r="R31" s="264" t="s">
        <v>1010</v>
      </c>
      <c r="S31" s="264" t="s">
        <v>996</v>
      </c>
      <c r="T31" s="264" t="s">
        <v>997</v>
      </c>
      <c r="U31" s="264" t="s">
        <v>995</v>
      </c>
      <c r="V31" s="264" t="s">
        <v>995</v>
      </c>
      <c r="W31" s="264" t="s">
        <v>995</v>
      </c>
      <c r="X31" s="264" t="s">
        <v>828</v>
      </c>
      <c r="Y31" s="264" t="s">
        <v>998</v>
      </c>
      <c r="Z31" s="264">
        <v>31</v>
      </c>
      <c r="AA31" s="264" t="s">
        <v>999</v>
      </c>
      <c r="AB31" s="264">
        <v>31</v>
      </c>
      <c r="AC31" s="264" t="s">
        <v>999</v>
      </c>
      <c r="AD31" s="264" t="s">
        <v>1001</v>
      </c>
      <c r="AE31" s="264" t="s">
        <v>1000</v>
      </c>
      <c r="AF31" s="264" t="s">
        <v>1000</v>
      </c>
      <c r="AG31" s="264" t="s">
        <v>1001</v>
      </c>
      <c r="AH31" s="264" t="s">
        <v>1002</v>
      </c>
      <c r="AI31" s="264" t="s">
        <v>1002</v>
      </c>
      <c r="AJ31" s="264" t="s">
        <v>995</v>
      </c>
      <c r="AK31" s="264" t="s">
        <v>995</v>
      </c>
      <c r="AL31" s="264" t="s">
        <v>995</v>
      </c>
    </row>
    <row r="32" spans="1:38">
      <c r="A32" s="264">
        <v>1446</v>
      </c>
      <c r="B32" s="264" t="s">
        <v>1030</v>
      </c>
      <c r="C32" s="264" t="s">
        <v>1031</v>
      </c>
      <c r="D32" s="264" t="s">
        <v>1004</v>
      </c>
      <c r="E32" s="264">
        <v>3000</v>
      </c>
      <c r="F32" s="264" t="s">
        <v>736</v>
      </c>
      <c r="G32" s="389">
        <v>26981</v>
      </c>
      <c r="H32" s="264">
        <v>50</v>
      </c>
      <c r="I32" s="389">
        <v>45047</v>
      </c>
      <c r="K32" s="390">
        <v>45078</v>
      </c>
      <c r="L32" s="264">
        <v>20</v>
      </c>
      <c r="M32" s="264" t="s">
        <v>1015</v>
      </c>
      <c r="N32" s="264">
        <v>1</v>
      </c>
      <c r="O32" s="264" t="s">
        <v>829</v>
      </c>
      <c r="P32" s="264" t="s">
        <v>994</v>
      </c>
      <c r="Q32" s="264" t="s">
        <v>1009</v>
      </c>
      <c r="R32" s="264" t="s">
        <v>1010</v>
      </c>
      <c r="S32" s="264" t="s">
        <v>996</v>
      </c>
      <c r="T32" s="264" t="s">
        <v>997</v>
      </c>
      <c r="U32" s="264" t="s">
        <v>995</v>
      </c>
      <c r="V32" s="264" t="s">
        <v>995</v>
      </c>
      <c r="W32" s="264" t="s">
        <v>995</v>
      </c>
      <c r="X32" s="264" t="s">
        <v>828</v>
      </c>
      <c r="Y32" s="264" t="s">
        <v>998</v>
      </c>
      <c r="Z32" s="264">
        <v>31</v>
      </c>
      <c r="AA32" s="264" t="s">
        <v>999</v>
      </c>
      <c r="AB32" s="264">
        <v>31</v>
      </c>
      <c r="AC32" s="264" t="s">
        <v>999</v>
      </c>
      <c r="AD32" s="264" t="s">
        <v>1000</v>
      </c>
      <c r="AE32" s="264" t="s">
        <v>1000</v>
      </c>
      <c r="AF32" s="264" t="s">
        <v>1000</v>
      </c>
      <c r="AG32" s="264" t="s">
        <v>1000</v>
      </c>
      <c r="AH32" s="264" t="s">
        <v>1002</v>
      </c>
      <c r="AI32" s="264" t="s">
        <v>1002</v>
      </c>
      <c r="AJ32" s="264" t="s">
        <v>995</v>
      </c>
      <c r="AK32" s="264" t="s">
        <v>995</v>
      </c>
      <c r="AL32" s="264" t="s">
        <v>995</v>
      </c>
    </row>
    <row r="33" spans="1:38">
      <c r="A33" s="264">
        <v>3062</v>
      </c>
      <c r="B33" s="264" t="s">
        <v>37</v>
      </c>
      <c r="C33" s="264" t="s">
        <v>1032</v>
      </c>
      <c r="D33" s="264" t="s">
        <v>991</v>
      </c>
      <c r="E33" s="264">
        <v>3000</v>
      </c>
      <c r="F33" s="264" t="s">
        <v>736</v>
      </c>
      <c r="G33" s="389">
        <v>27455</v>
      </c>
      <c r="H33" s="264">
        <v>48</v>
      </c>
      <c r="I33" s="389">
        <v>34780</v>
      </c>
      <c r="K33" s="390">
        <v>42278</v>
      </c>
      <c r="L33" s="264">
        <v>20</v>
      </c>
      <c r="M33" s="264" t="s">
        <v>1015</v>
      </c>
      <c r="N33" s="264">
        <v>1</v>
      </c>
      <c r="O33" s="264" t="s">
        <v>829</v>
      </c>
      <c r="P33" s="264" t="s">
        <v>994</v>
      </c>
      <c r="Q33" s="264" t="s">
        <v>1009</v>
      </c>
      <c r="R33" s="264" t="s">
        <v>1010</v>
      </c>
      <c r="S33" s="264" t="s">
        <v>996</v>
      </c>
      <c r="T33" s="264" t="s">
        <v>997</v>
      </c>
      <c r="U33" s="264" t="s">
        <v>995</v>
      </c>
      <c r="V33" s="264" t="s">
        <v>995</v>
      </c>
      <c r="W33" s="264" t="s">
        <v>995</v>
      </c>
      <c r="X33" s="264" t="s">
        <v>828</v>
      </c>
      <c r="Y33" s="264" t="s">
        <v>998</v>
      </c>
      <c r="Z33" s="264">
        <v>31</v>
      </c>
      <c r="AA33" s="264" t="s">
        <v>999</v>
      </c>
      <c r="AB33" s="264">
        <v>31</v>
      </c>
      <c r="AC33" s="264" t="s">
        <v>999</v>
      </c>
      <c r="AD33" s="264" t="s">
        <v>1000</v>
      </c>
      <c r="AE33" s="264" t="s">
        <v>1000</v>
      </c>
      <c r="AF33" s="264" t="s">
        <v>1000</v>
      </c>
      <c r="AG33" s="264" t="s">
        <v>1000</v>
      </c>
      <c r="AH33" s="264" t="s">
        <v>1002</v>
      </c>
      <c r="AI33" s="264" t="s">
        <v>1002</v>
      </c>
      <c r="AJ33" s="264" t="s">
        <v>995</v>
      </c>
      <c r="AK33" s="264" t="s">
        <v>995</v>
      </c>
      <c r="AL33" s="264" t="s">
        <v>995</v>
      </c>
    </row>
    <row r="34" spans="1:38">
      <c r="A34" s="264">
        <v>3361</v>
      </c>
      <c r="B34" s="264" t="s">
        <v>23</v>
      </c>
      <c r="C34" s="264" t="s">
        <v>1033</v>
      </c>
      <c r="D34" s="264" t="s">
        <v>1004</v>
      </c>
      <c r="E34" s="264">
        <v>3000</v>
      </c>
      <c r="F34" s="264" t="s">
        <v>736</v>
      </c>
      <c r="G34" s="389">
        <v>32821</v>
      </c>
      <c r="H34" s="264">
        <v>34</v>
      </c>
      <c r="I34" s="389">
        <v>40989</v>
      </c>
      <c r="K34" s="390">
        <v>42278</v>
      </c>
      <c r="L34" s="264">
        <v>20</v>
      </c>
      <c r="M34" s="264" t="s">
        <v>1015</v>
      </c>
      <c r="N34" s="264">
        <v>1</v>
      </c>
      <c r="O34" s="264" t="s">
        <v>829</v>
      </c>
      <c r="P34" s="264" t="s">
        <v>994</v>
      </c>
      <c r="Q34" s="264" t="s">
        <v>1009</v>
      </c>
      <c r="R34" s="264" t="s">
        <v>1010</v>
      </c>
      <c r="S34" s="264" t="s">
        <v>996</v>
      </c>
      <c r="T34" s="264" t="s">
        <v>997</v>
      </c>
      <c r="U34" s="264" t="s">
        <v>995</v>
      </c>
      <c r="V34" s="264" t="s">
        <v>995</v>
      </c>
      <c r="W34" s="264" t="s">
        <v>995</v>
      </c>
      <c r="X34" s="264" t="s">
        <v>828</v>
      </c>
      <c r="Y34" s="264" t="s">
        <v>998</v>
      </c>
      <c r="Z34" s="264">
        <v>31</v>
      </c>
      <c r="AA34" s="264" t="s">
        <v>999</v>
      </c>
      <c r="AB34" s="264">
        <v>31</v>
      </c>
      <c r="AC34" s="264" t="s">
        <v>999</v>
      </c>
      <c r="AD34" s="264" t="s">
        <v>1000</v>
      </c>
      <c r="AE34" s="264" t="s">
        <v>1000</v>
      </c>
      <c r="AF34" s="264" t="s">
        <v>1000</v>
      </c>
      <c r="AG34" s="264" t="s">
        <v>1000</v>
      </c>
      <c r="AH34" s="264" t="s">
        <v>1002</v>
      </c>
      <c r="AI34" s="264" t="s">
        <v>1002</v>
      </c>
      <c r="AJ34" s="264" t="s">
        <v>995</v>
      </c>
      <c r="AK34" s="264" t="s">
        <v>995</v>
      </c>
      <c r="AL34" s="264" t="s">
        <v>995</v>
      </c>
    </row>
    <row r="35" spans="1:38">
      <c r="A35" s="264">
        <v>3392</v>
      </c>
      <c r="B35" s="264" t="s">
        <v>38</v>
      </c>
      <c r="C35" s="264" t="s">
        <v>1034</v>
      </c>
      <c r="D35" s="264" t="s">
        <v>991</v>
      </c>
      <c r="E35" s="264">
        <v>3000</v>
      </c>
      <c r="F35" s="264" t="s">
        <v>736</v>
      </c>
      <c r="G35" s="389">
        <v>33305</v>
      </c>
      <c r="H35" s="264">
        <v>32</v>
      </c>
      <c r="I35" s="389">
        <v>41354</v>
      </c>
      <c r="K35" s="390">
        <v>42278</v>
      </c>
      <c r="L35" s="264">
        <v>20</v>
      </c>
      <c r="M35" s="264" t="s">
        <v>1015</v>
      </c>
      <c r="N35" s="264">
        <v>1</v>
      </c>
      <c r="O35" s="264" t="s">
        <v>829</v>
      </c>
      <c r="P35" s="264" t="s">
        <v>994</v>
      </c>
      <c r="Q35" s="264" t="s">
        <v>1009</v>
      </c>
      <c r="R35" s="264" t="s">
        <v>1010</v>
      </c>
      <c r="S35" s="264" t="s">
        <v>996</v>
      </c>
      <c r="T35" s="264" t="s">
        <v>997</v>
      </c>
      <c r="U35" s="264" t="s">
        <v>995</v>
      </c>
      <c r="V35" s="264" t="s">
        <v>995</v>
      </c>
      <c r="W35" s="264" t="s">
        <v>995</v>
      </c>
      <c r="X35" s="264" t="s">
        <v>828</v>
      </c>
      <c r="Y35" s="264" t="s">
        <v>998</v>
      </c>
      <c r="Z35" s="264">
        <v>31</v>
      </c>
      <c r="AA35" s="264" t="s">
        <v>999</v>
      </c>
      <c r="AB35" s="264">
        <v>31</v>
      </c>
      <c r="AC35" s="264" t="s">
        <v>999</v>
      </c>
      <c r="AD35" s="264" t="s">
        <v>1000</v>
      </c>
      <c r="AE35" s="264" t="s">
        <v>1000</v>
      </c>
      <c r="AF35" s="264" t="s">
        <v>1000</v>
      </c>
      <c r="AG35" s="264" t="s">
        <v>1000</v>
      </c>
      <c r="AH35" s="264" t="s">
        <v>1002</v>
      </c>
      <c r="AI35" s="264" t="s">
        <v>1002</v>
      </c>
      <c r="AJ35" s="264" t="s">
        <v>995</v>
      </c>
      <c r="AK35" s="264" t="s">
        <v>995</v>
      </c>
      <c r="AL35" s="264" t="s">
        <v>995</v>
      </c>
    </row>
    <row r="36" spans="1:38">
      <c r="A36" s="264">
        <v>1307</v>
      </c>
      <c r="B36" s="264" t="s">
        <v>1619</v>
      </c>
      <c r="C36" s="264" t="s">
        <v>1620</v>
      </c>
      <c r="D36" s="264" t="s">
        <v>1004</v>
      </c>
      <c r="G36" s="389">
        <v>26766</v>
      </c>
      <c r="H36" s="264">
        <v>50</v>
      </c>
      <c r="I36" s="389">
        <v>36251</v>
      </c>
      <c r="K36" s="390">
        <v>42278</v>
      </c>
      <c r="L36" s="264">
        <v>95</v>
      </c>
      <c r="M36" s="264" t="s">
        <v>1007</v>
      </c>
      <c r="N36" s="264">
        <v>3</v>
      </c>
      <c r="O36" s="264" t="s">
        <v>1008</v>
      </c>
      <c r="P36" s="264" t="s">
        <v>994</v>
      </c>
      <c r="Q36" s="264" t="s">
        <v>995</v>
      </c>
      <c r="R36" s="264" t="s">
        <v>995</v>
      </c>
      <c r="S36" s="264" t="s">
        <v>996</v>
      </c>
      <c r="T36" s="264" t="s">
        <v>997</v>
      </c>
      <c r="U36" s="264" t="s">
        <v>995</v>
      </c>
      <c r="V36" s="264" t="s">
        <v>995</v>
      </c>
      <c r="W36" s="264" t="s">
        <v>995</v>
      </c>
      <c r="X36" s="264" t="s">
        <v>828</v>
      </c>
      <c r="Y36" s="264" t="s">
        <v>998</v>
      </c>
      <c r="Z36" s="264">
        <v>31</v>
      </c>
      <c r="AA36" s="264" t="s">
        <v>999</v>
      </c>
      <c r="AB36" s="264">
        <v>31</v>
      </c>
      <c r="AC36" s="264" t="s">
        <v>999</v>
      </c>
      <c r="AD36" s="264" t="s">
        <v>1000</v>
      </c>
      <c r="AE36" s="264" t="s">
        <v>1000</v>
      </c>
      <c r="AF36" s="264" t="s">
        <v>1000</v>
      </c>
      <c r="AG36" s="264" t="s">
        <v>1000</v>
      </c>
      <c r="AH36" s="264" t="s">
        <v>1002</v>
      </c>
      <c r="AI36" s="264" t="s">
        <v>1002</v>
      </c>
      <c r="AJ36" s="264" t="s">
        <v>995</v>
      </c>
      <c r="AK36" s="264" t="s">
        <v>995</v>
      </c>
      <c r="AL36" s="264" t="s">
        <v>995</v>
      </c>
    </row>
    <row r="37" spans="1:38">
      <c r="A37" s="264">
        <v>1420</v>
      </c>
      <c r="B37" s="264" t="s">
        <v>747</v>
      </c>
      <c r="C37" s="264" t="s">
        <v>1014</v>
      </c>
      <c r="D37" s="264" t="s">
        <v>1004</v>
      </c>
      <c r="E37" s="264">
        <v>1000</v>
      </c>
      <c r="F37" s="264" t="s">
        <v>740</v>
      </c>
      <c r="G37" s="389">
        <v>27963</v>
      </c>
      <c r="H37" s="264">
        <v>47</v>
      </c>
      <c r="I37" s="389">
        <v>44562</v>
      </c>
      <c r="K37" s="390">
        <v>44562</v>
      </c>
      <c r="L37" s="264">
        <v>20</v>
      </c>
      <c r="M37" s="264" t="s">
        <v>1015</v>
      </c>
      <c r="N37" s="264">
        <v>1</v>
      </c>
      <c r="O37" s="264" t="s">
        <v>829</v>
      </c>
      <c r="P37" s="264" t="s">
        <v>994</v>
      </c>
      <c r="Q37" s="264" t="s">
        <v>1009</v>
      </c>
      <c r="R37" s="264" t="s">
        <v>1010</v>
      </c>
      <c r="S37" s="264" t="s">
        <v>996</v>
      </c>
      <c r="T37" s="264" t="s">
        <v>997</v>
      </c>
      <c r="U37" s="264" t="s">
        <v>995</v>
      </c>
      <c r="V37" s="264" t="s">
        <v>995</v>
      </c>
      <c r="W37" s="264" t="s">
        <v>995</v>
      </c>
      <c r="X37" s="264" t="s">
        <v>828</v>
      </c>
      <c r="Y37" s="264" t="s">
        <v>998</v>
      </c>
      <c r="Z37" s="264">
        <v>31</v>
      </c>
      <c r="AA37" s="264" t="s">
        <v>999</v>
      </c>
      <c r="AB37" s="264">
        <v>31</v>
      </c>
      <c r="AC37" s="264" t="s">
        <v>999</v>
      </c>
      <c r="AD37" s="264" t="s">
        <v>1000</v>
      </c>
      <c r="AE37" s="264" t="s">
        <v>1000</v>
      </c>
      <c r="AF37" s="264" t="s">
        <v>1000</v>
      </c>
      <c r="AG37" s="264" t="s">
        <v>1000</v>
      </c>
      <c r="AH37" s="264" t="s">
        <v>1002</v>
      </c>
      <c r="AI37" s="264" t="s">
        <v>1002</v>
      </c>
      <c r="AJ37" s="264" t="s">
        <v>995</v>
      </c>
      <c r="AK37" s="264" t="s">
        <v>995</v>
      </c>
      <c r="AL37" s="264" t="s">
        <v>995</v>
      </c>
    </row>
    <row r="38" spans="1:38">
      <c r="A38" s="264">
        <v>2497</v>
      </c>
      <c r="B38" s="264" t="s">
        <v>1067</v>
      </c>
      <c r="C38" s="264" t="s">
        <v>1068</v>
      </c>
      <c r="D38" s="264" t="s">
        <v>1004</v>
      </c>
      <c r="E38" s="264">
        <v>30000</v>
      </c>
      <c r="F38" s="264" t="s">
        <v>53</v>
      </c>
      <c r="G38" s="389">
        <v>20142</v>
      </c>
      <c r="H38" s="264">
        <v>68</v>
      </c>
      <c r="I38" s="389">
        <v>28564</v>
      </c>
      <c r="K38" s="390">
        <v>42278</v>
      </c>
      <c r="L38" s="264">
        <v>95</v>
      </c>
      <c r="M38" s="264" t="s">
        <v>1007</v>
      </c>
      <c r="N38" s="264">
        <v>1</v>
      </c>
      <c r="O38" s="264" t="s">
        <v>829</v>
      </c>
      <c r="P38" s="264" t="s">
        <v>994</v>
      </c>
      <c r="Q38" s="264" t="s">
        <v>995</v>
      </c>
      <c r="R38" s="264" t="s">
        <v>995</v>
      </c>
      <c r="S38" s="264" t="s">
        <v>996</v>
      </c>
      <c r="T38" s="264" t="s">
        <v>997</v>
      </c>
      <c r="U38" s="264" t="s">
        <v>995</v>
      </c>
      <c r="V38" s="264" t="s">
        <v>995</v>
      </c>
      <c r="W38" s="264" t="s">
        <v>995</v>
      </c>
      <c r="X38" s="264" t="s">
        <v>828</v>
      </c>
      <c r="Y38" s="264" t="s">
        <v>998</v>
      </c>
      <c r="Z38" s="264">
        <v>31</v>
      </c>
      <c r="AA38" s="264" t="s">
        <v>999</v>
      </c>
      <c r="AB38" s="264">
        <v>31</v>
      </c>
      <c r="AC38" s="264" t="s">
        <v>999</v>
      </c>
      <c r="AD38" s="264" t="s">
        <v>1001</v>
      </c>
      <c r="AE38" s="264" t="s">
        <v>1001</v>
      </c>
      <c r="AF38" s="264" t="s">
        <v>1001</v>
      </c>
      <c r="AG38" s="264" t="s">
        <v>1001</v>
      </c>
      <c r="AH38" s="264" t="s">
        <v>1002</v>
      </c>
      <c r="AI38" s="264" t="s">
        <v>1002</v>
      </c>
      <c r="AJ38" s="264" t="s">
        <v>995</v>
      </c>
      <c r="AK38" s="264" t="s">
        <v>995</v>
      </c>
      <c r="AL38" s="264" t="s">
        <v>995</v>
      </c>
    </row>
    <row r="39" spans="1:38">
      <c r="A39" s="264">
        <v>6136</v>
      </c>
      <c r="B39" s="264" t="s">
        <v>776</v>
      </c>
      <c r="C39" s="264" t="s">
        <v>1023</v>
      </c>
      <c r="D39" s="264" t="s">
        <v>991</v>
      </c>
      <c r="E39" s="264">
        <v>1020</v>
      </c>
      <c r="F39" s="264" t="s">
        <v>740</v>
      </c>
      <c r="G39" s="389">
        <v>21072</v>
      </c>
      <c r="H39" s="264">
        <v>66</v>
      </c>
      <c r="I39" s="389">
        <v>44242</v>
      </c>
      <c r="K39" s="390">
        <v>44256</v>
      </c>
      <c r="L39" s="264">
        <v>70</v>
      </c>
      <c r="M39" s="264" t="s">
        <v>1024</v>
      </c>
      <c r="N39" s="264">
        <v>1</v>
      </c>
      <c r="O39" s="264" t="s">
        <v>829</v>
      </c>
      <c r="P39" s="264" t="s">
        <v>994</v>
      </c>
      <c r="Q39" s="264" t="s">
        <v>1009</v>
      </c>
      <c r="R39" s="264" t="s">
        <v>1010</v>
      </c>
      <c r="S39" s="264" t="s">
        <v>996</v>
      </c>
      <c r="T39" s="264" t="s">
        <v>997</v>
      </c>
      <c r="U39" s="264" t="s">
        <v>995</v>
      </c>
      <c r="V39" s="264" t="s">
        <v>995</v>
      </c>
      <c r="W39" s="264" t="s">
        <v>995</v>
      </c>
      <c r="X39" s="264" t="s">
        <v>828</v>
      </c>
      <c r="Y39" s="264" t="s">
        <v>998</v>
      </c>
      <c r="Z39" s="264">
        <v>31</v>
      </c>
      <c r="AA39" s="264" t="s">
        <v>999</v>
      </c>
      <c r="AB39" s="264">
        <v>31</v>
      </c>
      <c r="AC39" s="264" t="s">
        <v>999</v>
      </c>
      <c r="AD39" s="264" t="s">
        <v>1000</v>
      </c>
      <c r="AE39" s="264" t="s">
        <v>1000</v>
      </c>
      <c r="AF39" s="264" t="s">
        <v>1000</v>
      </c>
      <c r="AG39" s="264" t="s">
        <v>1000</v>
      </c>
      <c r="AH39" s="264" t="s">
        <v>1002</v>
      </c>
      <c r="AI39" s="264" t="s">
        <v>1002</v>
      </c>
      <c r="AJ39" s="264" t="s">
        <v>995</v>
      </c>
      <c r="AK39" s="264" t="s">
        <v>995</v>
      </c>
      <c r="AL39" s="264" t="s">
        <v>995</v>
      </c>
    </row>
    <row r="40" spans="1:38">
      <c r="A40" s="264">
        <v>1376</v>
      </c>
      <c r="B40" s="264" t="s">
        <v>20</v>
      </c>
      <c r="C40" s="264" t="s">
        <v>1016</v>
      </c>
      <c r="D40" s="264" t="s">
        <v>1004</v>
      </c>
      <c r="E40" s="264">
        <v>1000</v>
      </c>
      <c r="F40" s="264" t="s">
        <v>740</v>
      </c>
      <c r="G40" s="389">
        <v>29924</v>
      </c>
      <c r="H40" s="264">
        <v>42</v>
      </c>
      <c r="I40" s="389">
        <v>40960</v>
      </c>
      <c r="K40" s="390">
        <v>45200</v>
      </c>
      <c r="L40" s="264">
        <v>20</v>
      </c>
      <c r="M40" s="264" t="s">
        <v>1015</v>
      </c>
      <c r="N40" s="264">
        <v>1</v>
      </c>
      <c r="O40" s="264" t="s">
        <v>829</v>
      </c>
      <c r="P40" s="264" t="s">
        <v>994</v>
      </c>
      <c r="Q40" s="264" t="s">
        <v>1009</v>
      </c>
      <c r="R40" s="264" t="s">
        <v>1010</v>
      </c>
      <c r="S40" s="264" t="s">
        <v>996</v>
      </c>
      <c r="T40" s="264" t="s">
        <v>997</v>
      </c>
      <c r="U40" s="264" t="s">
        <v>995</v>
      </c>
      <c r="V40" s="264" t="s">
        <v>995</v>
      </c>
      <c r="W40" s="264" t="s">
        <v>995</v>
      </c>
      <c r="X40" s="264" t="s">
        <v>828</v>
      </c>
      <c r="Y40" s="264" t="s">
        <v>998</v>
      </c>
      <c r="Z40" s="264">
        <v>31</v>
      </c>
      <c r="AA40" s="264" t="s">
        <v>999</v>
      </c>
      <c r="AB40" s="264">
        <v>31</v>
      </c>
      <c r="AC40" s="264" t="s">
        <v>999</v>
      </c>
      <c r="AD40" s="264" t="s">
        <v>1000</v>
      </c>
      <c r="AE40" s="264" t="s">
        <v>1000</v>
      </c>
      <c r="AF40" s="264" t="s">
        <v>1000</v>
      </c>
      <c r="AG40" s="264" t="s">
        <v>1000</v>
      </c>
      <c r="AH40" s="264" t="s">
        <v>1002</v>
      </c>
      <c r="AI40" s="264" t="s">
        <v>1002</v>
      </c>
      <c r="AJ40" s="264" t="s">
        <v>995</v>
      </c>
      <c r="AK40" s="264" t="s">
        <v>995</v>
      </c>
      <c r="AL40" s="264" t="s">
        <v>995</v>
      </c>
    </row>
    <row r="41" spans="1:38">
      <c r="A41" s="264">
        <v>3375</v>
      </c>
      <c r="B41" s="264" t="s">
        <v>33</v>
      </c>
      <c r="C41" s="264" t="s">
        <v>1017</v>
      </c>
      <c r="D41" s="264" t="s">
        <v>991</v>
      </c>
      <c r="E41" s="264">
        <v>1000</v>
      </c>
      <c r="F41" s="264" t="s">
        <v>740</v>
      </c>
      <c r="G41" s="389">
        <v>34308</v>
      </c>
      <c r="H41" s="264">
        <v>30</v>
      </c>
      <c r="I41" s="389">
        <v>40989</v>
      </c>
      <c r="K41" s="390">
        <v>44713</v>
      </c>
      <c r="L41" s="264">
        <v>20</v>
      </c>
      <c r="M41" s="264" t="s">
        <v>1015</v>
      </c>
      <c r="N41" s="264">
        <v>1</v>
      </c>
      <c r="O41" s="264" t="s">
        <v>829</v>
      </c>
      <c r="P41" s="264" t="s">
        <v>994</v>
      </c>
      <c r="Q41" s="264" t="s">
        <v>1009</v>
      </c>
      <c r="R41" s="264" t="s">
        <v>1010</v>
      </c>
      <c r="S41" s="264" t="s">
        <v>996</v>
      </c>
      <c r="T41" s="264" t="s">
        <v>997</v>
      </c>
      <c r="U41" s="264" t="s">
        <v>995</v>
      </c>
      <c r="V41" s="264" t="s">
        <v>995</v>
      </c>
      <c r="W41" s="264" t="s">
        <v>995</v>
      </c>
      <c r="X41" s="264" t="s">
        <v>828</v>
      </c>
      <c r="Y41" s="264" t="s">
        <v>998</v>
      </c>
      <c r="Z41" s="264">
        <v>31</v>
      </c>
      <c r="AA41" s="264" t="s">
        <v>999</v>
      </c>
      <c r="AB41" s="264">
        <v>31</v>
      </c>
      <c r="AC41" s="264" t="s">
        <v>999</v>
      </c>
      <c r="AD41" s="264" t="s">
        <v>1000</v>
      </c>
      <c r="AE41" s="264" t="s">
        <v>1000</v>
      </c>
      <c r="AF41" s="264" t="s">
        <v>1000</v>
      </c>
      <c r="AG41" s="264" t="s">
        <v>1000</v>
      </c>
      <c r="AH41" s="264" t="s">
        <v>1002</v>
      </c>
      <c r="AI41" s="264" t="s">
        <v>1002</v>
      </c>
      <c r="AJ41" s="264" t="s">
        <v>995</v>
      </c>
      <c r="AK41" s="264" t="s">
        <v>995</v>
      </c>
      <c r="AL41" s="264" t="s">
        <v>995</v>
      </c>
    </row>
    <row r="42" spans="1:38">
      <c r="A42" s="264">
        <v>1399</v>
      </c>
      <c r="B42" s="264" t="s">
        <v>21</v>
      </c>
      <c r="C42" s="264" t="s">
        <v>1018</v>
      </c>
      <c r="D42" s="264" t="s">
        <v>1004</v>
      </c>
      <c r="E42" s="264">
        <v>1000</v>
      </c>
      <c r="F42" s="264" t="s">
        <v>740</v>
      </c>
      <c r="G42" s="389">
        <v>24273</v>
      </c>
      <c r="H42" s="264">
        <v>57</v>
      </c>
      <c r="I42" s="389">
        <v>43374</v>
      </c>
      <c r="K42" s="390">
        <v>43405</v>
      </c>
      <c r="L42" s="264">
        <v>20</v>
      </c>
      <c r="M42" s="264" t="s">
        <v>1015</v>
      </c>
      <c r="N42" s="264">
        <v>1</v>
      </c>
      <c r="O42" s="264" t="s">
        <v>829</v>
      </c>
      <c r="P42" s="264" t="s">
        <v>994</v>
      </c>
      <c r="Q42" s="264" t="s">
        <v>1009</v>
      </c>
      <c r="R42" s="264" t="s">
        <v>1010</v>
      </c>
      <c r="S42" s="264" t="s">
        <v>996</v>
      </c>
      <c r="T42" s="264" t="s">
        <v>997</v>
      </c>
      <c r="U42" s="264" t="s">
        <v>995</v>
      </c>
      <c r="V42" s="264" t="s">
        <v>995</v>
      </c>
      <c r="W42" s="264" t="s">
        <v>995</v>
      </c>
      <c r="X42" s="264" t="s">
        <v>828</v>
      </c>
      <c r="Y42" s="264" t="s">
        <v>998</v>
      </c>
      <c r="Z42" s="264">
        <v>31</v>
      </c>
      <c r="AA42" s="264" t="s">
        <v>999</v>
      </c>
      <c r="AB42" s="264">
        <v>31</v>
      </c>
      <c r="AC42" s="264" t="s">
        <v>999</v>
      </c>
      <c r="AD42" s="264" t="s">
        <v>1000</v>
      </c>
      <c r="AE42" s="264" t="s">
        <v>1000</v>
      </c>
      <c r="AF42" s="264" t="s">
        <v>1000</v>
      </c>
      <c r="AG42" s="264" t="s">
        <v>1000</v>
      </c>
      <c r="AH42" s="264" t="s">
        <v>1002</v>
      </c>
      <c r="AI42" s="264" t="s">
        <v>1002</v>
      </c>
      <c r="AJ42" s="264" t="s">
        <v>995</v>
      </c>
      <c r="AK42" s="264" t="s">
        <v>995</v>
      </c>
      <c r="AL42" s="264" t="s">
        <v>995</v>
      </c>
    </row>
    <row r="43" spans="1:38">
      <c r="A43" s="264">
        <v>3545</v>
      </c>
      <c r="B43" s="264" t="s">
        <v>1019</v>
      </c>
      <c r="C43" s="264" t="s">
        <v>1020</v>
      </c>
      <c r="D43" s="264" t="s">
        <v>1004</v>
      </c>
      <c r="E43" s="264">
        <v>1000</v>
      </c>
      <c r="F43" s="264" t="s">
        <v>740</v>
      </c>
      <c r="G43" s="389">
        <v>36889</v>
      </c>
      <c r="H43" s="264">
        <v>23</v>
      </c>
      <c r="I43" s="389">
        <v>45017</v>
      </c>
      <c r="K43" s="390">
        <v>45047</v>
      </c>
      <c r="L43" s="264">
        <v>20</v>
      </c>
      <c r="M43" s="264" t="s">
        <v>1015</v>
      </c>
      <c r="N43" s="264">
        <v>1</v>
      </c>
      <c r="O43" s="264" t="s">
        <v>829</v>
      </c>
      <c r="P43" s="264" t="s">
        <v>994</v>
      </c>
      <c r="Q43" s="264" t="s">
        <v>1009</v>
      </c>
      <c r="R43" s="264" t="s">
        <v>1010</v>
      </c>
      <c r="S43" s="264" t="s">
        <v>996</v>
      </c>
      <c r="T43" s="264" t="s">
        <v>997</v>
      </c>
      <c r="U43" s="264" t="s">
        <v>1021</v>
      </c>
      <c r="V43" s="264" t="s">
        <v>995</v>
      </c>
      <c r="W43" s="264" t="s">
        <v>995</v>
      </c>
      <c r="X43" s="264" t="s">
        <v>828</v>
      </c>
      <c r="Y43" s="264" t="s">
        <v>998</v>
      </c>
      <c r="Z43" s="264">
        <v>31</v>
      </c>
      <c r="AA43" s="264" t="s">
        <v>999</v>
      </c>
      <c r="AB43" s="264">
        <v>31</v>
      </c>
      <c r="AC43" s="264" t="s">
        <v>999</v>
      </c>
      <c r="AD43" s="264" t="s">
        <v>1000</v>
      </c>
      <c r="AE43" s="264" t="s">
        <v>1000</v>
      </c>
      <c r="AF43" s="264" t="s">
        <v>1000</v>
      </c>
      <c r="AG43" s="264" t="s">
        <v>1000</v>
      </c>
      <c r="AH43" s="264" t="s">
        <v>1002</v>
      </c>
      <c r="AI43" s="264" t="s">
        <v>1002</v>
      </c>
      <c r="AJ43" s="264" t="s">
        <v>995</v>
      </c>
      <c r="AK43" s="264" t="s">
        <v>995</v>
      </c>
      <c r="AL43" s="264" t="s">
        <v>995</v>
      </c>
    </row>
    <row r="44" spans="1:38">
      <c r="A44" s="264">
        <v>3936</v>
      </c>
      <c r="B44" s="264" t="s">
        <v>18</v>
      </c>
      <c r="C44" s="264" t="s">
        <v>1022</v>
      </c>
      <c r="D44" s="264" t="s">
        <v>1004</v>
      </c>
      <c r="E44" s="264">
        <v>1000</v>
      </c>
      <c r="F44" s="264" t="s">
        <v>740</v>
      </c>
      <c r="G44" s="389">
        <v>28377</v>
      </c>
      <c r="H44" s="264">
        <v>46</v>
      </c>
      <c r="I44" s="389">
        <v>38769</v>
      </c>
      <c r="K44" s="390">
        <v>45261</v>
      </c>
      <c r="L44" s="264">
        <v>20</v>
      </c>
      <c r="M44" s="264" t="s">
        <v>1015</v>
      </c>
      <c r="N44" s="264">
        <v>1</v>
      </c>
      <c r="O44" s="264" t="s">
        <v>829</v>
      </c>
      <c r="P44" s="264" t="s">
        <v>994</v>
      </c>
      <c r="Q44" s="264" t="s">
        <v>1009</v>
      </c>
      <c r="R44" s="264" t="s">
        <v>1010</v>
      </c>
      <c r="S44" s="264" t="s">
        <v>996</v>
      </c>
      <c r="T44" s="264" t="s">
        <v>997</v>
      </c>
      <c r="U44" s="264" t="s">
        <v>995</v>
      </c>
      <c r="V44" s="264" t="s">
        <v>995</v>
      </c>
      <c r="W44" s="264" t="s">
        <v>995</v>
      </c>
      <c r="X44" s="264" t="s">
        <v>828</v>
      </c>
      <c r="Y44" s="264" t="s">
        <v>998</v>
      </c>
      <c r="Z44" s="264">
        <v>31</v>
      </c>
      <c r="AA44" s="264" t="s">
        <v>999</v>
      </c>
      <c r="AB44" s="264">
        <v>31</v>
      </c>
      <c r="AC44" s="264" t="s">
        <v>999</v>
      </c>
      <c r="AD44" s="264" t="s">
        <v>1000</v>
      </c>
      <c r="AE44" s="264" t="s">
        <v>1000</v>
      </c>
      <c r="AF44" s="264" t="s">
        <v>1000</v>
      </c>
      <c r="AG44" s="264" t="s">
        <v>1000</v>
      </c>
      <c r="AH44" s="264" t="s">
        <v>1002</v>
      </c>
      <c r="AI44" s="264" t="s">
        <v>1002</v>
      </c>
      <c r="AJ44" s="264" t="s">
        <v>995</v>
      </c>
      <c r="AK44" s="264" t="s">
        <v>995</v>
      </c>
      <c r="AL44" s="264" t="s">
        <v>995</v>
      </c>
    </row>
    <row r="45" spans="1:38">
      <c r="A45" s="264">
        <v>1408</v>
      </c>
      <c r="B45" s="264" t="s">
        <v>12</v>
      </c>
      <c r="C45" s="264" t="s">
        <v>1025</v>
      </c>
      <c r="D45" s="264" t="s">
        <v>1004</v>
      </c>
      <c r="E45" s="264">
        <v>1100</v>
      </c>
      <c r="F45" s="264" t="s">
        <v>741</v>
      </c>
      <c r="G45" s="389">
        <v>23097</v>
      </c>
      <c r="H45" s="264">
        <v>60</v>
      </c>
      <c r="I45" s="389">
        <v>43934</v>
      </c>
      <c r="J45" s="389"/>
      <c r="K45" s="390">
        <v>43952</v>
      </c>
      <c r="L45" s="264">
        <v>20</v>
      </c>
      <c r="M45" s="264" t="s">
        <v>1015</v>
      </c>
      <c r="N45" s="264">
        <v>1</v>
      </c>
      <c r="O45" s="264" t="s">
        <v>829</v>
      </c>
      <c r="P45" s="264" t="s">
        <v>994</v>
      </c>
      <c r="Q45" s="264" t="s">
        <v>1009</v>
      </c>
      <c r="R45" s="264" t="s">
        <v>1010</v>
      </c>
      <c r="S45" s="264" t="s">
        <v>996</v>
      </c>
      <c r="T45" s="264" t="s">
        <v>997</v>
      </c>
      <c r="U45" s="264" t="s">
        <v>995</v>
      </c>
      <c r="V45" s="264" t="s">
        <v>995</v>
      </c>
      <c r="W45" s="264" t="s">
        <v>995</v>
      </c>
      <c r="X45" s="264" t="s">
        <v>828</v>
      </c>
      <c r="Y45" s="264" t="s">
        <v>998</v>
      </c>
      <c r="Z45" s="264">
        <v>31</v>
      </c>
      <c r="AA45" s="264" t="s">
        <v>999</v>
      </c>
      <c r="AB45" s="264">
        <v>31</v>
      </c>
      <c r="AC45" s="264" t="s">
        <v>999</v>
      </c>
      <c r="AD45" s="264" t="s">
        <v>1000</v>
      </c>
      <c r="AE45" s="264" t="s">
        <v>1000</v>
      </c>
      <c r="AF45" s="264" t="s">
        <v>1000</v>
      </c>
      <c r="AG45" s="264" t="s">
        <v>1000</v>
      </c>
      <c r="AH45" s="264" t="s">
        <v>1002</v>
      </c>
      <c r="AI45" s="264" t="s">
        <v>1002</v>
      </c>
      <c r="AJ45" s="264" t="s">
        <v>995</v>
      </c>
      <c r="AK45" s="264" t="s">
        <v>995</v>
      </c>
      <c r="AL45" s="264" t="s">
        <v>995</v>
      </c>
    </row>
    <row r="46" spans="1:38">
      <c r="A46" s="264">
        <v>3002</v>
      </c>
      <c r="B46" s="264" t="s">
        <v>840</v>
      </c>
      <c r="C46" s="264" t="s">
        <v>1026</v>
      </c>
      <c r="D46" s="264" t="s">
        <v>991</v>
      </c>
      <c r="E46" s="264">
        <v>1100</v>
      </c>
      <c r="F46" s="264" t="s">
        <v>741</v>
      </c>
      <c r="G46" s="389">
        <v>27782</v>
      </c>
      <c r="H46" s="264">
        <v>48</v>
      </c>
      <c r="I46" s="389">
        <v>34415</v>
      </c>
      <c r="K46" s="390">
        <v>42278</v>
      </c>
      <c r="L46" s="264">
        <v>20</v>
      </c>
      <c r="M46" s="264" t="s">
        <v>1015</v>
      </c>
      <c r="N46" s="264">
        <v>1</v>
      </c>
      <c r="O46" s="264" t="s">
        <v>829</v>
      </c>
      <c r="P46" s="264" t="s">
        <v>994</v>
      </c>
      <c r="Q46" s="264" t="s">
        <v>1009</v>
      </c>
      <c r="R46" s="264" t="s">
        <v>1010</v>
      </c>
      <c r="S46" s="264" t="s">
        <v>996</v>
      </c>
      <c r="T46" s="264" t="s">
        <v>997</v>
      </c>
      <c r="U46" s="264" t="s">
        <v>995</v>
      </c>
      <c r="V46" s="264" t="s">
        <v>995</v>
      </c>
      <c r="W46" s="264" t="s">
        <v>995</v>
      </c>
      <c r="X46" s="264" t="s">
        <v>828</v>
      </c>
      <c r="Y46" s="264" t="s">
        <v>998</v>
      </c>
      <c r="Z46" s="264">
        <v>31</v>
      </c>
      <c r="AA46" s="264" t="s">
        <v>999</v>
      </c>
      <c r="AB46" s="264">
        <v>31</v>
      </c>
      <c r="AC46" s="264" t="s">
        <v>999</v>
      </c>
      <c r="AD46" s="264" t="s">
        <v>1000</v>
      </c>
      <c r="AE46" s="264" t="s">
        <v>1000</v>
      </c>
      <c r="AF46" s="264" t="s">
        <v>1000</v>
      </c>
      <c r="AG46" s="264" t="s">
        <v>1000</v>
      </c>
      <c r="AH46" s="264" t="s">
        <v>1002</v>
      </c>
      <c r="AI46" s="264" t="s">
        <v>1002</v>
      </c>
      <c r="AJ46" s="264" t="s">
        <v>995</v>
      </c>
      <c r="AK46" s="264" t="s">
        <v>995</v>
      </c>
      <c r="AL46" s="264" t="s">
        <v>995</v>
      </c>
    </row>
    <row r="47" spans="1:38">
      <c r="A47" s="264">
        <v>3415</v>
      </c>
      <c r="B47" s="264" t="s">
        <v>22</v>
      </c>
      <c r="C47" s="264" t="s">
        <v>1027</v>
      </c>
      <c r="D47" s="264" t="s">
        <v>1004</v>
      </c>
      <c r="E47" s="264">
        <v>1100</v>
      </c>
      <c r="F47" s="264" t="s">
        <v>741</v>
      </c>
      <c r="G47" s="389">
        <v>32694</v>
      </c>
      <c r="H47" s="264">
        <v>34</v>
      </c>
      <c r="I47" s="389">
        <v>41719</v>
      </c>
      <c r="K47" s="390">
        <v>42278</v>
      </c>
      <c r="L47" s="264">
        <v>20</v>
      </c>
      <c r="M47" s="264" t="s">
        <v>1015</v>
      </c>
      <c r="N47" s="264">
        <v>1</v>
      </c>
      <c r="O47" s="264" t="s">
        <v>829</v>
      </c>
      <c r="P47" s="264" t="s">
        <v>994</v>
      </c>
      <c r="Q47" s="264" t="s">
        <v>1009</v>
      </c>
      <c r="R47" s="264" t="s">
        <v>1010</v>
      </c>
      <c r="S47" s="264" t="s">
        <v>996</v>
      </c>
      <c r="T47" s="264" t="s">
        <v>997</v>
      </c>
      <c r="U47" s="264" t="s">
        <v>995</v>
      </c>
      <c r="V47" s="264" t="s">
        <v>995</v>
      </c>
      <c r="W47" s="264" t="s">
        <v>995</v>
      </c>
      <c r="X47" s="264" t="s">
        <v>828</v>
      </c>
      <c r="Y47" s="264" t="s">
        <v>998</v>
      </c>
      <c r="Z47" s="264">
        <v>31</v>
      </c>
      <c r="AA47" s="264" t="s">
        <v>999</v>
      </c>
      <c r="AB47" s="264">
        <v>31</v>
      </c>
      <c r="AC47" s="264" t="s">
        <v>999</v>
      </c>
      <c r="AD47" s="264" t="s">
        <v>1000</v>
      </c>
      <c r="AE47" s="264" t="s">
        <v>1000</v>
      </c>
      <c r="AF47" s="264" t="s">
        <v>1000</v>
      </c>
      <c r="AG47" s="264" t="s">
        <v>1000</v>
      </c>
      <c r="AH47" s="264" t="s">
        <v>1002</v>
      </c>
      <c r="AI47" s="264" t="s">
        <v>1002</v>
      </c>
      <c r="AJ47" s="264" t="s">
        <v>995</v>
      </c>
      <c r="AK47" s="264" t="s">
        <v>995</v>
      </c>
      <c r="AL47" s="264" t="s">
        <v>995</v>
      </c>
    </row>
    <row r="48" spans="1:38">
      <c r="A48" s="264">
        <v>1291</v>
      </c>
      <c r="B48" s="264" t="s">
        <v>25</v>
      </c>
      <c r="C48" s="264" t="s">
        <v>1606</v>
      </c>
      <c r="D48" s="264" t="s">
        <v>1004</v>
      </c>
      <c r="G48" s="389">
        <v>24777</v>
      </c>
      <c r="H48" s="264">
        <v>56</v>
      </c>
      <c r="I48" s="389">
        <v>34415</v>
      </c>
      <c r="K48" s="390">
        <v>44593</v>
      </c>
      <c r="L48" s="264">
        <v>95</v>
      </c>
      <c r="M48" s="264" t="s">
        <v>1007</v>
      </c>
      <c r="N48" s="264">
        <v>3</v>
      </c>
      <c r="O48" s="264" t="s">
        <v>1008</v>
      </c>
      <c r="P48" s="264" t="s">
        <v>994</v>
      </c>
      <c r="Q48" s="264" t="s">
        <v>1009</v>
      </c>
      <c r="R48" s="264" t="s">
        <v>1010</v>
      </c>
      <c r="S48" s="264" t="s">
        <v>996</v>
      </c>
      <c r="T48" s="264" t="s">
        <v>997</v>
      </c>
      <c r="U48" s="264" t="s">
        <v>995</v>
      </c>
      <c r="V48" s="264" t="s">
        <v>995</v>
      </c>
      <c r="W48" s="264" t="s">
        <v>995</v>
      </c>
      <c r="X48" s="264" t="s">
        <v>828</v>
      </c>
      <c r="Y48" s="264" t="s">
        <v>998</v>
      </c>
      <c r="Z48" s="264">
        <v>31</v>
      </c>
      <c r="AA48" s="264" t="s">
        <v>999</v>
      </c>
      <c r="AB48" s="264">
        <v>31</v>
      </c>
      <c r="AC48" s="264" t="s">
        <v>999</v>
      </c>
      <c r="AD48" s="264" t="s">
        <v>1001</v>
      </c>
      <c r="AE48" s="264" t="s">
        <v>1001</v>
      </c>
      <c r="AF48" s="264" t="s">
        <v>1001</v>
      </c>
      <c r="AG48" s="264" t="s">
        <v>1001</v>
      </c>
      <c r="AH48" s="264" t="s">
        <v>1002</v>
      </c>
      <c r="AI48" s="264" t="s">
        <v>1002</v>
      </c>
      <c r="AJ48" s="264" t="s">
        <v>995</v>
      </c>
      <c r="AK48" s="264" t="s">
        <v>995</v>
      </c>
      <c r="AL48" s="264" t="s">
        <v>995</v>
      </c>
    </row>
    <row r="49" spans="1:38">
      <c r="A49" s="264">
        <v>1367</v>
      </c>
      <c r="B49" s="264" t="s">
        <v>739</v>
      </c>
      <c r="C49" s="264" t="s">
        <v>1035</v>
      </c>
      <c r="D49" s="264" t="s">
        <v>1004</v>
      </c>
      <c r="E49" s="264">
        <v>10000</v>
      </c>
      <c r="F49" s="264" t="s">
        <v>26</v>
      </c>
      <c r="G49" s="389">
        <v>25576</v>
      </c>
      <c r="H49" s="264">
        <v>54</v>
      </c>
      <c r="I49" s="389">
        <v>40513</v>
      </c>
      <c r="K49" s="390">
        <v>44531</v>
      </c>
      <c r="L49" s="264">
        <v>20</v>
      </c>
      <c r="M49" s="264" t="s">
        <v>1015</v>
      </c>
      <c r="N49" s="264">
        <v>3</v>
      </c>
      <c r="O49" s="264" t="s">
        <v>1008</v>
      </c>
      <c r="P49" s="264" t="s">
        <v>994</v>
      </c>
      <c r="Q49" s="264" t="s">
        <v>1009</v>
      </c>
      <c r="R49" s="264" t="s">
        <v>1010</v>
      </c>
      <c r="S49" s="264" t="s">
        <v>996</v>
      </c>
      <c r="T49" s="264" t="s">
        <v>997</v>
      </c>
      <c r="U49" s="264" t="s">
        <v>995</v>
      </c>
      <c r="V49" s="264" t="s">
        <v>995</v>
      </c>
      <c r="W49" s="264" t="s">
        <v>995</v>
      </c>
      <c r="X49" s="264" t="s">
        <v>828</v>
      </c>
      <c r="Y49" s="264" t="s">
        <v>998</v>
      </c>
      <c r="Z49" s="264">
        <v>31</v>
      </c>
      <c r="AA49" s="264" t="s">
        <v>999</v>
      </c>
      <c r="AB49" s="264">
        <v>31</v>
      </c>
      <c r="AC49" s="264" t="s">
        <v>999</v>
      </c>
      <c r="AD49" s="264" t="s">
        <v>1001</v>
      </c>
      <c r="AE49" s="264" t="s">
        <v>1001</v>
      </c>
      <c r="AF49" s="264" t="s">
        <v>1001</v>
      </c>
      <c r="AG49" s="264" t="s">
        <v>1001</v>
      </c>
      <c r="AH49" s="264" t="s">
        <v>1002</v>
      </c>
      <c r="AI49" s="264" t="s">
        <v>1002</v>
      </c>
      <c r="AJ49" s="264" t="s">
        <v>995</v>
      </c>
      <c r="AK49" s="264" t="s">
        <v>995</v>
      </c>
      <c r="AL49" s="264" t="s">
        <v>995</v>
      </c>
    </row>
    <row r="50" spans="1:38">
      <c r="A50" s="264">
        <v>2515</v>
      </c>
      <c r="B50" s="264" t="s">
        <v>751</v>
      </c>
      <c r="C50" s="264" t="s">
        <v>1069</v>
      </c>
      <c r="D50" s="264" t="s">
        <v>1004</v>
      </c>
      <c r="E50" s="264">
        <v>30000</v>
      </c>
      <c r="F50" s="264" t="s">
        <v>53</v>
      </c>
      <c r="G50" s="389">
        <v>20645</v>
      </c>
      <c r="H50" s="264">
        <v>67</v>
      </c>
      <c r="I50" s="389">
        <v>28937</v>
      </c>
      <c r="K50" s="390">
        <v>42278</v>
      </c>
      <c r="L50" s="264">
        <v>95</v>
      </c>
      <c r="M50" s="264" t="s">
        <v>1007</v>
      </c>
      <c r="N50" s="264">
        <v>3</v>
      </c>
      <c r="O50" s="264" t="s">
        <v>1008</v>
      </c>
      <c r="P50" s="264" t="s">
        <v>994</v>
      </c>
      <c r="Q50" s="264" t="s">
        <v>995</v>
      </c>
      <c r="R50" s="264" t="s">
        <v>995</v>
      </c>
      <c r="S50" s="264" t="s">
        <v>996</v>
      </c>
      <c r="T50" s="264" t="s">
        <v>997</v>
      </c>
      <c r="U50" s="264" t="s">
        <v>995</v>
      </c>
      <c r="V50" s="264" t="s">
        <v>995</v>
      </c>
      <c r="W50" s="264" t="s">
        <v>995</v>
      </c>
      <c r="X50" s="264" t="s">
        <v>828</v>
      </c>
      <c r="Y50" s="264" t="s">
        <v>998</v>
      </c>
      <c r="Z50" s="264">
        <v>31</v>
      </c>
      <c r="AA50" s="264" t="s">
        <v>999</v>
      </c>
      <c r="AB50" s="264">
        <v>31</v>
      </c>
      <c r="AC50" s="264" t="s">
        <v>999</v>
      </c>
      <c r="AD50" s="264" t="s">
        <v>1001</v>
      </c>
      <c r="AE50" s="264" t="s">
        <v>1001</v>
      </c>
      <c r="AF50" s="264" t="s">
        <v>1001</v>
      </c>
      <c r="AG50" s="264" t="s">
        <v>1001</v>
      </c>
      <c r="AH50" s="264" t="s">
        <v>1002</v>
      </c>
      <c r="AI50" s="264" t="s">
        <v>1002</v>
      </c>
      <c r="AJ50" s="264" t="s">
        <v>995</v>
      </c>
      <c r="AK50" s="264" t="s">
        <v>995</v>
      </c>
      <c r="AL50" s="264" t="s">
        <v>995</v>
      </c>
    </row>
    <row r="51" spans="1:38">
      <c r="A51" s="264">
        <v>1323</v>
      </c>
      <c r="B51" s="264" t="s">
        <v>27</v>
      </c>
      <c r="C51" s="264" t="s">
        <v>1036</v>
      </c>
      <c r="D51" s="264" t="s">
        <v>1004</v>
      </c>
      <c r="E51" s="264">
        <v>10000</v>
      </c>
      <c r="F51" s="264" t="s">
        <v>26</v>
      </c>
      <c r="G51" s="389">
        <v>26590</v>
      </c>
      <c r="H51" s="264">
        <v>51</v>
      </c>
      <c r="I51" s="389">
        <v>37747</v>
      </c>
      <c r="K51" s="390">
        <v>42278</v>
      </c>
      <c r="L51" s="264">
        <v>20</v>
      </c>
      <c r="M51" s="264" t="s">
        <v>1015</v>
      </c>
      <c r="N51" s="264">
        <v>1</v>
      </c>
      <c r="O51" s="264" t="s">
        <v>829</v>
      </c>
      <c r="P51" s="264" t="s">
        <v>994</v>
      </c>
      <c r="Q51" s="264" t="s">
        <v>1009</v>
      </c>
      <c r="R51" s="264" t="s">
        <v>1010</v>
      </c>
      <c r="S51" s="264" t="s">
        <v>996</v>
      </c>
      <c r="T51" s="264" t="s">
        <v>997</v>
      </c>
      <c r="U51" s="264" t="s">
        <v>995</v>
      </c>
      <c r="V51" s="264" t="s">
        <v>995</v>
      </c>
      <c r="W51" s="264" t="s">
        <v>995</v>
      </c>
      <c r="X51" s="264" t="s">
        <v>828</v>
      </c>
      <c r="Y51" s="264" t="s">
        <v>998</v>
      </c>
      <c r="Z51" s="264">
        <v>31</v>
      </c>
      <c r="AA51" s="264" t="s">
        <v>999</v>
      </c>
      <c r="AB51" s="264">
        <v>31</v>
      </c>
      <c r="AC51" s="264" t="s">
        <v>999</v>
      </c>
      <c r="AD51" s="264" t="s">
        <v>1000</v>
      </c>
      <c r="AE51" s="264" t="s">
        <v>1000</v>
      </c>
      <c r="AF51" s="264" t="s">
        <v>1000</v>
      </c>
      <c r="AG51" s="264" t="s">
        <v>1000</v>
      </c>
      <c r="AH51" s="264" t="s">
        <v>1002</v>
      </c>
      <c r="AI51" s="264" t="s">
        <v>1002</v>
      </c>
      <c r="AJ51" s="264" t="s">
        <v>995</v>
      </c>
      <c r="AK51" s="264" t="s">
        <v>995</v>
      </c>
      <c r="AL51" s="264" t="s">
        <v>995</v>
      </c>
    </row>
    <row r="52" spans="1:38">
      <c r="A52" s="264">
        <v>1397</v>
      </c>
      <c r="B52" s="264" t="s">
        <v>29</v>
      </c>
      <c r="C52" s="264" t="s">
        <v>1037</v>
      </c>
      <c r="D52" s="264" t="s">
        <v>1004</v>
      </c>
      <c r="E52" s="264">
        <v>10000</v>
      </c>
      <c r="F52" s="264" t="s">
        <v>26</v>
      </c>
      <c r="G52" s="389">
        <v>29517</v>
      </c>
      <c r="H52" s="264">
        <v>43</v>
      </c>
      <c r="I52" s="389">
        <v>43160</v>
      </c>
      <c r="K52" s="390">
        <v>43191</v>
      </c>
      <c r="L52" s="264">
        <v>20</v>
      </c>
      <c r="M52" s="264" t="s">
        <v>1015</v>
      </c>
      <c r="N52" s="264">
        <v>1</v>
      </c>
      <c r="O52" s="264" t="s">
        <v>829</v>
      </c>
      <c r="P52" s="264" t="s">
        <v>994</v>
      </c>
      <c r="Q52" s="264" t="s">
        <v>1009</v>
      </c>
      <c r="R52" s="264" t="s">
        <v>1010</v>
      </c>
      <c r="S52" s="264" t="s">
        <v>996</v>
      </c>
      <c r="T52" s="264" t="s">
        <v>997</v>
      </c>
      <c r="U52" s="264" t="s">
        <v>995</v>
      </c>
      <c r="V52" s="264" t="s">
        <v>995</v>
      </c>
      <c r="W52" s="264" t="s">
        <v>995</v>
      </c>
      <c r="X52" s="264" t="s">
        <v>828</v>
      </c>
      <c r="Y52" s="264" t="s">
        <v>998</v>
      </c>
      <c r="Z52" s="264">
        <v>31</v>
      </c>
      <c r="AA52" s="264" t="s">
        <v>999</v>
      </c>
      <c r="AB52" s="264">
        <v>31</v>
      </c>
      <c r="AC52" s="264" t="s">
        <v>999</v>
      </c>
      <c r="AD52" s="264" t="s">
        <v>1000</v>
      </c>
      <c r="AE52" s="264" t="s">
        <v>1000</v>
      </c>
      <c r="AF52" s="264" t="s">
        <v>1000</v>
      </c>
      <c r="AG52" s="264" t="s">
        <v>1000</v>
      </c>
      <c r="AH52" s="264" t="s">
        <v>1002</v>
      </c>
      <c r="AI52" s="264" t="s">
        <v>1002</v>
      </c>
      <c r="AJ52" s="264" t="s">
        <v>995</v>
      </c>
      <c r="AK52" s="264" t="s">
        <v>995</v>
      </c>
      <c r="AL52" s="264" t="s">
        <v>995</v>
      </c>
    </row>
    <row r="53" spans="1:38">
      <c r="A53" s="264">
        <v>3297</v>
      </c>
      <c r="B53" s="264" t="s">
        <v>40</v>
      </c>
      <c r="C53" s="264" t="s">
        <v>1038</v>
      </c>
      <c r="D53" s="264" t="s">
        <v>991</v>
      </c>
      <c r="E53" s="264">
        <v>10000</v>
      </c>
      <c r="F53" s="264" t="s">
        <v>26</v>
      </c>
      <c r="G53" s="389">
        <v>32945</v>
      </c>
      <c r="H53" s="264">
        <v>33</v>
      </c>
      <c r="I53" s="389">
        <v>39528</v>
      </c>
      <c r="K53" s="390">
        <v>42278</v>
      </c>
      <c r="L53" s="264">
        <v>20</v>
      </c>
      <c r="M53" s="264" t="s">
        <v>1015</v>
      </c>
      <c r="N53" s="264">
        <v>1</v>
      </c>
      <c r="O53" s="264" t="s">
        <v>829</v>
      </c>
      <c r="P53" s="264" t="s">
        <v>994</v>
      </c>
      <c r="Q53" s="264" t="s">
        <v>1009</v>
      </c>
      <c r="R53" s="264" t="s">
        <v>1010</v>
      </c>
      <c r="S53" s="264" t="s">
        <v>996</v>
      </c>
      <c r="T53" s="264" t="s">
        <v>997</v>
      </c>
      <c r="U53" s="264" t="s">
        <v>995</v>
      </c>
      <c r="V53" s="264" t="s">
        <v>995</v>
      </c>
      <c r="W53" s="264" t="s">
        <v>995</v>
      </c>
      <c r="X53" s="264" t="s">
        <v>828</v>
      </c>
      <c r="Y53" s="264" t="s">
        <v>998</v>
      </c>
      <c r="Z53" s="264">
        <v>31</v>
      </c>
      <c r="AA53" s="264" t="s">
        <v>999</v>
      </c>
      <c r="AB53" s="264">
        <v>31</v>
      </c>
      <c r="AC53" s="264" t="s">
        <v>999</v>
      </c>
      <c r="AD53" s="264" t="s">
        <v>1000</v>
      </c>
      <c r="AE53" s="264" t="s">
        <v>1000</v>
      </c>
      <c r="AF53" s="264" t="s">
        <v>1000</v>
      </c>
      <c r="AG53" s="264" t="s">
        <v>1000</v>
      </c>
      <c r="AH53" s="264" t="s">
        <v>1039</v>
      </c>
      <c r="AI53" s="264" t="s">
        <v>1002</v>
      </c>
      <c r="AJ53" s="264" t="s">
        <v>995</v>
      </c>
      <c r="AK53" s="264" t="s">
        <v>995</v>
      </c>
      <c r="AL53" s="264" t="s">
        <v>995</v>
      </c>
    </row>
    <row r="54" spans="1:38">
      <c r="A54" s="264">
        <v>3491</v>
      </c>
      <c r="B54" s="264" t="s">
        <v>32</v>
      </c>
      <c r="C54" s="264" t="s">
        <v>1040</v>
      </c>
      <c r="D54" s="264" t="s">
        <v>1004</v>
      </c>
      <c r="E54" s="264">
        <v>10000</v>
      </c>
      <c r="F54" s="264" t="s">
        <v>26</v>
      </c>
      <c r="G54" s="389">
        <v>34813</v>
      </c>
      <c r="H54" s="264">
        <v>28</v>
      </c>
      <c r="I54" s="389">
        <v>43191</v>
      </c>
      <c r="K54" s="390">
        <v>43191</v>
      </c>
      <c r="L54" s="264">
        <v>20</v>
      </c>
      <c r="M54" s="264" t="s">
        <v>1015</v>
      </c>
      <c r="N54" s="264">
        <v>1</v>
      </c>
      <c r="O54" s="264" t="s">
        <v>829</v>
      </c>
      <c r="P54" s="264" t="s">
        <v>994</v>
      </c>
      <c r="Q54" s="264" t="s">
        <v>1009</v>
      </c>
      <c r="R54" s="264" t="s">
        <v>1010</v>
      </c>
      <c r="S54" s="264" t="s">
        <v>996</v>
      </c>
      <c r="T54" s="264" t="s">
        <v>997</v>
      </c>
      <c r="U54" s="264" t="s">
        <v>995</v>
      </c>
      <c r="V54" s="264" t="s">
        <v>995</v>
      </c>
      <c r="W54" s="264" t="s">
        <v>995</v>
      </c>
      <c r="X54" s="264" t="s">
        <v>828</v>
      </c>
      <c r="Y54" s="264" t="s">
        <v>998</v>
      </c>
      <c r="Z54" s="264">
        <v>31</v>
      </c>
      <c r="AA54" s="264" t="s">
        <v>999</v>
      </c>
      <c r="AB54" s="264">
        <v>31</v>
      </c>
      <c r="AC54" s="264" t="s">
        <v>999</v>
      </c>
      <c r="AD54" s="264" t="s">
        <v>1000</v>
      </c>
      <c r="AE54" s="264" t="s">
        <v>1000</v>
      </c>
      <c r="AF54" s="264" t="s">
        <v>1000</v>
      </c>
      <c r="AG54" s="264" t="s">
        <v>1000</v>
      </c>
      <c r="AH54" s="264" t="s">
        <v>1002</v>
      </c>
      <c r="AI54" s="264" t="s">
        <v>1002</v>
      </c>
      <c r="AJ54" s="264" t="s">
        <v>995</v>
      </c>
      <c r="AK54" s="264" t="s">
        <v>995</v>
      </c>
      <c r="AL54" s="264" t="s">
        <v>995</v>
      </c>
    </row>
    <row r="55" spans="1:38">
      <c r="A55" s="264">
        <v>3503</v>
      </c>
      <c r="B55" s="264" t="s">
        <v>129</v>
      </c>
      <c r="C55" s="264" t="s">
        <v>1041</v>
      </c>
      <c r="D55" s="264" t="s">
        <v>1004</v>
      </c>
      <c r="E55" s="264">
        <v>10000</v>
      </c>
      <c r="F55" s="264" t="s">
        <v>26</v>
      </c>
      <c r="G55" s="389">
        <v>35227</v>
      </c>
      <c r="H55" s="264">
        <v>27</v>
      </c>
      <c r="I55" s="389">
        <v>43556</v>
      </c>
      <c r="K55" s="390">
        <v>43586</v>
      </c>
      <c r="L55" s="264">
        <v>20</v>
      </c>
      <c r="M55" s="264" t="s">
        <v>1015</v>
      </c>
      <c r="N55" s="264">
        <v>1</v>
      </c>
      <c r="O55" s="264" t="s">
        <v>829</v>
      </c>
      <c r="P55" s="264" t="s">
        <v>994</v>
      </c>
      <c r="Q55" s="264" t="s">
        <v>1009</v>
      </c>
      <c r="R55" s="264" t="s">
        <v>1010</v>
      </c>
      <c r="S55" s="264" t="s">
        <v>996</v>
      </c>
      <c r="T55" s="264" t="s">
        <v>997</v>
      </c>
      <c r="U55" s="264" t="s">
        <v>995</v>
      </c>
      <c r="V55" s="264" t="s">
        <v>995</v>
      </c>
      <c r="W55" s="264" t="s">
        <v>995</v>
      </c>
      <c r="X55" s="264" t="s">
        <v>828</v>
      </c>
      <c r="Y55" s="264" t="s">
        <v>998</v>
      </c>
      <c r="Z55" s="264">
        <v>31</v>
      </c>
      <c r="AA55" s="264" t="s">
        <v>999</v>
      </c>
      <c r="AB55" s="264">
        <v>31</v>
      </c>
      <c r="AC55" s="264" t="s">
        <v>999</v>
      </c>
      <c r="AD55" s="264" t="s">
        <v>1000</v>
      </c>
      <c r="AE55" s="264" t="s">
        <v>1000</v>
      </c>
      <c r="AF55" s="264" t="s">
        <v>1000</v>
      </c>
      <c r="AG55" s="264" t="s">
        <v>1000</v>
      </c>
      <c r="AH55" s="264" t="s">
        <v>1002</v>
      </c>
      <c r="AI55" s="264" t="s">
        <v>1002</v>
      </c>
      <c r="AJ55" s="264" t="s">
        <v>995</v>
      </c>
      <c r="AK55" s="264" t="s">
        <v>995</v>
      </c>
      <c r="AL55" s="264" t="s">
        <v>995</v>
      </c>
    </row>
    <row r="56" spans="1:38">
      <c r="A56" s="264">
        <v>8234</v>
      </c>
      <c r="B56" s="264" t="s">
        <v>1048</v>
      </c>
      <c r="C56" s="264" t="s">
        <v>1049</v>
      </c>
      <c r="D56" s="264" t="s">
        <v>991</v>
      </c>
      <c r="E56" s="264">
        <v>10020</v>
      </c>
      <c r="F56" s="264" t="s">
        <v>26</v>
      </c>
      <c r="G56" s="389">
        <v>32402</v>
      </c>
      <c r="H56" s="264">
        <v>35</v>
      </c>
      <c r="I56" s="389">
        <v>45012</v>
      </c>
      <c r="K56" s="390">
        <v>45017</v>
      </c>
      <c r="L56" s="264">
        <v>70</v>
      </c>
      <c r="M56" s="264" t="s">
        <v>1024</v>
      </c>
      <c r="N56" s="264">
        <v>1</v>
      </c>
      <c r="O56" s="264" t="s">
        <v>829</v>
      </c>
      <c r="P56" s="264" t="s">
        <v>994</v>
      </c>
      <c r="Q56" s="264" t="s">
        <v>1009</v>
      </c>
      <c r="R56" s="264" t="s">
        <v>1010</v>
      </c>
      <c r="S56" s="264" t="s">
        <v>996</v>
      </c>
      <c r="T56" s="264" t="s">
        <v>997</v>
      </c>
      <c r="U56" s="264" t="s">
        <v>995</v>
      </c>
      <c r="V56" s="264" t="s">
        <v>995</v>
      </c>
      <c r="W56" s="264" t="s">
        <v>995</v>
      </c>
      <c r="X56" s="264" t="s">
        <v>828</v>
      </c>
      <c r="Y56" s="264" t="s">
        <v>998</v>
      </c>
      <c r="Z56" s="264">
        <v>31</v>
      </c>
      <c r="AA56" s="264" t="s">
        <v>999</v>
      </c>
      <c r="AB56" s="264">
        <v>31</v>
      </c>
      <c r="AC56" s="264" t="s">
        <v>999</v>
      </c>
      <c r="AD56" s="264" t="s">
        <v>1000</v>
      </c>
      <c r="AE56" s="264" t="s">
        <v>1000</v>
      </c>
      <c r="AF56" s="264" t="s">
        <v>1000</v>
      </c>
      <c r="AG56" s="264" t="s">
        <v>1000</v>
      </c>
      <c r="AH56" s="264" t="s">
        <v>1002</v>
      </c>
      <c r="AI56" s="264" t="s">
        <v>1002</v>
      </c>
      <c r="AJ56" s="264" t="s">
        <v>995</v>
      </c>
      <c r="AK56" s="264" t="s">
        <v>995</v>
      </c>
      <c r="AL56" s="264" t="s">
        <v>995</v>
      </c>
    </row>
    <row r="57" spans="1:38">
      <c r="A57" s="264">
        <v>1410</v>
      </c>
      <c r="B57" s="264" t="s">
        <v>742</v>
      </c>
      <c r="C57" s="264" t="s">
        <v>1042</v>
      </c>
      <c r="D57" s="264" t="s">
        <v>991</v>
      </c>
      <c r="E57" s="264">
        <v>10000</v>
      </c>
      <c r="F57" s="264" t="s">
        <v>26</v>
      </c>
      <c r="G57" s="389">
        <v>34645</v>
      </c>
      <c r="H57" s="264">
        <v>29</v>
      </c>
      <c r="I57" s="389">
        <v>44095</v>
      </c>
      <c r="K57" s="390">
        <v>43800</v>
      </c>
      <c r="L57" s="264">
        <v>20</v>
      </c>
      <c r="M57" s="264" t="s">
        <v>1015</v>
      </c>
      <c r="N57" s="264">
        <v>1</v>
      </c>
      <c r="O57" s="264" t="s">
        <v>829</v>
      </c>
      <c r="P57" s="264" t="s">
        <v>994</v>
      </c>
      <c r="Q57" s="264" t="s">
        <v>1009</v>
      </c>
      <c r="R57" s="264" t="s">
        <v>1010</v>
      </c>
      <c r="S57" s="264" t="s">
        <v>996</v>
      </c>
      <c r="T57" s="264" t="s">
        <v>997</v>
      </c>
      <c r="U57" s="264" t="s">
        <v>995</v>
      </c>
      <c r="V57" s="264" t="s">
        <v>995</v>
      </c>
      <c r="W57" s="264" t="s">
        <v>995</v>
      </c>
      <c r="X57" s="264" t="s">
        <v>828</v>
      </c>
      <c r="Y57" s="264" t="s">
        <v>998</v>
      </c>
      <c r="Z57" s="264">
        <v>31</v>
      </c>
      <c r="AA57" s="264" t="s">
        <v>999</v>
      </c>
      <c r="AB57" s="264">
        <v>31</v>
      </c>
      <c r="AC57" s="264" t="s">
        <v>999</v>
      </c>
      <c r="AD57" s="264" t="s">
        <v>1000</v>
      </c>
      <c r="AE57" s="264" t="s">
        <v>1000</v>
      </c>
      <c r="AF57" s="264" t="s">
        <v>1000</v>
      </c>
      <c r="AG57" s="264" t="s">
        <v>1000</v>
      </c>
      <c r="AH57" s="264" t="s">
        <v>1002</v>
      </c>
      <c r="AI57" s="264" t="s">
        <v>1002</v>
      </c>
      <c r="AJ57" s="264" t="s">
        <v>995</v>
      </c>
      <c r="AK57" s="264" t="s">
        <v>995</v>
      </c>
      <c r="AL57" s="264" t="s">
        <v>995</v>
      </c>
    </row>
    <row r="58" spans="1:38">
      <c r="A58" s="264">
        <v>2912</v>
      </c>
      <c r="B58" s="264" t="s">
        <v>39</v>
      </c>
      <c r="C58" s="264" t="s">
        <v>1043</v>
      </c>
      <c r="D58" s="264" t="s">
        <v>991</v>
      </c>
      <c r="E58" s="264">
        <v>10000</v>
      </c>
      <c r="F58" s="264" t="s">
        <v>26</v>
      </c>
      <c r="G58" s="389">
        <v>26992</v>
      </c>
      <c r="H58" s="264">
        <v>50</v>
      </c>
      <c r="I58" s="389">
        <v>33686</v>
      </c>
      <c r="K58" s="390">
        <v>42278</v>
      </c>
      <c r="L58" s="264">
        <v>20</v>
      </c>
      <c r="M58" s="264" t="s">
        <v>1015</v>
      </c>
      <c r="N58" s="264">
        <v>1</v>
      </c>
      <c r="O58" s="264" t="s">
        <v>829</v>
      </c>
      <c r="P58" s="264" t="s">
        <v>994</v>
      </c>
      <c r="Q58" s="264" t="s">
        <v>1009</v>
      </c>
      <c r="R58" s="264" t="s">
        <v>1010</v>
      </c>
      <c r="S58" s="264" t="s">
        <v>996</v>
      </c>
      <c r="T58" s="264" t="s">
        <v>997</v>
      </c>
      <c r="U58" s="264" t="s">
        <v>995</v>
      </c>
      <c r="V58" s="264" t="s">
        <v>995</v>
      </c>
      <c r="W58" s="264" t="s">
        <v>995</v>
      </c>
      <c r="X58" s="264" t="s">
        <v>828</v>
      </c>
      <c r="Y58" s="264" t="s">
        <v>998</v>
      </c>
      <c r="Z58" s="264">
        <v>31</v>
      </c>
      <c r="AA58" s="264" t="s">
        <v>999</v>
      </c>
      <c r="AB58" s="264">
        <v>31</v>
      </c>
      <c r="AC58" s="264" t="s">
        <v>999</v>
      </c>
      <c r="AD58" s="264" t="s">
        <v>1000</v>
      </c>
      <c r="AE58" s="264" t="s">
        <v>1000</v>
      </c>
      <c r="AF58" s="264" t="s">
        <v>1000</v>
      </c>
      <c r="AG58" s="264" t="s">
        <v>1000</v>
      </c>
      <c r="AH58" s="264" t="s">
        <v>1002</v>
      </c>
      <c r="AI58" s="264" t="s">
        <v>1002</v>
      </c>
      <c r="AJ58" s="264" t="s">
        <v>995</v>
      </c>
      <c r="AK58" s="264" t="s">
        <v>995</v>
      </c>
      <c r="AL58" s="264" t="s">
        <v>995</v>
      </c>
    </row>
    <row r="59" spans="1:38">
      <c r="A59" s="264">
        <v>3129</v>
      </c>
      <c r="B59" s="264" t="s">
        <v>177</v>
      </c>
      <c r="C59" s="264" t="s">
        <v>1044</v>
      </c>
      <c r="D59" s="264" t="s">
        <v>1004</v>
      </c>
      <c r="E59" s="264">
        <v>10000</v>
      </c>
      <c r="F59" s="264" t="s">
        <v>26</v>
      </c>
      <c r="G59" s="389">
        <v>27079</v>
      </c>
      <c r="H59" s="264">
        <v>49</v>
      </c>
      <c r="I59" s="389">
        <v>35510</v>
      </c>
      <c r="K59" s="390">
        <v>42278</v>
      </c>
      <c r="L59" s="264">
        <v>20</v>
      </c>
      <c r="M59" s="264" t="s">
        <v>1015</v>
      </c>
      <c r="N59" s="264">
        <v>1</v>
      </c>
      <c r="O59" s="264" t="s">
        <v>829</v>
      </c>
      <c r="P59" s="264" t="s">
        <v>994</v>
      </c>
      <c r="Q59" s="264" t="s">
        <v>1009</v>
      </c>
      <c r="R59" s="264" t="s">
        <v>1010</v>
      </c>
      <c r="S59" s="264" t="s">
        <v>996</v>
      </c>
      <c r="T59" s="264" t="s">
        <v>997</v>
      </c>
      <c r="U59" s="264" t="s">
        <v>995</v>
      </c>
      <c r="V59" s="264" t="s">
        <v>995</v>
      </c>
      <c r="W59" s="264" t="s">
        <v>995</v>
      </c>
      <c r="X59" s="264" t="s">
        <v>828</v>
      </c>
      <c r="Y59" s="264" t="s">
        <v>998</v>
      </c>
      <c r="Z59" s="264">
        <v>31</v>
      </c>
      <c r="AA59" s="264" t="s">
        <v>999</v>
      </c>
      <c r="AB59" s="264">
        <v>31</v>
      </c>
      <c r="AC59" s="264" t="s">
        <v>999</v>
      </c>
      <c r="AD59" s="264" t="s">
        <v>1000</v>
      </c>
      <c r="AE59" s="264" t="s">
        <v>1000</v>
      </c>
      <c r="AF59" s="264" t="s">
        <v>1000</v>
      </c>
      <c r="AG59" s="264" t="s">
        <v>1000</v>
      </c>
      <c r="AH59" s="264" t="s">
        <v>1002</v>
      </c>
      <c r="AI59" s="264" t="s">
        <v>1002</v>
      </c>
      <c r="AJ59" s="264" t="s">
        <v>995</v>
      </c>
      <c r="AK59" s="264" t="s">
        <v>995</v>
      </c>
      <c r="AL59" s="264" t="s">
        <v>995</v>
      </c>
    </row>
    <row r="60" spans="1:38">
      <c r="A60" s="264">
        <v>3210</v>
      </c>
      <c r="B60" s="264" t="s">
        <v>28</v>
      </c>
      <c r="C60" s="264" t="s">
        <v>1045</v>
      </c>
      <c r="D60" s="264" t="s">
        <v>1004</v>
      </c>
      <c r="E60" s="264">
        <v>10000</v>
      </c>
      <c r="F60" s="264" t="s">
        <v>26</v>
      </c>
      <c r="G60" s="389">
        <v>29726</v>
      </c>
      <c r="H60" s="264">
        <v>42</v>
      </c>
      <c r="I60" s="389">
        <v>38068</v>
      </c>
      <c r="K60" s="390">
        <v>42278</v>
      </c>
      <c r="L60" s="264">
        <v>20</v>
      </c>
      <c r="M60" s="264" t="s">
        <v>1015</v>
      </c>
      <c r="N60" s="264">
        <v>1</v>
      </c>
      <c r="O60" s="264" t="s">
        <v>829</v>
      </c>
      <c r="P60" s="264" t="s">
        <v>994</v>
      </c>
      <c r="Q60" s="264" t="s">
        <v>1009</v>
      </c>
      <c r="R60" s="264" t="s">
        <v>1010</v>
      </c>
      <c r="S60" s="264" t="s">
        <v>996</v>
      </c>
      <c r="T60" s="264" t="s">
        <v>997</v>
      </c>
      <c r="U60" s="264" t="s">
        <v>995</v>
      </c>
      <c r="V60" s="264" t="s">
        <v>995</v>
      </c>
      <c r="W60" s="264" t="s">
        <v>995</v>
      </c>
      <c r="X60" s="264" t="s">
        <v>828</v>
      </c>
      <c r="Y60" s="264" t="s">
        <v>998</v>
      </c>
      <c r="Z60" s="264">
        <v>31</v>
      </c>
      <c r="AA60" s="264" t="s">
        <v>999</v>
      </c>
      <c r="AB60" s="264">
        <v>31</v>
      </c>
      <c r="AC60" s="264" t="s">
        <v>999</v>
      </c>
      <c r="AD60" s="264" t="s">
        <v>1000</v>
      </c>
      <c r="AE60" s="264" t="s">
        <v>1000</v>
      </c>
      <c r="AF60" s="264" t="s">
        <v>1000</v>
      </c>
      <c r="AG60" s="264" t="s">
        <v>1000</v>
      </c>
      <c r="AH60" s="264" t="s">
        <v>1002</v>
      </c>
      <c r="AI60" s="264" t="s">
        <v>1002</v>
      </c>
      <c r="AJ60" s="264" t="s">
        <v>995</v>
      </c>
      <c r="AK60" s="264" t="s">
        <v>995</v>
      </c>
      <c r="AL60" s="264" t="s">
        <v>995</v>
      </c>
    </row>
    <row r="61" spans="1:38">
      <c r="A61" s="264">
        <v>3331</v>
      </c>
      <c r="B61" s="264" t="s">
        <v>30</v>
      </c>
      <c r="C61" s="264" t="s">
        <v>1046</v>
      </c>
      <c r="D61" s="264" t="s">
        <v>1004</v>
      </c>
      <c r="E61" s="264">
        <v>10000</v>
      </c>
      <c r="F61" s="264" t="s">
        <v>26</v>
      </c>
      <c r="G61" s="389">
        <v>32268</v>
      </c>
      <c r="H61" s="264">
        <v>35</v>
      </c>
      <c r="I61" s="389">
        <v>40623</v>
      </c>
      <c r="K61" s="390">
        <v>42278</v>
      </c>
      <c r="L61" s="264">
        <v>20</v>
      </c>
      <c r="M61" s="264" t="s">
        <v>1015</v>
      </c>
      <c r="N61" s="264">
        <v>1</v>
      </c>
      <c r="O61" s="264" t="s">
        <v>829</v>
      </c>
      <c r="P61" s="264" t="s">
        <v>994</v>
      </c>
      <c r="Q61" s="264" t="s">
        <v>1009</v>
      </c>
      <c r="R61" s="264" t="s">
        <v>1010</v>
      </c>
      <c r="S61" s="264" t="s">
        <v>996</v>
      </c>
      <c r="T61" s="264" t="s">
        <v>997</v>
      </c>
      <c r="U61" s="264" t="s">
        <v>995</v>
      </c>
      <c r="V61" s="264" t="s">
        <v>995</v>
      </c>
      <c r="W61" s="264" t="s">
        <v>995</v>
      </c>
      <c r="X61" s="264" t="s">
        <v>828</v>
      </c>
      <c r="Y61" s="264" t="s">
        <v>998</v>
      </c>
      <c r="Z61" s="264">
        <v>31</v>
      </c>
      <c r="AA61" s="264" t="s">
        <v>999</v>
      </c>
      <c r="AB61" s="264">
        <v>31</v>
      </c>
      <c r="AC61" s="264" t="s">
        <v>999</v>
      </c>
      <c r="AD61" s="264" t="s">
        <v>1000</v>
      </c>
      <c r="AE61" s="264" t="s">
        <v>1000</v>
      </c>
      <c r="AF61" s="264" t="s">
        <v>1000</v>
      </c>
      <c r="AG61" s="264" t="s">
        <v>1000</v>
      </c>
      <c r="AH61" s="264" t="s">
        <v>1002</v>
      </c>
      <c r="AI61" s="264" t="s">
        <v>1002</v>
      </c>
      <c r="AJ61" s="264" t="s">
        <v>995</v>
      </c>
      <c r="AK61" s="264" t="s">
        <v>995</v>
      </c>
      <c r="AL61" s="264" t="s">
        <v>995</v>
      </c>
    </row>
    <row r="62" spans="1:38">
      <c r="A62" s="264">
        <v>3530</v>
      </c>
      <c r="B62" s="264" t="s">
        <v>764</v>
      </c>
      <c r="C62" s="264" t="s">
        <v>1047</v>
      </c>
      <c r="D62" s="264" t="s">
        <v>991</v>
      </c>
      <c r="E62" s="264">
        <v>10000</v>
      </c>
      <c r="F62" s="264" t="s">
        <v>26</v>
      </c>
      <c r="G62" s="389">
        <v>36597</v>
      </c>
      <c r="H62" s="264">
        <v>23</v>
      </c>
      <c r="I62" s="389">
        <v>44652</v>
      </c>
      <c r="K62" s="390">
        <v>44652</v>
      </c>
      <c r="L62" s="264">
        <v>20</v>
      </c>
      <c r="M62" s="264" t="s">
        <v>1015</v>
      </c>
      <c r="N62" s="264">
        <v>1</v>
      </c>
      <c r="O62" s="264" t="s">
        <v>829</v>
      </c>
      <c r="P62" s="264" t="s">
        <v>994</v>
      </c>
      <c r="Q62" s="264" t="s">
        <v>1009</v>
      </c>
      <c r="R62" s="264" t="s">
        <v>1010</v>
      </c>
      <c r="S62" s="264" t="s">
        <v>996</v>
      </c>
      <c r="T62" s="264" t="s">
        <v>997</v>
      </c>
      <c r="U62" s="264" t="s">
        <v>995</v>
      </c>
      <c r="V62" s="264" t="s">
        <v>995</v>
      </c>
      <c r="W62" s="264" t="s">
        <v>995</v>
      </c>
      <c r="X62" s="264" t="s">
        <v>828</v>
      </c>
      <c r="Y62" s="264" t="s">
        <v>998</v>
      </c>
      <c r="Z62" s="264">
        <v>31</v>
      </c>
      <c r="AA62" s="264" t="s">
        <v>999</v>
      </c>
      <c r="AB62" s="264">
        <v>31</v>
      </c>
      <c r="AC62" s="264" t="s">
        <v>999</v>
      </c>
      <c r="AD62" s="264" t="s">
        <v>1000</v>
      </c>
      <c r="AE62" s="264" t="s">
        <v>1000</v>
      </c>
      <c r="AF62" s="264" t="s">
        <v>1000</v>
      </c>
      <c r="AG62" s="264" t="s">
        <v>1000</v>
      </c>
      <c r="AH62" s="264" t="s">
        <v>1002</v>
      </c>
      <c r="AI62" s="264" t="s">
        <v>1002</v>
      </c>
      <c r="AJ62" s="264" t="s">
        <v>995</v>
      </c>
      <c r="AK62" s="264" t="s">
        <v>995</v>
      </c>
      <c r="AL62" s="264" t="s">
        <v>995</v>
      </c>
    </row>
    <row r="63" spans="1:38">
      <c r="A63" s="264">
        <v>3007</v>
      </c>
      <c r="B63" s="264" t="s">
        <v>48</v>
      </c>
      <c r="C63" s="264" t="s">
        <v>1596</v>
      </c>
      <c r="D63" s="264" t="s">
        <v>1004</v>
      </c>
      <c r="E63" s="264">
        <v>90000</v>
      </c>
      <c r="F63" s="264" t="s">
        <v>218</v>
      </c>
      <c r="G63" s="389">
        <v>26698</v>
      </c>
      <c r="H63" s="264">
        <v>50</v>
      </c>
      <c r="I63" s="389">
        <v>34780</v>
      </c>
      <c r="K63" s="390">
        <v>42278</v>
      </c>
      <c r="L63" s="264">
        <v>20</v>
      </c>
      <c r="M63" s="264" t="s">
        <v>1015</v>
      </c>
      <c r="N63" s="264">
        <v>1</v>
      </c>
      <c r="O63" s="264" t="s">
        <v>829</v>
      </c>
      <c r="P63" s="264" t="s">
        <v>994</v>
      </c>
      <c r="Q63" s="264" t="s">
        <v>1009</v>
      </c>
      <c r="R63" s="264" t="s">
        <v>1010</v>
      </c>
      <c r="S63" s="264" t="s">
        <v>996</v>
      </c>
      <c r="T63" s="264" t="s">
        <v>997</v>
      </c>
      <c r="U63" s="264" t="s">
        <v>995</v>
      </c>
      <c r="V63" s="264" t="s">
        <v>995</v>
      </c>
      <c r="W63" s="264" t="s">
        <v>995</v>
      </c>
      <c r="X63" s="264" t="s">
        <v>828</v>
      </c>
      <c r="Y63" s="264" t="s">
        <v>998</v>
      </c>
      <c r="Z63" s="264">
        <v>31</v>
      </c>
      <c r="AA63" s="264" t="s">
        <v>999</v>
      </c>
      <c r="AB63" s="264">
        <v>31</v>
      </c>
      <c r="AC63" s="264" t="s">
        <v>999</v>
      </c>
      <c r="AD63" s="264" t="s">
        <v>1000</v>
      </c>
      <c r="AE63" s="264" t="s">
        <v>1000</v>
      </c>
      <c r="AF63" s="264" t="s">
        <v>1000</v>
      </c>
      <c r="AG63" s="264" t="s">
        <v>1000</v>
      </c>
      <c r="AH63" s="264" t="s">
        <v>1002</v>
      </c>
      <c r="AI63" s="264" t="s">
        <v>1002</v>
      </c>
      <c r="AJ63" s="264" t="s">
        <v>995</v>
      </c>
      <c r="AK63" s="264" t="s">
        <v>995</v>
      </c>
      <c r="AL63" s="264" t="s">
        <v>995</v>
      </c>
    </row>
    <row r="64" spans="1:38">
      <c r="A64" s="264">
        <v>1308</v>
      </c>
      <c r="B64" s="264" t="s">
        <v>223</v>
      </c>
      <c r="C64" s="264" t="s">
        <v>1597</v>
      </c>
      <c r="D64" s="264" t="s">
        <v>1004</v>
      </c>
      <c r="E64" s="264">
        <v>90000</v>
      </c>
      <c r="F64" s="264" t="s">
        <v>218</v>
      </c>
      <c r="G64" s="389">
        <v>26872</v>
      </c>
      <c r="H64" s="264">
        <v>50</v>
      </c>
      <c r="I64" s="389">
        <v>36606</v>
      </c>
      <c r="K64" s="390">
        <v>42278</v>
      </c>
      <c r="L64" s="264">
        <v>20</v>
      </c>
      <c r="M64" s="264" t="s">
        <v>1015</v>
      </c>
      <c r="N64" s="264">
        <v>1</v>
      </c>
      <c r="O64" s="264" t="s">
        <v>829</v>
      </c>
      <c r="P64" s="264" t="s">
        <v>994</v>
      </c>
      <c r="Q64" s="264" t="s">
        <v>1009</v>
      </c>
      <c r="R64" s="264" t="s">
        <v>1010</v>
      </c>
      <c r="S64" s="264" t="s">
        <v>996</v>
      </c>
      <c r="T64" s="264" t="s">
        <v>997</v>
      </c>
      <c r="U64" s="264" t="s">
        <v>995</v>
      </c>
      <c r="V64" s="264" t="s">
        <v>995</v>
      </c>
      <c r="W64" s="264" t="s">
        <v>995</v>
      </c>
      <c r="X64" s="264" t="s">
        <v>828</v>
      </c>
      <c r="Y64" s="264" t="s">
        <v>998</v>
      </c>
      <c r="Z64" s="264">
        <v>31</v>
      </c>
      <c r="AA64" s="264" t="s">
        <v>999</v>
      </c>
      <c r="AB64" s="264">
        <v>31</v>
      </c>
      <c r="AC64" s="264" t="s">
        <v>999</v>
      </c>
      <c r="AD64" s="264" t="s">
        <v>1000</v>
      </c>
      <c r="AE64" s="264" t="s">
        <v>1000</v>
      </c>
      <c r="AF64" s="264" t="s">
        <v>1000</v>
      </c>
      <c r="AG64" s="264" t="s">
        <v>1000</v>
      </c>
      <c r="AH64" s="264" t="s">
        <v>1002</v>
      </c>
      <c r="AI64" s="264" t="s">
        <v>1002</v>
      </c>
      <c r="AJ64" s="264" t="s">
        <v>995</v>
      </c>
      <c r="AK64" s="264" t="s">
        <v>995</v>
      </c>
      <c r="AL64" s="264" t="s">
        <v>995</v>
      </c>
    </row>
    <row r="65" spans="1:38">
      <c r="A65" s="264">
        <v>3231</v>
      </c>
      <c r="B65" s="264" t="s">
        <v>226</v>
      </c>
      <c r="C65" s="264" t="s">
        <v>1598</v>
      </c>
      <c r="D65" s="264" t="s">
        <v>1004</v>
      </c>
      <c r="E65" s="264">
        <v>90000</v>
      </c>
      <c r="F65" s="264" t="s">
        <v>218</v>
      </c>
      <c r="G65" s="389">
        <v>30271</v>
      </c>
      <c r="H65" s="264">
        <v>41</v>
      </c>
      <c r="I65" s="389">
        <v>38432</v>
      </c>
      <c r="K65" s="390">
        <v>42278</v>
      </c>
      <c r="L65" s="264">
        <v>20</v>
      </c>
      <c r="M65" s="264" t="s">
        <v>1015</v>
      </c>
      <c r="N65" s="264">
        <v>1</v>
      </c>
      <c r="O65" s="264" t="s">
        <v>829</v>
      </c>
      <c r="P65" s="264" t="s">
        <v>994</v>
      </c>
      <c r="Q65" s="264" t="s">
        <v>1009</v>
      </c>
      <c r="R65" s="264" t="s">
        <v>1010</v>
      </c>
      <c r="S65" s="264" t="s">
        <v>996</v>
      </c>
      <c r="T65" s="264" t="s">
        <v>997</v>
      </c>
      <c r="U65" s="264" t="s">
        <v>995</v>
      </c>
      <c r="V65" s="264" t="s">
        <v>995</v>
      </c>
      <c r="W65" s="264" t="s">
        <v>995</v>
      </c>
      <c r="X65" s="264" t="s">
        <v>828</v>
      </c>
      <c r="Y65" s="264" t="s">
        <v>998</v>
      </c>
      <c r="Z65" s="264">
        <v>31</v>
      </c>
      <c r="AA65" s="264" t="s">
        <v>999</v>
      </c>
      <c r="AB65" s="264">
        <v>31</v>
      </c>
      <c r="AC65" s="264" t="s">
        <v>999</v>
      </c>
      <c r="AD65" s="264" t="s">
        <v>1000</v>
      </c>
      <c r="AE65" s="264" t="s">
        <v>1000</v>
      </c>
      <c r="AF65" s="264" t="s">
        <v>1000</v>
      </c>
      <c r="AG65" s="264" t="s">
        <v>1000</v>
      </c>
      <c r="AH65" s="264" t="s">
        <v>1002</v>
      </c>
      <c r="AI65" s="264" t="s">
        <v>1002</v>
      </c>
      <c r="AJ65" s="264" t="s">
        <v>995</v>
      </c>
      <c r="AK65" s="264" t="s">
        <v>995</v>
      </c>
      <c r="AL65" s="264" t="s">
        <v>995</v>
      </c>
    </row>
    <row r="66" spans="1:38">
      <c r="A66" s="264">
        <v>3248</v>
      </c>
      <c r="B66" s="264" t="s">
        <v>47</v>
      </c>
      <c r="C66" s="264" t="s">
        <v>1599</v>
      </c>
      <c r="D66" s="264" t="s">
        <v>1004</v>
      </c>
      <c r="E66" s="264">
        <v>90000</v>
      </c>
      <c r="F66" s="264" t="s">
        <v>218</v>
      </c>
      <c r="G66" s="389">
        <v>30715</v>
      </c>
      <c r="H66" s="264">
        <v>39</v>
      </c>
      <c r="I66" s="389">
        <v>38797</v>
      </c>
      <c r="K66" s="390">
        <v>42278</v>
      </c>
      <c r="L66" s="264">
        <v>20</v>
      </c>
      <c r="M66" s="264" t="s">
        <v>1015</v>
      </c>
      <c r="N66" s="264">
        <v>1</v>
      </c>
      <c r="O66" s="264" t="s">
        <v>829</v>
      </c>
      <c r="P66" s="264" t="s">
        <v>994</v>
      </c>
      <c r="Q66" s="264" t="s">
        <v>1009</v>
      </c>
      <c r="R66" s="264" t="s">
        <v>1010</v>
      </c>
      <c r="S66" s="264" t="s">
        <v>996</v>
      </c>
      <c r="T66" s="264" t="s">
        <v>997</v>
      </c>
      <c r="U66" s="264" t="s">
        <v>995</v>
      </c>
      <c r="V66" s="264" t="s">
        <v>995</v>
      </c>
      <c r="W66" s="264" t="s">
        <v>995</v>
      </c>
      <c r="X66" s="264" t="s">
        <v>828</v>
      </c>
      <c r="Y66" s="264" t="s">
        <v>998</v>
      </c>
      <c r="Z66" s="264">
        <v>31</v>
      </c>
      <c r="AA66" s="264" t="s">
        <v>999</v>
      </c>
      <c r="AB66" s="264">
        <v>31</v>
      </c>
      <c r="AC66" s="264" t="s">
        <v>999</v>
      </c>
      <c r="AD66" s="264" t="s">
        <v>1000</v>
      </c>
      <c r="AE66" s="264" t="s">
        <v>1000</v>
      </c>
      <c r="AF66" s="264" t="s">
        <v>1000</v>
      </c>
      <c r="AG66" s="264" t="s">
        <v>1000</v>
      </c>
      <c r="AH66" s="264" t="s">
        <v>1002</v>
      </c>
      <c r="AI66" s="264" t="s">
        <v>1002</v>
      </c>
      <c r="AJ66" s="264" t="s">
        <v>995</v>
      </c>
      <c r="AK66" s="264" t="s">
        <v>995</v>
      </c>
      <c r="AL66" s="264" t="s">
        <v>995</v>
      </c>
    </row>
    <row r="67" spans="1:38">
      <c r="A67" s="264">
        <v>3249</v>
      </c>
      <c r="B67" s="264" t="s">
        <v>224</v>
      </c>
      <c r="C67" s="264" t="s">
        <v>1600</v>
      </c>
      <c r="D67" s="264" t="s">
        <v>1004</v>
      </c>
      <c r="E67" s="264">
        <v>90000</v>
      </c>
      <c r="F67" s="264" t="s">
        <v>218</v>
      </c>
      <c r="G67" s="389">
        <v>28003</v>
      </c>
      <c r="H67" s="264">
        <v>47</v>
      </c>
      <c r="I67" s="389">
        <v>38797</v>
      </c>
      <c r="K67" s="390">
        <v>42278</v>
      </c>
      <c r="L67" s="264">
        <v>20</v>
      </c>
      <c r="M67" s="264" t="s">
        <v>1015</v>
      </c>
      <c r="N67" s="264">
        <v>1</v>
      </c>
      <c r="O67" s="264" t="s">
        <v>829</v>
      </c>
      <c r="P67" s="264" t="s">
        <v>994</v>
      </c>
      <c r="Q67" s="264" t="s">
        <v>1009</v>
      </c>
      <c r="R67" s="264" t="s">
        <v>1010</v>
      </c>
      <c r="S67" s="264" t="s">
        <v>996</v>
      </c>
      <c r="T67" s="264" t="s">
        <v>997</v>
      </c>
      <c r="U67" s="264" t="s">
        <v>995</v>
      </c>
      <c r="V67" s="264" t="s">
        <v>995</v>
      </c>
      <c r="W67" s="264" t="s">
        <v>995</v>
      </c>
      <c r="X67" s="264" t="s">
        <v>828</v>
      </c>
      <c r="Y67" s="264" t="s">
        <v>998</v>
      </c>
      <c r="Z67" s="264">
        <v>31</v>
      </c>
      <c r="AA67" s="264" t="s">
        <v>999</v>
      </c>
      <c r="AB67" s="264">
        <v>31</v>
      </c>
      <c r="AC67" s="264" t="s">
        <v>999</v>
      </c>
      <c r="AD67" s="264" t="s">
        <v>1000</v>
      </c>
      <c r="AE67" s="264" t="s">
        <v>1000</v>
      </c>
      <c r="AF67" s="264" t="s">
        <v>1000</v>
      </c>
      <c r="AG67" s="264" t="s">
        <v>1000</v>
      </c>
      <c r="AH67" s="264" t="s">
        <v>1002</v>
      </c>
      <c r="AI67" s="264" t="s">
        <v>1002</v>
      </c>
      <c r="AJ67" s="264" t="s">
        <v>995</v>
      </c>
      <c r="AK67" s="264" t="s">
        <v>995</v>
      </c>
      <c r="AL67" s="264" t="s">
        <v>995</v>
      </c>
    </row>
    <row r="68" spans="1:38">
      <c r="A68" s="264">
        <v>3295</v>
      </c>
      <c r="B68" s="264" t="s">
        <v>254</v>
      </c>
      <c r="C68" s="264" t="s">
        <v>1601</v>
      </c>
      <c r="D68" s="264" t="s">
        <v>991</v>
      </c>
      <c r="E68" s="264">
        <v>90000</v>
      </c>
      <c r="F68" s="264" t="s">
        <v>218</v>
      </c>
      <c r="G68" s="389">
        <v>32959</v>
      </c>
      <c r="H68" s="264">
        <v>33</v>
      </c>
      <c r="I68" s="389">
        <v>39528</v>
      </c>
      <c r="K68" s="390">
        <v>45078</v>
      </c>
      <c r="L68" s="264">
        <v>20</v>
      </c>
      <c r="M68" s="264" t="s">
        <v>1015</v>
      </c>
      <c r="N68" s="264">
        <v>1</v>
      </c>
      <c r="O68" s="264" t="s">
        <v>829</v>
      </c>
      <c r="P68" s="264" t="s">
        <v>994</v>
      </c>
      <c r="Q68" s="264" t="s">
        <v>1009</v>
      </c>
      <c r="R68" s="264" t="s">
        <v>1010</v>
      </c>
      <c r="S68" s="264" t="s">
        <v>996</v>
      </c>
      <c r="T68" s="264" t="s">
        <v>997</v>
      </c>
      <c r="U68" s="264" t="s">
        <v>995</v>
      </c>
      <c r="V68" s="264" t="s">
        <v>995</v>
      </c>
      <c r="W68" s="264" t="s">
        <v>995</v>
      </c>
      <c r="X68" s="264" t="s">
        <v>828</v>
      </c>
      <c r="Y68" s="264" t="s">
        <v>998</v>
      </c>
      <c r="Z68" s="264">
        <v>31</v>
      </c>
      <c r="AA68" s="264" t="s">
        <v>999</v>
      </c>
      <c r="AB68" s="264">
        <v>31</v>
      </c>
      <c r="AC68" s="264" t="s">
        <v>999</v>
      </c>
      <c r="AD68" s="264" t="s">
        <v>1000</v>
      </c>
      <c r="AE68" s="264" t="s">
        <v>1000</v>
      </c>
      <c r="AF68" s="264" t="s">
        <v>1000</v>
      </c>
      <c r="AG68" s="264" t="s">
        <v>1000</v>
      </c>
      <c r="AH68" s="264" t="s">
        <v>1002</v>
      </c>
      <c r="AI68" s="264" t="s">
        <v>1002</v>
      </c>
      <c r="AJ68" s="264" t="s">
        <v>995</v>
      </c>
      <c r="AK68" s="264" t="s">
        <v>995</v>
      </c>
      <c r="AL68" s="264" t="s">
        <v>995</v>
      </c>
    </row>
    <row r="69" spans="1:38">
      <c r="A69" s="264">
        <v>3358</v>
      </c>
      <c r="B69" s="264" t="s">
        <v>227</v>
      </c>
      <c r="C69" s="264" t="s">
        <v>1602</v>
      </c>
      <c r="D69" s="264" t="s">
        <v>1004</v>
      </c>
      <c r="E69" s="264">
        <v>90000</v>
      </c>
      <c r="F69" s="264" t="s">
        <v>218</v>
      </c>
      <c r="G69" s="389">
        <v>32878</v>
      </c>
      <c r="H69" s="264">
        <v>34</v>
      </c>
      <c r="I69" s="389">
        <v>40989</v>
      </c>
      <c r="K69" s="390">
        <v>42278</v>
      </c>
      <c r="L69" s="264">
        <v>20</v>
      </c>
      <c r="M69" s="264" t="s">
        <v>1015</v>
      </c>
      <c r="N69" s="264">
        <v>1</v>
      </c>
      <c r="O69" s="264" t="s">
        <v>829</v>
      </c>
      <c r="P69" s="264" t="s">
        <v>994</v>
      </c>
      <c r="Q69" s="264" t="s">
        <v>1009</v>
      </c>
      <c r="R69" s="264" t="s">
        <v>1010</v>
      </c>
      <c r="S69" s="264" t="s">
        <v>996</v>
      </c>
      <c r="T69" s="264" t="s">
        <v>997</v>
      </c>
      <c r="U69" s="264" t="s">
        <v>995</v>
      </c>
      <c r="V69" s="264" t="s">
        <v>995</v>
      </c>
      <c r="W69" s="264" t="s">
        <v>995</v>
      </c>
      <c r="X69" s="264" t="s">
        <v>828</v>
      </c>
      <c r="Y69" s="264" t="s">
        <v>998</v>
      </c>
      <c r="Z69" s="264">
        <v>31</v>
      </c>
      <c r="AA69" s="264" t="s">
        <v>999</v>
      </c>
      <c r="AB69" s="264">
        <v>31</v>
      </c>
      <c r="AC69" s="264" t="s">
        <v>999</v>
      </c>
      <c r="AD69" s="264" t="s">
        <v>1000</v>
      </c>
      <c r="AE69" s="264" t="s">
        <v>1000</v>
      </c>
      <c r="AF69" s="264" t="s">
        <v>1000</v>
      </c>
      <c r="AG69" s="264" t="s">
        <v>1000</v>
      </c>
      <c r="AH69" s="264" t="s">
        <v>1002</v>
      </c>
      <c r="AI69" s="264" t="s">
        <v>1002</v>
      </c>
      <c r="AJ69" s="264" t="s">
        <v>995</v>
      </c>
      <c r="AK69" s="264" t="s">
        <v>995</v>
      </c>
      <c r="AL69" s="264" t="s">
        <v>995</v>
      </c>
    </row>
    <row r="70" spans="1:38">
      <c r="A70" s="264">
        <v>3374</v>
      </c>
      <c r="B70" s="264" t="s">
        <v>238</v>
      </c>
      <c r="C70" s="264" t="s">
        <v>1603</v>
      </c>
      <c r="D70" s="264" t="s">
        <v>991</v>
      </c>
      <c r="E70" s="264">
        <v>90000</v>
      </c>
      <c r="F70" s="264" t="s">
        <v>218</v>
      </c>
      <c r="G70" s="389">
        <v>34065</v>
      </c>
      <c r="H70" s="264">
        <v>30</v>
      </c>
      <c r="I70" s="389">
        <v>40989</v>
      </c>
      <c r="K70" s="390">
        <v>42278</v>
      </c>
      <c r="L70" s="264">
        <v>20</v>
      </c>
      <c r="M70" s="264" t="s">
        <v>1015</v>
      </c>
      <c r="N70" s="264">
        <v>1</v>
      </c>
      <c r="O70" s="264" t="s">
        <v>829</v>
      </c>
      <c r="P70" s="264" t="s">
        <v>994</v>
      </c>
      <c r="Q70" s="264" t="s">
        <v>1009</v>
      </c>
      <c r="R70" s="264" t="s">
        <v>1010</v>
      </c>
      <c r="S70" s="264" t="s">
        <v>996</v>
      </c>
      <c r="T70" s="264" t="s">
        <v>997</v>
      </c>
      <c r="U70" s="264" t="s">
        <v>995</v>
      </c>
      <c r="V70" s="264" t="s">
        <v>995</v>
      </c>
      <c r="W70" s="264" t="s">
        <v>995</v>
      </c>
      <c r="X70" s="264" t="s">
        <v>828</v>
      </c>
      <c r="Y70" s="264" t="s">
        <v>998</v>
      </c>
      <c r="Z70" s="264">
        <v>31</v>
      </c>
      <c r="AA70" s="264" t="s">
        <v>999</v>
      </c>
      <c r="AB70" s="264">
        <v>31</v>
      </c>
      <c r="AC70" s="264" t="s">
        <v>999</v>
      </c>
      <c r="AD70" s="264" t="s">
        <v>1000</v>
      </c>
      <c r="AE70" s="264" t="s">
        <v>1000</v>
      </c>
      <c r="AF70" s="264" t="s">
        <v>1000</v>
      </c>
      <c r="AG70" s="264" t="s">
        <v>1000</v>
      </c>
      <c r="AH70" s="264" t="s">
        <v>1002</v>
      </c>
      <c r="AI70" s="264" t="s">
        <v>1002</v>
      </c>
      <c r="AJ70" s="264" t="s">
        <v>995</v>
      </c>
      <c r="AK70" s="264" t="s">
        <v>995</v>
      </c>
      <c r="AL70" s="264" t="s">
        <v>995</v>
      </c>
    </row>
    <row r="71" spans="1:38">
      <c r="A71" s="264">
        <v>3528</v>
      </c>
      <c r="B71" s="264" t="s">
        <v>762</v>
      </c>
      <c r="C71" s="264" t="s">
        <v>1604</v>
      </c>
      <c r="D71" s="264" t="s">
        <v>1004</v>
      </c>
      <c r="E71" s="264">
        <v>90000</v>
      </c>
      <c r="F71" s="264" t="s">
        <v>218</v>
      </c>
      <c r="G71" s="389">
        <v>36498</v>
      </c>
      <c r="H71" s="264">
        <v>24</v>
      </c>
      <c r="I71" s="389">
        <v>44652</v>
      </c>
      <c r="K71" s="390">
        <v>44652</v>
      </c>
      <c r="L71" s="264">
        <v>20</v>
      </c>
      <c r="M71" s="264" t="s">
        <v>1015</v>
      </c>
      <c r="N71" s="264">
        <v>1</v>
      </c>
      <c r="O71" s="264" t="s">
        <v>829</v>
      </c>
      <c r="P71" s="264" t="s">
        <v>994</v>
      </c>
      <c r="Q71" s="264" t="s">
        <v>1009</v>
      </c>
      <c r="R71" s="264" t="s">
        <v>1010</v>
      </c>
      <c r="S71" s="264" t="s">
        <v>996</v>
      </c>
      <c r="T71" s="264" t="s">
        <v>997</v>
      </c>
      <c r="U71" s="264" t="s">
        <v>995</v>
      </c>
      <c r="V71" s="264" t="s">
        <v>995</v>
      </c>
      <c r="W71" s="264" t="s">
        <v>995</v>
      </c>
      <c r="X71" s="264" t="s">
        <v>828</v>
      </c>
      <c r="Y71" s="264" t="s">
        <v>998</v>
      </c>
      <c r="Z71" s="264">
        <v>31</v>
      </c>
      <c r="AA71" s="264" t="s">
        <v>999</v>
      </c>
      <c r="AB71" s="264">
        <v>31</v>
      </c>
      <c r="AC71" s="264" t="s">
        <v>999</v>
      </c>
      <c r="AD71" s="264" t="s">
        <v>1000</v>
      </c>
      <c r="AE71" s="264" t="s">
        <v>1000</v>
      </c>
      <c r="AF71" s="264" t="s">
        <v>1000</v>
      </c>
      <c r="AG71" s="264" t="s">
        <v>1000</v>
      </c>
      <c r="AH71" s="264" t="s">
        <v>1002</v>
      </c>
      <c r="AI71" s="264" t="s">
        <v>1002</v>
      </c>
      <c r="AJ71" s="264" t="s">
        <v>995</v>
      </c>
      <c r="AK71" s="264" t="s">
        <v>995</v>
      </c>
      <c r="AL71" s="264" t="s">
        <v>995</v>
      </c>
    </row>
    <row r="72" spans="1:38">
      <c r="A72" s="264">
        <v>1411</v>
      </c>
      <c r="B72" s="264" t="s">
        <v>743</v>
      </c>
      <c r="C72" s="264" t="s">
        <v>1605</v>
      </c>
      <c r="D72" s="264" t="s">
        <v>1004</v>
      </c>
      <c r="E72" s="264">
        <v>90000</v>
      </c>
      <c r="F72" s="264" t="s">
        <v>218</v>
      </c>
      <c r="G72" s="389">
        <v>30545</v>
      </c>
      <c r="H72" s="264">
        <v>40</v>
      </c>
      <c r="I72" s="389">
        <v>44287</v>
      </c>
      <c r="K72" s="390">
        <v>44287</v>
      </c>
      <c r="L72" s="264">
        <v>20</v>
      </c>
      <c r="M72" s="264" t="s">
        <v>1015</v>
      </c>
      <c r="N72" s="264">
        <v>1</v>
      </c>
      <c r="O72" s="264" t="s">
        <v>829</v>
      </c>
      <c r="P72" s="264" t="s">
        <v>994</v>
      </c>
      <c r="Q72" s="264" t="s">
        <v>1009</v>
      </c>
      <c r="R72" s="264" t="s">
        <v>1010</v>
      </c>
      <c r="S72" s="264" t="s">
        <v>996</v>
      </c>
      <c r="T72" s="264" t="s">
        <v>997</v>
      </c>
      <c r="U72" s="264" t="s">
        <v>995</v>
      </c>
      <c r="V72" s="264" t="s">
        <v>995</v>
      </c>
      <c r="W72" s="264" t="s">
        <v>995</v>
      </c>
      <c r="X72" s="264" t="s">
        <v>828</v>
      </c>
      <c r="Y72" s="264" t="s">
        <v>998</v>
      </c>
      <c r="Z72" s="264">
        <v>31</v>
      </c>
      <c r="AA72" s="264" t="s">
        <v>999</v>
      </c>
      <c r="AB72" s="264">
        <v>31</v>
      </c>
      <c r="AC72" s="264" t="s">
        <v>999</v>
      </c>
      <c r="AD72" s="264" t="s">
        <v>1000</v>
      </c>
      <c r="AE72" s="264" t="s">
        <v>1000</v>
      </c>
      <c r="AF72" s="264" t="s">
        <v>1000</v>
      </c>
      <c r="AG72" s="264" t="s">
        <v>1000</v>
      </c>
      <c r="AH72" s="264" t="s">
        <v>1002</v>
      </c>
      <c r="AI72" s="264" t="s">
        <v>1002</v>
      </c>
      <c r="AJ72" s="264" t="s">
        <v>995</v>
      </c>
      <c r="AK72" s="264" t="s">
        <v>995</v>
      </c>
      <c r="AL72" s="264" t="s">
        <v>995</v>
      </c>
    </row>
    <row r="73" spans="1:38">
      <c r="A73" s="264">
        <v>3021</v>
      </c>
      <c r="B73" s="264" t="s">
        <v>173</v>
      </c>
      <c r="C73" s="264" t="s">
        <v>1542</v>
      </c>
      <c r="D73" s="264" t="s">
        <v>1004</v>
      </c>
      <c r="E73" s="264">
        <v>80000</v>
      </c>
      <c r="F73" s="264" t="s">
        <v>172</v>
      </c>
      <c r="G73" s="389">
        <v>26317</v>
      </c>
      <c r="H73" s="264">
        <v>52</v>
      </c>
      <c r="I73" s="389">
        <v>34780</v>
      </c>
      <c r="K73" s="390">
        <v>42278</v>
      </c>
      <c r="L73" s="264">
        <v>20</v>
      </c>
      <c r="M73" s="264" t="s">
        <v>1015</v>
      </c>
      <c r="N73" s="264">
        <v>1</v>
      </c>
      <c r="O73" s="264" t="s">
        <v>829</v>
      </c>
      <c r="P73" s="264" t="s">
        <v>994</v>
      </c>
      <c r="Q73" s="264" t="s">
        <v>1009</v>
      </c>
      <c r="R73" s="264" t="s">
        <v>1010</v>
      </c>
      <c r="S73" s="264" t="s">
        <v>996</v>
      </c>
      <c r="T73" s="264" t="s">
        <v>997</v>
      </c>
      <c r="U73" s="264" t="s">
        <v>995</v>
      </c>
      <c r="V73" s="264" t="s">
        <v>995</v>
      </c>
      <c r="W73" s="264" t="s">
        <v>995</v>
      </c>
      <c r="X73" s="264" t="s">
        <v>828</v>
      </c>
      <c r="Y73" s="264" t="s">
        <v>998</v>
      </c>
      <c r="Z73" s="264">
        <v>31</v>
      </c>
      <c r="AA73" s="264" t="s">
        <v>999</v>
      </c>
      <c r="AB73" s="264">
        <v>31</v>
      </c>
      <c r="AC73" s="264" t="s">
        <v>999</v>
      </c>
      <c r="AD73" s="264" t="s">
        <v>1000</v>
      </c>
      <c r="AE73" s="264" t="s">
        <v>1000</v>
      </c>
      <c r="AF73" s="264" t="s">
        <v>1000</v>
      </c>
      <c r="AG73" s="264" t="s">
        <v>1000</v>
      </c>
      <c r="AH73" s="264" t="s">
        <v>1002</v>
      </c>
      <c r="AI73" s="264" t="s">
        <v>1002</v>
      </c>
      <c r="AJ73" s="264" t="s">
        <v>995</v>
      </c>
      <c r="AK73" s="264" t="s">
        <v>995</v>
      </c>
      <c r="AL73" s="264" t="s">
        <v>995</v>
      </c>
    </row>
    <row r="74" spans="1:38">
      <c r="A74" s="264">
        <v>8220</v>
      </c>
      <c r="B74" s="264" t="s">
        <v>1584</v>
      </c>
      <c r="C74" s="264" t="s">
        <v>1585</v>
      </c>
      <c r="D74" s="264" t="s">
        <v>1004</v>
      </c>
      <c r="E74" s="264">
        <v>80020</v>
      </c>
      <c r="F74" s="264" t="s">
        <v>172</v>
      </c>
      <c r="G74" s="389">
        <v>22586</v>
      </c>
      <c r="H74" s="264">
        <v>62</v>
      </c>
      <c r="I74" s="389">
        <v>44927</v>
      </c>
      <c r="K74" s="390">
        <v>44531</v>
      </c>
      <c r="L74" s="264">
        <v>70</v>
      </c>
      <c r="M74" s="264" t="s">
        <v>1024</v>
      </c>
      <c r="N74" s="264">
        <v>1</v>
      </c>
      <c r="O74" s="264" t="s">
        <v>829</v>
      </c>
      <c r="P74" s="264" t="s">
        <v>994</v>
      </c>
      <c r="Q74" s="264" t="s">
        <v>1009</v>
      </c>
      <c r="R74" s="264" t="s">
        <v>1010</v>
      </c>
      <c r="S74" s="264" t="s">
        <v>996</v>
      </c>
      <c r="T74" s="264" t="s">
        <v>997</v>
      </c>
      <c r="U74" s="264" t="s">
        <v>995</v>
      </c>
      <c r="V74" s="264" t="s">
        <v>995</v>
      </c>
      <c r="W74" s="264" t="s">
        <v>995</v>
      </c>
      <c r="X74" s="264" t="s">
        <v>828</v>
      </c>
      <c r="Y74" s="264" t="s">
        <v>998</v>
      </c>
      <c r="Z74" s="264">
        <v>31</v>
      </c>
      <c r="AA74" s="264" t="s">
        <v>999</v>
      </c>
      <c r="AB74" s="264">
        <v>31</v>
      </c>
      <c r="AC74" s="264" t="s">
        <v>999</v>
      </c>
      <c r="AD74" s="264" t="s">
        <v>1000</v>
      </c>
      <c r="AE74" s="264" t="s">
        <v>1000</v>
      </c>
      <c r="AF74" s="264" t="s">
        <v>1000</v>
      </c>
      <c r="AG74" s="264" t="s">
        <v>1000</v>
      </c>
      <c r="AH74" s="264" t="s">
        <v>1002</v>
      </c>
      <c r="AI74" s="264" t="s">
        <v>1002</v>
      </c>
      <c r="AJ74" s="264" t="s">
        <v>995</v>
      </c>
      <c r="AK74" s="264" t="s">
        <v>995</v>
      </c>
      <c r="AL74" s="264" t="s">
        <v>995</v>
      </c>
    </row>
    <row r="75" spans="1:38">
      <c r="A75" s="264">
        <v>1298</v>
      </c>
      <c r="B75" s="264" t="s">
        <v>175</v>
      </c>
      <c r="C75" s="264" t="s">
        <v>1543</v>
      </c>
      <c r="D75" s="264" t="s">
        <v>1004</v>
      </c>
      <c r="E75" s="264">
        <v>80000</v>
      </c>
      <c r="F75" s="264" t="s">
        <v>172</v>
      </c>
      <c r="G75" s="389">
        <v>24304</v>
      </c>
      <c r="H75" s="264">
        <v>57</v>
      </c>
      <c r="I75" s="389">
        <v>34720</v>
      </c>
      <c r="K75" s="390">
        <v>42278</v>
      </c>
      <c r="L75" s="264">
        <v>20</v>
      </c>
      <c r="M75" s="264" t="s">
        <v>1015</v>
      </c>
      <c r="N75" s="264">
        <v>1</v>
      </c>
      <c r="O75" s="264" t="s">
        <v>829</v>
      </c>
      <c r="P75" s="264" t="s">
        <v>994</v>
      </c>
      <c r="Q75" s="264" t="s">
        <v>1009</v>
      </c>
      <c r="R75" s="264" t="s">
        <v>1010</v>
      </c>
      <c r="S75" s="264" t="s">
        <v>996</v>
      </c>
      <c r="T75" s="264" t="s">
        <v>997</v>
      </c>
      <c r="U75" s="264" t="s">
        <v>995</v>
      </c>
      <c r="V75" s="264" t="s">
        <v>995</v>
      </c>
      <c r="W75" s="264" t="s">
        <v>995</v>
      </c>
      <c r="X75" s="264" t="s">
        <v>828</v>
      </c>
      <c r="Y75" s="264" t="s">
        <v>998</v>
      </c>
      <c r="Z75" s="264">
        <v>31</v>
      </c>
      <c r="AA75" s="264" t="s">
        <v>999</v>
      </c>
      <c r="AB75" s="264">
        <v>31</v>
      </c>
      <c r="AC75" s="264" t="s">
        <v>999</v>
      </c>
      <c r="AD75" s="264" t="s">
        <v>1000</v>
      </c>
      <c r="AE75" s="264" t="s">
        <v>1000</v>
      </c>
      <c r="AF75" s="264" t="s">
        <v>1000</v>
      </c>
      <c r="AG75" s="264" t="s">
        <v>1000</v>
      </c>
      <c r="AH75" s="264" t="s">
        <v>1002</v>
      </c>
      <c r="AI75" s="264" t="s">
        <v>1002</v>
      </c>
      <c r="AJ75" s="264" t="s">
        <v>995</v>
      </c>
      <c r="AK75" s="264" t="s">
        <v>995</v>
      </c>
      <c r="AL75" s="264" t="s">
        <v>995</v>
      </c>
    </row>
    <row r="76" spans="1:38">
      <c r="A76" s="264">
        <v>3230</v>
      </c>
      <c r="B76" s="264" t="s">
        <v>187</v>
      </c>
      <c r="C76" s="264" t="s">
        <v>1544</v>
      </c>
      <c r="D76" s="264" t="s">
        <v>1004</v>
      </c>
      <c r="E76" s="264">
        <v>80000</v>
      </c>
      <c r="F76" s="264" t="s">
        <v>172</v>
      </c>
      <c r="G76" s="389">
        <v>30196</v>
      </c>
      <c r="H76" s="264">
        <v>41</v>
      </c>
      <c r="I76" s="389">
        <v>38432</v>
      </c>
      <c r="K76" s="390">
        <v>42278</v>
      </c>
      <c r="L76" s="264">
        <v>20</v>
      </c>
      <c r="M76" s="264" t="s">
        <v>1015</v>
      </c>
      <c r="N76" s="264">
        <v>1</v>
      </c>
      <c r="O76" s="264" t="s">
        <v>829</v>
      </c>
      <c r="P76" s="264" t="s">
        <v>994</v>
      </c>
      <c r="Q76" s="264" t="s">
        <v>1009</v>
      </c>
      <c r="R76" s="264" t="s">
        <v>1010</v>
      </c>
      <c r="S76" s="264" t="s">
        <v>996</v>
      </c>
      <c r="T76" s="264" t="s">
        <v>997</v>
      </c>
      <c r="U76" s="264" t="s">
        <v>995</v>
      </c>
      <c r="V76" s="264" t="s">
        <v>995</v>
      </c>
      <c r="W76" s="264" t="s">
        <v>995</v>
      </c>
      <c r="X76" s="264" t="s">
        <v>828</v>
      </c>
      <c r="Y76" s="264" t="s">
        <v>998</v>
      </c>
      <c r="Z76" s="264">
        <v>31</v>
      </c>
      <c r="AA76" s="264" t="s">
        <v>999</v>
      </c>
      <c r="AB76" s="264">
        <v>31</v>
      </c>
      <c r="AC76" s="264" t="s">
        <v>999</v>
      </c>
      <c r="AD76" s="264" t="s">
        <v>1000</v>
      </c>
      <c r="AE76" s="264" t="s">
        <v>1000</v>
      </c>
      <c r="AF76" s="264" t="s">
        <v>1000</v>
      </c>
      <c r="AG76" s="264" t="s">
        <v>1000</v>
      </c>
      <c r="AH76" s="264" t="s">
        <v>1002</v>
      </c>
      <c r="AI76" s="264" t="s">
        <v>1002</v>
      </c>
      <c r="AJ76" s="264" t="s">
        <v>995</v>
      </c>
      <c r="AK76" s="264" t="s">
        <v>995</v>
      </c>
      <c r="AL76" s="264" t="s">
        <v>995</v>
      </c>
    </row>
    <row r="77" spans="1:38">
      <c r="A77" s="264">
        <v>3354</v>
      </c>
      <c r="B77" s="264" t="s">
        <v>757</v>
      </c>
      <c r="C77" s="264" t="s">
        <v>1545</v>
      </c>
      <c r="D77" s="264" t="s">
        <v>991</v>
      </c>
      <c r="E77" s="264">
        <v>80000</v>
      </c>
      <c r="F77" s="264" t="s">
        <v>172</v>
      </c>
      <c r="G77" s="389">
        <v>33997</v>
      </c>
      <c r="H77" s="264">
        <v>31</v>
      </c>
      <c r="I77" s="389">
        <v>40623</v>
      </c>
      <c r="K77" s="390">
        <v>45047</v>
      </c>
      <c r="L77" s="264">
        <v>20</v>
      </c>
      <c r="M77" s="264" t="s">
        <v>1015</v>
      </c>
      <c r="N77" s="264">
        <v>1</v>
      </c>
      <c r="O77" s="264" t="s">
        <v>829</v>
      </c>
      <c r="P77" s="264" t="s">
        <v>994</v>
      </c>
      <c r="Q77" s="264" t="s">
        <v>1009</v>
      </c>
      <c r="R77" s="264" t="s">
        <v>1010</v>
      </c>
      <c r="S77" s="264" t="s">
        <v>996</v>
      </c>
      <c r="T77" s="264" t="s">
        <v>997</v>
      </c>
      <c r="U77" s="264" t="s">
        <v>995</v>
      </c>
      <c r="V77" s="264" t="s">
        <v>995</v>
      </c>
      <c r="W77" s="264" t="s">
        <v>995</v>
      </c>
      <c r="X77" s="264" t="s">
        <v>828</v>
      </c>
      <c r="Y77" s="264" t="s">
        <v>998</v>
      </c>
      <c r="Z77" s="264">
        <v>31</v>
      </c>
      <c r="AA77" s="264" t="s">
        <v>999</v>
      </c>
      <c r="AB77" s="264">
        <v>31</v>
      </c>
      <c r="AC77" s="264" t="s">
        <v>999</v>
      </c>
      <c r="AD77" s="264" t="s">
        <v>1000</v>
      </c>
      <c r="AE77" s="264" t="s">
        <v>1000</v>
      </c>
      <c r="AF77" s="264" t="s">
        <v>1000</v>
      </c>
      <c r="AG77" s="264" t="s">
        <v>1000</v>
      </c>
      <c r="AH77" s="264" t="s">
        <v>1002</v>
      </c>
      <c r="AI77" s="264" t="s">
        <v>1002</v>
      </c>
      <c r="AJ77" s="264" t="s">
        <v>995</v>
      </c>
      <c r="AK77" s="264" t="s">
        <v>995</v>
      </c>
      <c r="AL77" s="264" t="s">
        <v>995</v>
      </c>
    </row>
    <row r="78" spans="1:38">
      <c r="A78" s="264">
        <v>8158</v>
      </c>
      <c r="B78" s="264" t="s">
        <v>560</v>
      </c>
      <c r="C78" s="264" t="s">
        <v>1586</v>
      </c>
      <c r="D78" s="264" t="s">
        <v>1004</v>
      </c>
      <c r="E78" s="264">
        <v>80020</v>
      </c>
      <c r="F78" s="264" t="s">
        <v>172</v>
      </c>
      <c r="G78" s="389">
        <v>20093</v>
      </c>
      <c r="H78" s="264">
        <v>69</v>
      </c>
      <c r="I78" s="389">
        <v>42375</v>
      </c>
      <c r="J78" s="264">
        <v>45295</v>
      </c>
      <c r="K78" s="390">
        <v>45323</v>
      </c>
      <c r="L78" s="264">
        <v>70</v>
      </c>
      <c r="M78" s="264" t="s">
        <v>1024</v>
      </c>
      <c r="N78" s="264">
        <v>1</v>
      </c>
      <c r="O78" s="264" t="s">
        <v>829</v>
      </c>
      <c r="P78" s="264" t="s">
        <v>994</v>
      </c>
      <c r="Q78" s="264" t="s">
        <v>1009</v>
      </c>
      <c r="R78" s="264" t="s">
        <v>1010</v>
      </c>
      <c r="S78" s="264" t="s">
        <v>1012</v>
      </c>
      <c r="T78" s="264" t="s">
        <v>997</v>
      </c>
      <c r="U78" s="264" t="s">
        <v>995</v>
      </c>
      <c r="V78" s="264" t="s">
        <v>995</v>
      </c>
      <c r="W78" s="264" t="s">
        <v>995</v>
      </c>
      <c r="X78" s="264" t="s">
        <v>828</v>
      </c>
      <c r="Y78" s="264" t="s">
        <v>998</v>
      </c>
      <c r="Z78" s="264">
        <v>31</v>
      </c>
      <c r="AA78" s="264" t="s">
        <v>999</v>
      </c>
      <c r="AB78" s="264">
        <v>31</v>
      </c>
      <c r="AC78" s="264" t="s">
        <v>999</v>
      </c>
      <c r="AD78" s="264" t="s">
        <v>1000</v>
      </c>
      <c r="AE78" s="264" t="s">
        <v>1000</v>
      </c>
      <c r="AF78" s="264" t="s">
        <v>1001</v>
      </c>
      <c r="AG78" s="264" t="s">
        <v>1001</v>
      </c>
      <c r="AH78" s="264" t="s">
        <v>1002</v>
      </c>
      <c r="AI78" s="264" t="s">
        <v>1002</v>
      </c>
      <c r="AJ78" s="264" t="s">
        <v>995</v>
      </c>
      <c r="AK78" s="264" t="s">
        <v>1010</v>
      </c>
      <c r="AL78" s="264" t="s">
        <v>995</v>
      </c>
    </row>
    <row r="79" spans="1:38">
      <c r="A79" s="264">
        <v>3160</v>
      </c>
      <c r="B79" s="264" t="s">
        <v>178</v>
      </c>
      <c r="C79" s="264" t="s">
        <v>1546</v>
      </c>
      <c r="D79" s="264" t="s">
        <v>1004</v>
      </c>
      <c r="E79" s="264">
        <v>80000</v>
      </c>
      <c r="F79" s="264" t="s">
        <v>172</v>
      </c>
      <c r="G79" s="389">
        <v>28048</v>
      </c>
      <c r="H79" s="264">
        <v>47</v>
      </c>
      <c r="I79" s="389">
        <v>36241</v>
      </c>
      <c r="K79" s="390">
        <v>42278</v>
      </c>
      <c r="L79" s="264">
        <v>20</v>
      </c>
      <c r="M79" s="264" t="s">
        <v>1015</v>
      </c>
      <c r="N79" s="264">
        <v>1</v>
      </c>
      <c r="O79" s="264" t="s">
        <v>829</v>
      </c>
      <c r="P79" s="264" t="s">
        <v>994</v>
      </c>
      <c r="Q79" s="264" t="s">
        <v>1009</v>
      </c>
      <c r="R79" s="264" t="s">
        <v>1010</v>
      </c>
      <c r="S79" s="264" t="s">
        <v>996</v>
      </c>
      <c r="T79" s="264" t="s">
        <v>997</v>
      </c>
      <c r="U79" s="264" t="s">
        <v>995</v>
      </c>
      <c r="V79" s="264" t="s">
        <v>995</v>
      </c>
      <c r="W79" s="264" t="s">
        <v>995</v>
      </c>
      <c r="X79" s="264" t="s">
        <v>828</v>
      </c>
      <c r="Y79" s="264" t="s">
        <v>998</v>
      </c>
      <c r="Z79" s="264">
        <v>31</v>
      </c>
      <c r="AA79" s="264" t="s">
        <v>999</v>
      </c>
      <c r="AB79" s="264">
        <v>31</v>
      </c>
      <c r="AC79" s="264" t="s">
        <v>999</v>
      </c>
      <c r="AD79" s="264" t="s">
        <v>1000</v>
      </c>
      <c r="AE79" s="264" t="s">
        <v>1000</v>
      </c>
      <c r="AF79" s="264" t="s">
        <v>1000</v>
      </c>
      <c r="AG79" s="264" t="s">
        <v>1000</v>
      </c>
      <c r="AH79" s="264" t="s">
        <v>1002</v>
      </c>
      <c r="AI79" s="264" t="s">
        <v>1002</v>
      </c>
      <c r="AJ79" s="264" t="s">
        <v>995</v>
      </c>
      <c r="AK79" s="264" t="s">
        <v>1010</v>
      </c>
      <c r="AL79" s="264" t="s">
        <v>995</v>
      </c>
    </row>
    <row r="80" spans="1:38">
      <c r="A80" s="264">
        <v>3181</v>
      </c>
      <c r="B80" s="264" t="s">
        <v>181</v>
      </c>
      <c r="C80" s="264" t="s">
        <v>1547</v>
      </c>
      <c r="D80" s="264" t="s">
        <v>1004</v>
      </c>
      <c r="E80" s="264">
        <v>80000</v>
      </c>
      <c r="F80" s="264" t="s">
        <v>172</v>
      </c>
      <c r="G80" s="389">
        <v>29039</v>
      </c>
      <c r="H80" s="264">
        <v>44</v>
      </c>
      <c r="I80" s="389">
        <v>37337</v>
      </c>
      <c r="K80" s="390">
        <v>42278</v>
      </c>
      <c r="L80" s="264">
        <v>20</v>
      </c>
      <c r="M80" s="264" t="s">
        <v>1015</v>
      </c>
      <c r="N80" s="264">
        <v>1</v>
      </c>
      <c r="O80" s="264" t="s">
        <v>829</v>
      </c>
      <c r="P80" s="264" t="s">
        <v>994</v>
      </c>
      <c r="Q80" s="264" t="s">
        <v>1009</v>
      </c>
      <c r="R80" s="264" t="s">
        <v>1010</v>
      </c>
      <c r="S80" s="264" t="s">
        <v>996</v>
      </c>
      <c r="T80" s="264" t="s">
        <v>997</v>
      </c>
      <c r="U80" s="264" t="s">
        <v>995</v>
      </c>
      <c r="V80" s="264" t="s">
        <v>995</v>
      </c>
      <c r="W80" s="264" t="s">
        <v>995</v>
      </c>
      <c r="X80" s="264" t="s">
        <v>828</v>
      </c>
      <c r="Y80" s="264" t="s">
        <v>998</v>
      </c>
      <c r="Z80" s="264">
        <v>31</v>
      </c>
      <c r="AA80" s="264" t="s">
        <v>999</v>
      </c>
      <c r="AB80" s="264">
        <v>31</v>
      </c>
      <c r="AC80" s="264" t="s">
        <v>999</v>
      </c>
      <c r="AD80" s="264" t="s">
        <v>1000</v>
      </c>
      <c r="AE80" s="264" t="s">
        <v>1000</v>
      </c>
      <c r="AF80" s="264" t="s">
        <v>1000</v>
      </c>
      <c r="AG80" s="264" t="s">
        <v>1000</v>
      </c>
      <c r="AH80" s="264" t="s">
        <v>1002</v>
      </c>
      <c r="AI80" s="264" t="s">
        <v>1002</v>
      </c>
      <c r="AJ80" s="264" t="s">
        <v>995</v>
      </c>
      <c r="AK80" s="264" t="s">
        <v>995</v>
      </c>
      <c r="AL80" s="264" t="s">
        <v>995</v>
      </c>
    </row>
    <row r="81" spans="1:38">
      <c r="A81" s="264">
        <v>3336</v>
      </c>
      <c r="B81" s="264" t="s">
        <v>199</v>
      </c>
      <c r="C81" s="264" t="s">
        <v>1548</v>
      </c>
      <c r="D81" s="264" t="s">
        <v>1004</v>
      </c>
      <c r="E81" s="264">
        <v>80000</v>
      </c>
      <c r="F81" s="264" t="s">
        <v>172</v>
      </c>
      <c r="G81" s="389">
        <v>32356</v>
      </c>
      <c r="H81" s="264">
        <v>35</v>
      </c>
      <c r="I81" s="389">
        <v>40623</v>
      </c>
      <c r="K81" s="390">
        <v>45261</v>
      </c>
      <c r="L81" s="264">
        <v>20</v>
      </c>
      <c r="M81" s="264" t="s">
        <v>1015</v>
      </c>
      <c r="N81" s="264">
        <v>1</v>
      </c>
      <c r="O81" s="264" t="s">
        <v>829</v>
      </c>
      <c r="P81" s="264" t="s">
        <v>994</v>
      </c>
      <c r="Q81" s="264" t="s">
        <v>1009</v>
      </c>
      <c r="R81" s="264" t="s">
        <v>1010</v>
      </c>
      <c r="S81" s="264" t="s">
        <v>996</v>
      </c>
      <c r="T81" s="264" t="s">
        <v>997</v>
      </c>
      <c r="U81" s="264" t="s">
        <v>995</v>
      </c>
      <c r="V81" s="264" t="s">
        <v>995</v>
      </c>
      <c r="W81" s="264" t="s">
        <v>995</v>
      </c>
      <c r="X81" s="264" t="s">
        <v>828</v>
      </c>
      <c r="Y81" s="264" t="s">
        <v>998</v>
      </c>
      <c r="Z81" s="264">
        <v>31</v>
      </c>
      <c r="AA81" s="264" t="s">
        <v>999</v>
      </c>
      <c r="AB81" s="264">
        <v>31</v>
      </c>
      <c r="AC81" s="264" t="s">
        <v>999</v>
      </c>
      <c r="AD81" s="264" t="s">
        <v>1000</v>
      </c>
      <c r="AE81" s="264" t="s">
        <v>1000</v>
      </c>
      <c r="AF81" s="264" t="s">
        <v>1000</v>
      </c>
      <c r="AG81" s="264" t="s">
        <v>1000</v>
      </c>
      <c r="AH81" s="264" t="s">
        <v>1002</v>
      </c>
      <c r="AI81" s="264" t="s">
        <v>1002</v>
      </c>
      <c r="AJ81" s="264" t="s">
        <v>995</v>
      </c>
      <c r="AK81" s="264" t="s">
        <v>995</v>
      </c>
      <c r="AL81" s="264" t="s">
        <v>995</v>
      </c>
    </row>
    <row r="82" spans="1:38">
      <c r="A82" s="264">
        <v>3357</v>
      </c>
      <c r="B82" s="264" t="s">
        <v>200</v>
      </c>
      <c r="C82" s="264" t="s">
        <v>1549</v>
      </c>
      <c r="D82" s="264" t="s">
        <v>1004</v>
      </c>
      <c r="E82" s="264">
        <v>80000</v>
      </c>
      <c r="F82" s="264" t="s">
        <v>172</v>
      </c>
      <c r="G82" s="389">
        <v>32111</v>
      </c>
      <c r="H82" s="264">
        <v>36</v>
      </c>
      <c r="I82" s="389">
        <v>40989</v>
      </c>
      <c r="K82" s="390">
        <v>42278</v>
      </c>
      <c r="L82" s="264">
        <v>20</v>
      </c>
      <c r="M82" s="264" t="s">
        <v>1015</v>
      </c>
      <c r="N82" s="264">
        <v>1</v>
      </c>
      <c r="O82" s="264" t="s">
        <v>829</v>
      </c>
      <c r="P82" s="264" t="s">
        <v>994</v>
      </c>
      <c r="Q82" s="264" t="s">
        <v>1009</v>
      </c>
      <c r="R82" s="264" t="s">
        <v>1010</v>
      </c>
      <c r="S82" s="264" t="s">
        <v>996</v>
      </c>
      <c r="T82" s="264" t="s">
        <v>997</v>
      </c>
      <c r="U82" s="264" t="s">
        <v>995</v>
      </c>
      <c r="V82" s="264" t="s">
        <v>995</v>
      </c>
      <c r="W82" s="264" t="s">
        <v>995</v>
      </c>
      <c r="X82" s="264" t="s">
        <v>828</v>
      </c>
      <c r="Y82" s="264" t="s">
        <v>998</v>
      </c>
      <c r="Z82" s="264">
        <v>31</v>
      </c>
      <c r="AA82" s="264" t="s">
        <v>999</v>
      </c>
      <c r="AB82" s="264">
        <v>31</v>
      </c>
      <c r="AC82" s="264" t="s">
        <v>999</v>
      </c>
      <c r="AD82" s="264" t="s">
        <v>1000</v>
      </c>
      <c r="AE82" s="264" t="s">
        <v>1000</v>
      </c>
      <c r="AF82" s="264" t="s">
        <v>1000</v>
      </c>
      <c r="AG82" s="264" t="s">
        <v>1000</v>
      </c>
      <c r="AH82" s="264" t="s">
        <v>1002</v>
      </c>
      <c r="AI82" s="264" t="s">
        <v>1002</v>
      </c>
      <c r="AJ82" s="264" t="s">
        <v>995</v>
      </c>
      <c r="AK82" s="264" t="s">
        <v>995</v>
      </c>
      <c r="AL82" s="264" t="s">
        <v>995</v>
      </c>
    </row>
    <row r="83" spans="1:38">
      <c r="A83" s="264">
        <v>3488</v>
      </c>
      <c r="B83" s="264" t="s">
        <v>213</v>
      </c>
      <c r="C83" s="264" t="s">
        <v>1550</v>
      </c>
      <c r="D83" s="264" t="s">
        <v>1004</v>
      </c>
      <c r="E83" s="264">
        <v>80000</v>
      </c>
      <c r="F83" s="264" t="s">
        <v>172</v>
      </c>
      <c r="G83" s="389">
        <v>35147</v>
      </c>
      <c r="H83" s="264">
        <v>27</v>
      </c>
      <c r="I83" s="389">
        <v>43191</v>
      </c>
      <c r="K83" s="390">
        <v>43191</v>
      </c>
      <c r="L83" s="264">
        <v>20</v>
      </c>
      <c r="M83" s="264" t="s">
        <v>1015</v>
      </c>
      <c r="N83" s="264">
        <v>1</v>
      </c>
      <c r="O83" s="264" t="s">
        <v>829</v>
      </c>
      <c r="P83" s="264" t="s">
        <v>994</v>
      </c>
      <c r="Q83" s="264" t="s">
        <v>1009</v>
      </c>
      <c r="R83" s="264" t="s">
        <v>1010</v>
      </c>
      <c r="S83" s="264" t="s">
        <v>996</v>
      </c>
      <c r="T83" s="264" t="s">
        <v>997</v>
      </c>
      <c r="U83" s="264" t="s">
        <v>995</v>
      </c>
      <c r="V83" s="264" t="s">
        <v>995</v>
      </c>
      <c r="W83" s="264" t="s">
        <v>995</v>
      </c>
      <c r="X83" s="264" t="s">
        <v>828</v>
      </c>
      <c r="Y83" s="264" t="s">
        <v>998</v>
      </c>
      <c r="Z83" s="264">
        <v>31</v>
      </c>
      <c r="AA83" s="264" t="s">
        <v>999</v>
      </c>
      <c r="AB83" s="264">
        <v>31</v>
      </c>
      <c r="AC83" s="264" t="s">
        <v>999</v>
      </c>
      <c r="AD83" s="264" t="s">
        <v>1000</v>
      </c>
      <c r="AE83" s="264" t="s">
        <v>1000</v>
      </c>
      <c r="AF83" s="264" t="s">
        <v>1000</v>
      </c>
      <c r="AG83" s="264" t="s">
        <v>1000</v>
      </c>
      <c r="AH83" s="264" t="s">
        <v>1002</v>
      </c>
      <c r="AI83" s="264" t="s">
        <v>1002</v>
      </c>
      <c r="AJ83" s="264" t="s">
        <v>995</v>
      </c>
      <c r="AK83" s="264" t="s">
        <v>995</v>
      </c>
      <c r="AL83" s="264" t="s">
        <v>995</v>
      </c>
    </row>
    <row r="84" spans="1:38">
      <c r="A84" s="264">
        <v>1311</v>
      </c>
      <c r="B84" s="264" t="s">
        <v>205</v>
      </c>
      <c r="C84" s="264" t="s">
        <v>1551</v>
      </c>
      <c r="D84" s="264" t="s">
        <v>1004</v>
      </c>
      <c r="E84" s="264">
        <v>80000</v>
      </c>
      <c r="F84" s="264" t="s">
        <v>172</v>
      </c>
      <c r="G84" s="389">
        <v>26998</v>
      </c>
      <c r="H84" s="264">
        <v>50</v>
      </c>
      <c r="I84" s="389">
        <v>35510</v>
      </c>
      <c r="K84" s="390">
        <v>42278</v>
      </c>
      <c r="L84" s="264">
        <v>20</v>
      </c>
      <c r="M84" s="264" t="s">
        <v>1015</v>
      </c>
      <c r="N84" s="264">
        <v>1</v>
      </c>
      <c r="O84" s="264" t="s">
        <v>829</v>
      </c>
      <c r="P84" s="264" t="s">
        <v>994</v>
      </c>
      <c r="Q84" s="264" t="s">
        <v>1009</v>
      </c>
      <c r="R84" s="264" t="s">
        <v>1010</v>
      </c>
      <c r="S84" s="264" t="s">
        <v>996</v>
      </c>
      <c r="T84" s="264" t="s">
        <v>997</v>
      </c>
      <c r="U84" s="264" t="s">
        <v>995</v>
      </c>
      <c r="V84" s="264" t="s">
        <v>995</v>
      </c>
      <c r="W84" s="264" t="s">
        <v>995</v>
      </c>
      <c r="X84" s="264" t="s">
        <v>828</v>
      </c>
      <c r="Y84" s="264" t="s">
        <v>998</v>
      </c>
      <c r="Z84" s="264">
        <v>31</v>
      </c>
      <c r="AA84" s="264" t="s">
        <v>999</v>
      </c>
      <c r="AB84" s="264">
        <v>31</v>
      </c>
      <c r="AC84" s="264" t="s">
        <v>999</v>
      </c>
      <c r="AD84" s="264" t="s">
        <v>1000</v>
      </c>
      <c r="AE84" s="264" t="s">
        <v>1000</v>
      </c>
      <c r="AF84" s="264" t="s">
        <v>1000</v>
      </c>
      <c r="AG84" s="264" t="s">
        <v>1000</v>
      </c>
      <c r="AH84" s="264" t="s">
        <v>1002</v>
      </c>
      <c r="AI84" s="264" t="s">
        <v>1002</v>
      </c>
      <c r="AJ84" s="264" t="s">
        <v>995</v>
      </c>
      <c r="AK84" s="264" t="s">
        <v>995</v>
      </c>
      <c r="AL84" s="264" t="s">
        <v>995</v>
      </c>
    </row>
    <row r="85" spans="1:38">
      <c r="A85" s="264">
        <v>1344</v>
      </c>
      <c r="B85" s="264" t="s">
        <v>183</v>
      </c>
      <c r="C85" s="264" t="s">
        <v>1552</v>
      </c>
      <c r="D85" s="264" t="s">
        <v>1004</v>
      </c>
      <c r="E85" s="264">
        <v>80000</v>
      </c>
      <c r="F85" s="264" t="s">
        <v>172</v>
      </c>
      <c r="G85" s="389">
        <v>29072</v>
      </c>
      <c r="H85" s="264">
        <v>44</v>
      </c>
      <c r="I85" s="389">
        <v>39510</v>
      </c>
      <c r="K85" s="390">
        <v>42278</v>
      </c>
      <c r="L85" s="264">
        <v>20</v>
      </c>
      <c r="M85" s="264" t="s">
        <v>1015</v>
      </c>
      <c r="N85" s="264">
        <v>1</v>
      </c>
      <c r="O85" s="264" t="s">
        <v>829</v>
      </c>
      <c r="P85" s="264" t="s">
        <v>994</v>
      </c>
      <c r="Q85" s="264" t="s">
        <v>1009</v>
      </c>
      <c r="R85" s="264" t="s">
        <v>1010</v>
      </c>
      <c r="S85" s="264" t="s">
        <v>996</v>
      </c>
      <c r="T85" s="264" t="s">
        <v>997</v>
      </c>
      <c r="U85" s="264" t="s">
        <v>995</v>
      </c>
      <c r="V85" s="264" t="s">
        <v>995</v>
      </c>
      <c r="W85" s="264" t="s">
        <v>995</v>
      </c>
      <c r="X85" s="264" t="s">
        <v>828</v>
      </c>
      <c r="Y85" s="264" t="s">
        <v>998</v>
      </c>
      <c r="Z85" s="264">
        <v>31</v>
      </c>
      <c r="AA85" s="264" t="s">
        <v>999</v>
      </c>
      <c r="AB85" s="264">
        <v>31</v>
      </c>
      <c r="AC85" s="264" t="s">
        <v>999</v>
      </c>
      <c r="AD85" s="264" t="s">
        <v>1000</v>
      </c>
      <c r="AE85" s="264" t="s">
        <v>1000</v>
      </c>
      <c r="AF85" s="264" t="s">
        <v>1000</v>
      </c>
      <c r="AG85" s="264" t="s">
        <v>1000</v>
      </c>
      <c r="AH85" s="264" t="s">
        <v>1002</v>
      </c>
      <c r="AI85" s="264" t="s">
        <v>1002</v>
      </c>
      <c r="AJ85" s="264" t="s">
        <v>995</v>
      </c>
      <c r="AK85" s="264" t="s">
        <v>995</v>
      </c>
      <c r="AL85" s="264" t="s">
        <v>995</v>
      </c>
    </row>
    <row r="86" spans="1:38">
      <c r="A86" s="264">
        <v>1444</v>
      </c>
      <c r="B86" s="264" t="s">
        <v>1553</v>
      </c>
      <c r="C86" s="264" t="s">
        <v>1554</v>
      </c>
      <c r="D86" s="264" t="s">
        <v>1004</v>
      </c>
      <c r="E86" s="264">
        <v>80000</v>
      </c>
      <c r="F86" s="264" t="s">
        <v>172</v>
      </c>
      <c r="G86" s="389">
        <v>31447</v>
      </c>
      <c r="H86" s="264">
        <v>37</v>
      </c>
      <c r="I86" s="389">
        <v>44949</v>
      </c>
      <c r="K86" s="390">
        <v>44927</v>
      </c>
      <c r="L86" s="264">
        <v>20</v>
      </c>
      <c r="M86" s="264" t="s">
        <v>1015</v>
      </c>
      <c r="N86" s="264">
        <v>1</v>
      </c>
      <c r="O86" s="264" t="s">
        <v>829</v>
      </c>
      <c r="P86" s="264" t="s">
        <v>994</v>
      </c>
      <c r="Q86" s="264" t="s">
        <v>1009</v>
      </c>
      <c r="R86" s="264" t="s">
        <v>1010</v>
      </c>
      <c r="S86" s="264" t="s">
        <v>996</v>
      </c>
      <c r="T86" s="264" t="s">
        <v>997</v>
      </c>
      <c r="U86" s="264" t="s">
        <v>995</v>
      </c>
      <c r="V86" s="264" t="s">
        <v>995</v>
      </c>
      <c r="W86" s="264" t="s">
        <v>995</v>
      </c>
      <c r="X86" s="264" t="s">
        <v>828</v>
      </c>
      <c r="Y86" s="264" t="s">
        <v>998</v>
      </c>
      <c r="Z86" s="264">
        <v>31</v>
      </c>
      <c r="AA86" s="264" t="s">
        <v>999</v>
      </c>
      <c r="AB86" s="264">
        <v>31</v>
      </c>
      <c r="AC86" s="264" t="s">
        <v>999</v>
      </c>
      <c r="AD86" s="264" t="s">
        <v>1000</v>
      </c>
      <c r="AE86" s="264" t="s">
        <v>1000</v>
      </c>
      <c r="AF86" s="264" t="s">
        <v>1000</v>
      </c>
      <c r="AG86" s="264" t="s">
        <v>1000</v>
      </c>
      <c r="AH86" s="264" t="s">
        <v>1002</v>
      </c>
      <c r="AI86" s="264" t="s">
        <v>1002</v>
      </c>
      <c r="AJ86" s="264" t="s">
        <v>995</v>
      </c>
      <c r="AK86" s="264" t="s">
        <v>995</v>
      </c>
      <c r="AL86" s="264" t="s">
        <v>995</v>
      </c>
    </row>
    <row r="87" spans="1:38">
      <c r="A87" s="264">
        <v>2990</v>
      </c>
      <c r="B87" s="264" t="s">
        <v>248</v>
      </c>
      <c r="C87" s="264" t="s">
        <v>1555</v>
      </c>
      <c r="D87" s="264" t="s">
        <v>991</v>
      </c>
      <c r="E87" s="264">
        <v>80000</v>
      </c>
      <c r="F87" s="264" t="s">
        <v>172</v>
      </c>
      <c r="G87" s="389">
        <v>26801</v>
      </c>
      <c r="H87" s="264">
        <v>50</v>
      </c>
      <c r="I87" s="389">
        <v>34415</v>
      </c>
      <c r="K87" s="390">
        <v>42278</v>
      </c>
      <c r="L87" s="264">
        <v>20</v>
      </c>
      <c r="M87" s="264" t="s">
        <v>1015</v>
      </c>
      <c r="N87" s="264">
        <v>1</v>
      </c>
      <c r="O87" s="264" t="s">
        <v>829</v>
      </c>
      <c r="P87" s="264" t="s">
        <v>994</v>
      </c>
      <c r="Q87" s="264" t="s">
        <v>1009</v>
      </c>
      <c r="R87" s="264" t="s">
        <v>1010</v>
      </c>
      <c r="S87" s="264" t="s">
        <v>996</v>
      </c>
      <c r="T87" s="264" t="s">
        <v>997</v>
      </c>
      <c r="U87" s="264" t="s">
        <v>995</v>
      </c>
      <c r="V87" s="264" t="s">
        <v>995</v>
      </c>
      <c r="W87" s="264" t="s">
        <v>995</v>
      </c>
      <c r="X87" s="264" t="s">
        <v>828</v>
      </c>
      <c r="Y87" s="264" t="s">
        <v>998</v>
      </c>
      <c r="Z87" s="264">
        <v>31</v>
      </c>
      <c r="AA87" s="264" t="s">
        <v>999</v>
      </c>
      <c r="AB87" s="264">
        <v>31</v>
      </c>
      <c r="AC87" s="264" t="s">
        <v>999</v>
      </c>
      <c r="AD87" s="264" t="s">
        <v>1000</v>
      </c>
      <c r="AE87" s="264" t="s">
        <v>1000</v>
      </c>
      <c r="AF87" s="264" t="s">
        <v>1000</v>
      </c>
      <c r="AG87" s="264" t="s">
        <v>1000</v>
      </c>
      <c r="AH87" s="264" t="s">
        <v>1002</v>
      </c>
      <c r="AI87" s="264" t="s">
        <v>1002</v>
      </c>
      <c r="AJ87" s="264" t="s">
        <v>995</v>
      </c>
      <c r="AK87" s="264" t="s">
        <v>995</v>
      </c>
      <c r="AL87" s="264" t="s">
        <v>995</v>
      </c>
    </row>
    <row r="88" spans="1:38">
      <c r="A88" s="264">
        <v>3092</v>
      </c>
      <c r="B88" s="264" t="s">
        <v>176</v>
      </c>
      <c r="C88" s="264" t="s">
        <v>1556</v>
      </c>
      <c r="D88" s="264" t="s">
        <v>1004</v>
      </c>
      <c r="E88" s="264">
        <v>80000</v>
      </c>
      <c r="F88" s="264" t="s">
        <v>172</v>
      </c>
      <c r="G88" s="389">
        <v>25607</v>
      </c>
      <c r="H88" s="264">
        <v>53</v>
      </c>
      <c r="I88" s="389">
        <v>35145</v>
      </c>
      <c r="K88" s="390">
        <v>42278</v>
      </c>
      <c r="L88" s="264">
        <v>20</v>
      </c>
      <c r="M88" s="264" t="s">
        <v>1015</v>
      </c>
      <c r="N88" s="264">
        <v>1</v>
      </c>
      <c r="O88" s="264" t="s">
        <v>829</v>
      </c>
      <c r="P88" s="264" t="s">
        <v>994</v>
      </c>
      <c r="Q88" s="264" t="s">
        <v>1009</v>
      </c>
      <c r="R88" s="264" t="s">
        <v>1010</v>
      </c>
      <c r="S88" s="264" t="s">
        <v>996</v>
      </c>
      <c r="T88" s="264" t="s">
        <v>997</v>
      </c>
      <c r="U88" s="264" t="s">
        <v>995</v>
      </c>
      <c r="V88" s="264" t="s">
        <v>995</v>
      </c>
      <c r="W88" s="264" t="s">
        <v>995</v>
      </c>
      <c r="X88" s="264" t="s">
        <v>828</v>
      </c>
      <c r="Y88" s="264" t="s">
        <v>998</v>
      </c>
      <c r="Z88" s="264">
        <v>31</v>
      </c>
      <c r="AA88" s="264" t="s">
        <v>999</v>
      </c>
      <c r="AB88" s="264">
        <v>31</v>
      </c>
      <c r="AC88" s="264" t="s">
        <v>999</v>
      </c>
      <c r="AD88" s="264" t="s">
        <v>1000</v>
      </c>
      <c r="AE88" s="264" t="s">
        <v>1000</v>
      </c>
      <c r="AF88" s="264" t="s">
        <v>1000</v>
      </c>
      <c r="AG88" s="264" t="s">
        <v>1000</v>
      </c>
      <c r="AH88" s="264" t="s">
        <v>1002</v>
      </c>
      <c r="AI88" s="264" t="s">
        <v>1002</v>
      </c>
      <c r="AJ88" s="264" t="s">
        <v>995</v>
      </c>
      <c r="AK88" s="264" t="s">
        <v>995</v>
      </c>
      <c r="AL88" s="264" t="s">
        <v>995</v>
      </c>
    </row>
    <row r="89" spans="1:38">
      <c r="A89" s="264">
        <v>3168</v>
      </c>
      <c r="B89" s="264" t="s">
        <v>188</v>
      </c>
      <c r="C89" s="264" t="s">
        <v>1557</v>
      </c>
      <c r="D89" s="264" t="s">
        <v>1004</v>
      </c>
      <c r="E89" s="264">
        <v>80000</v>
      </c>
      <c r="F89" s="264" t="s">
        <v>172</v>
      </c>
      <c r="G89" s="389">
        <v>28786</v>
      </c>
      <c r="H89" s="264">
        <v>45</v>
      </c>
      <c r="I89" s="389">
        <v>36971</v>
      </c>
      <c r="K89" s="390">
        <v>42278</v>
      </c>
      <c r="L89" s="264">
        <v>20</v>
      </c>
      <c r="M89" s="264" t="s">
        <v>1015</v>
      </c>
      <c r="N89" s="264">
        <v>1</v>
      </c>
      <c r="O89" s="264" t="s">
        <v>829</v>
      </c>
      <c r="P89" s="264" t="s">
        <v>994</v>
      </c>
      <c r="Q89" s="264" t="s">
        <v>1009</v>
      </c>
      <c r="R89" s="264" t="s">
        <v>1010</v>
      </c>
      <c r="S89" s="264" t="s">
        <v>996</v>
      </c>
      <c r="T89" s="264" t="s">
        <v>997</v>
      </c>
      <c r="U89" s="264" t="s">
        <v>995</v>
      </c>
      <c r="V89" s="264" t="s">
        <v>995</v>
      </c>
      <c r="W89" s="264" t="s">
        <v>995</v>
      </c>
      <c r="X89" s="264" t="s">
        <v>828</v>
      </c>
      <c r="Y89" s="264" t="s">
        <v>998</v>
      </c>
      <c r="Z89" s="264">
        <v>31</v>
      </c>
      <c r="AA89" s="264" t="s">
        <v>999</v>
      </c>
      <c r="AB89" s="264">
        <v>31</v>
      </c>
      <c r="AC89" s="264" t="s">
        <v>999</v>
      </c>
      <c r="AD89" s="264" t="s">
        <v>1000</v>
      </c>
      <c r="AE89" s="264" t="s">
        <v>1000</v>
      </c>
      <c r="AF89" s="264" t="s">
        <v>1000</v>
      </c>
      <c r="AG89" s="264" t="s">
        <v>1000</v>
      </c>
      <c r="AH89" s="264" t="s">
        <v>1002</v>
      </c>
      <c r="AI89" s="264" t="s">
        <v>1002</v>
      </c>
      <c r="AJ89" s="264" t="s">
        <v>995</v>
      </c>
      <c r="AK89" s="264" t="s">
        <v>995</v>
      </c>
      <c r="AL89" s="264" t="s">
        <v>995</v>
      </c>
    </row>
    <row r="90" spans="1:38">
      <c r="A90" s="264">
        <v>3169</v>
      </c>
      <c r="B90" s="264" t="s">
        <v>180</v>
      </c>
      <c r="C90" s="264" t="s">
        <v>1558</v>
      </c>
      <c r="D90" s="264" t="s">
        <v>1004</v>
      </c>
      <c r="E90" s="264">
        <v>80000</v>
      </c>
      <c r="F90" s="264" t="s">
        <v>172</v>
      </c>
      <c r="G90" s="389">
        <v>28712</v>
      </c>
      <c r="H90" s="264">
        <v>45</v>
      </c>
      <c r="I90" s="389">
        <v>36971</v>
      </c>
      <c r="K90" s="390">
        <v>42278</v>
      </c>
      <c r="L90" s="264">
        <v>20</v>
      </c>
      <c r="M90" s="264" t="s">
        <v>1015</v>
      </c>
      <c r="N90" s="264">
        <v>1</v>
      </c>
      <c r="O90" s="264" t="s">
        <v>829</v>
      </c>
      <c r="P90" s="264" t="s">
        <v>994</v>
      </c>
      <c r="Q90" s="264" t="s">
        <v>1009</v>
      </c>
      <c r="R90" s="264" t="s">
        <v>1010</v>
      </c>
      <c r="S90" s="264" t="s">
        <v>996</v>
      </c>
      <c r="T90" s="264" t="s">
        <v>997</v>
      </c>
      <c r="U90" s="264" t="s">
        <v>995</v>
      </c>
      <c r="V90" s="264" t="s">
        <v>995</v>
      </c>
      <c r="W90" s="264" t="s">
        <v>995</v>
      </c>
      <c r="X90" s="264" t="s">
        <v>828</v>
      </c>
      <c r="Y90" s="264" t="s">
        <v>998</v>
      </c>
      <c r="Z90" s="264">
        <v>31</v>
      </c>
      <c r="AA90" s="264" t="s">
        <v>999</v>
      </c>
      <c r="AB90" s="264">
        <v>31</v>
      </c>
      <c r="AC90" s="264" t="s">
        <v>999</v>
      </c>
      <c r="AD90" s="264" t="s">
        <v>1000</v>
      </c>
      <c r="AE90" s="264" t="s">
        <v>1000</v>
      </c>
      <c r="AF90" s="264" t="s">
        <v>1000</v>
      </c>
      <c r="AG90" s="264" t="s">
        <v>1000</v>
      </c>
      <c r="AH90" s="264" t="s">
        <v>1002</v>
      </c>
      <c r="AI90" s="264" t="s">
        <v>1002</v>
      </c>
      <c r="AJ90" s="264" t="s">
        <v>995</v>
      </c>
      <c r="AK90" s="264" t="s">
        <v>995</v>
      </c>
      <c r="AL90" s="264" t="s">
        <v>995</v>
      </c>
    </row>
    <row r="91" spans="1:38">
      <c r="A91" s="264">
        <v>3192</v>
      </c>
      <c r="B91" s="264" t="s">
        <v>185</v>
      </c>
      <c r="C91" s="264" t="s">
        <v>1502</v>
      </c>
      <c r="D91" s="264" t="s">
        <v>1004</v>
      </c>
      <c r="E91" s="264">
        <v>80000</v>
      </c>
      <c r="F91" s="264" t="s">
        <v>172</v>
      </c>
      <c r="G91" s="389">
        <v>29662</v>
      </c>
      <c r="H91" s="264">
        <v>42</v>
      </c>
      <c r="I91" s="389">
        <v>37701</v>
      </c>
      <c r="K91" s="390">
        <v>42278</v>
      </c>
      <c r="L91" s="264">
        <v>20</v>
      </c>
      <c r="M91" s="264" t="s">
        <v>1015</v>
      </c>
      <c r="N91" s="264">
        <v>1</v>
      </c>
      <c r="O91" s="264" t="s">
        <v>829</v>
      </c>
      <c r="P91" s="264" t="s">
        <v>994</v>
      </c>
      <c r="Q91" s="264" t="s">
        <v>1009</v>
      </c>
      <c r="R91" s="264" t="s">
        <v>1010</v>
      </c>
      <c r="S91" s="264" t="s">
        <v>996</v>
      </c>
      <c r="T91" s="264" t="s">
        <v>997</v>
      </c>
      <c r="U91" s="264" t="s">
        <v>995</v>
      </c>
      <c r="V91" s="264" t="s">
        <v>995</v>
      </c>
      <c r="W91" s="264" t="s">
        <v>995</v>
      </c>
      <c r="X91" s="264" t="s">
        <v>828</v>
      </c>
      <c r="Y91" s="264" t="s">
        <v>998</v>
      </c>
      <c r="Z91" s="264">
        <v>31</v>
      </c>
      <c r="AA91" s="264" t="s">
        <v>999</v>
      </c>
      <c r="AB91" s="264">
        <v>31</v>
      </c>
      <c r="AC91" s="264" t="s">
        <v>999</v>
      </c>
      <c r="AD91" s="264" t="s">
        <v>1000</v>
      </c>
      <c r="AE91" s="264" t="s">
        <v>1000</v>
      </c>
      <c r="AF91" s="264" t="s">
        <v>1000</v>
      </c>
      <c r="AG91" s="264" t="s">
        <v>1000</v>
      </c>
      <c r="AH91" s="264" t="s">
        <v>1002</v>
      </c>
      <c r="AI91" s="264" t="s">
        <v>1002</v>
      </c>
      <c r="AJ91" s="264" t="s">
        <v>995</v>
      </c>
      <c r="AK91" s="264" t="s">
        <v>995</v>
      </c>
      <c r="AL91" s="264" t="s">
        <v>995</v>
      </c>
    </row>
    <row r="92" spans="1:38">
      <c r="A92" s="264">
        <v>3193</v>
      </c>
      <c r="B92" s="264" t="s">
        <v>182</v>
      </c>
      <c r="C92" s="264" t="s">
        <v>1559</v>
      </c>
      <c r="D92" s="264" t="s">
        <v>1004</v>
      </c>
      <c r="E92" s="264">
        <v>80000</v>
      </c>
      <c r="F92" s="264" t="s">
        <v>172</v>
      </c>
      <c r="G92" s="389">
        <v>29624</v>
      </c>
      <c r="H92" s="264">
        <v>42</v>
      </c>
      <c r="I92" s="389">
        <v>37701</v>
      </c>
      <c r="K92" s="390">
        <v>42278</v>
      </c>
      <c r="L92" s="264">
        <v>20</v>
      </c>
      <c r="M92" s="264" t="s">
        <v>1015</v>
      </c>
      <c r="N92" s="264">
        <v>1</v>
      </c>
      <c r="O92" s="264" t="s">
        <v>829</v>
      </c>
      <c r="P92" s="264" t="s">
        <v>994</v>
      </c>
      <c r="Q92" s="264" t="s">
        <v>1009</v>
      </c>
      <c r="R92" s="264" t="s">
        <v>1010</v>
      </c>
      <c r="S92" s="264" t="s">
        <v>996</v>
      </c>
      <c r="T92" s="264" t="s">
        <v>997</v>
      </c>
      <c r="U92" s="264" t="s">
        <v>995</v>
      </c>
      <c r="V92" s="264" t="s">
        <v>995</v>
      </c>
      <c r="W92" s="264" t="s">
        <v>995</v>
      </c>
      <c r="X92" s="264" t="s">
        <v>828</v>
      </c>
      <c r="Y92" s="264" t="s">
        <v>998</v>
      </c>
      <c r="Z92" s="264">
        <v>31</v>
      </c>
      <c r="AA92" s="264" t="s">
        <v>999</v>
      </c>
      <c r="AB92" s="264">
        <v>31</v>
      </c>
      <c r="AC92" s="264" t="s">
        <v>999</v>
      </c>
      <c r="AD92" s="264" t="s">
        <v>1000</v>
      </c>
      <c r="AE92" s="264" t="s">
        <v>1000</v>
      </c>
      <c r="AF92" s="264" t="s">
        <v>1000</v>
      </c>
      <c r="AG92" s="264" t="s">
        <v>1000</v>
      </c>
      <c r="AH92" s="264" t="s">
        <v>1002</v>
      </c>
      <c r="AI92" s="264" t="s">
        <v>1002</v>
      </c>
      <c r="AJ92" s="264" t="s">
        <v>995</v>
      </c>
      <c r="AK92" s="264" t="s">
        <v>995</v>
      </c>
      <c r="AL92" s="264" t="s">
        <v>995</v>
      </c>
    </row>
    <row r="93" spans="1:38">
      <c r="A93" s="264">
        <v>3194</v>
      </c>
      <c r="B93" s="264" t="s">
        <v>186</v>
      </c>
      <c r="C93" s="264" t="s">
        <v>1560</v>
      </c>
      <c r="D93" s="264" t="s">
        <v>1004</v>
      </c>
      <c r="E93" s="264">
        <v>80000</v>
      </c>
      <c r="F93" s="264" t="s">
        <v>172</v>
      </c>
      <c r="G93" s="389">
        <v>29608</v>
      </c>
      <c r="H93" s="264">
        <v>43</v>
      </c>
      <c r="I93" s="389">
        <v>37701</v>
      </c>
      <c r="K93" s="390">
        <v>42278</v>
      </c>
      <c r="L93" s="264">
        <v>20</v>
      </c>
      <c r="M93" s="264" t="s">
        <v>1015</v>
      </c>
      <c r="N93" s="264">
        <v>1</v>
      </c>
      <c r="O93" s="264" t="s">
        <v>829</v>
      </c>
      <c r="P93" s="264" t="s">
        <v>994</v>
      </c>
      <c r="Q93" s="264" t="s">
        <v>1009</v>
      </c>
      <c r="R93" s="264" t="s">
        <v>1010</v>
      </c>
      <c r="S93" s="264" t="s">
        <v>996</v>
      </c>
      <c r="T93" s="264" t="s">
        <v>997</v>
      </c>
      <c r="U93" s="264" t="s">
        <v>995</v>
      </c>
      <c r="V93" s="264" t="s">
        <v>995</v>
      </c>
      <c r="W93" s="264" t="s">
        <v>995</v>
      </c>
      <c r="X93" s="264" t="s">
        <v>828</v>
      </c>
      <c r="Y93" s="264" t="s">
        <v>998</v>
      </c>
      <c r="Z93" s="264">
        <v>31</v>
      </c>
      <c r="AA93" s="264" t="s">
        <v>999</v>
      </c>
      <c r="AB93" s="264">
        <v>31</v>
      </c>
      <c r="AC93" s="264" t="s">
        <v>999</v>
      </c>
      <c r="AD93" s="264" t="s">
        <v>1000</v>
      </c>
      <c r="AE93" s="264" t="s">
        <v>1000</v>
      </c>
      <c r="AF93" s="264" t="s">
        <v>1000</v>
      </c>
      <c r="AG93" s="264" t="s">
        <v>1000</v>
      </c>
      <c r="AH93" s="264" t="s">
        <v>1002</v>
      </c>
      <c r="AI93" s="264" t="s">
        <v>1002</v>
      </c>
      <c r="AJ93" s="264" t="s">
        <v>995</v>
      </c>
      <c r="AK93" s="264" t="s">
        <v>995</v>
      </c>
      <c r="AL93" s="264" t="s">
        <v>995</v>
      </c>
    </row>
    <row r="94" spans="1:38">
      <c r="A94" s="264">
        <v>3211</v>
      </c>
      <c r="B94" s="264" t="s">
        <v>189</v>
      </c>
      <c r="C94" s="264" t="s">
        <v>1561</v>
      </c>
      <c r="D94" s="264" t="s">
        <v>1004</v>
      </c>
      <c r="E94" s="264">
        <v>80000</v>
      </c>
      <c r="F94" s="264" t="s">
        <v>172</v>
      </c>
      <c r="G94" s="389">
        <v>29646</v>
      </c>
      <c r="H94" s="264">
        <v>42</v>
      </c>
      <c r="I94" s="389">
        <v>38068</v>
      </c>
      <c r="K94" s="390">
        <v>42278</v>
      </c>
      <c r="L94" s="264">
        <v>20</v>
      </c>
      <c r="M94" s="264" t="s">
        <v>1015</v>
      </c>
      <c r="N94" s="264">
        <v>1</v>
      </c>
      <c r="O94" s="264" t="s">
        <v>829</v>
      </c>
      <c r="P94" s="264" t="s">
        <v>994</v>
      </c>
      <c r="Q94" s="264" t="s">
        <v>1009</v>
      </c>
      <c r="R94" s="264" t="s">
        <v>1010</v>
      </c>
      <c r="S94" s="264" t="s">
        <v>996</v>
      </c>
      <c r="T94" s="264" t="s">
        <v>997</v>
      </c>
      <c r="U94" s="264" t="s">
        <v>995</v>
      </c>
      <c r="V94" s="264" t="s">
        <v>995</v>
      </c>
      <c r="W94" s="264" t="s">
        <v>995</v>
      </c>
      <c r="X94" s="264" t="s">
        <v>828</v>
      </c>
      <c r="Y94" s="264" t="s">
        <v>998</v>
      </c>
      <c r="Z94" s="264">
        <v>31</v>
      </c>
      <c r="AA94" s="264" t="s">
        <v>999</v>
      </c>
      <c r="AB94" s="264">
        <v>31</v>
      </c>
      <c r="AC94" s="264" t="s">
        <v>999</v>
      </c>
      <c r="AD94" s="264" t="s">
        <v>1000</v>
      </c>
      <c r="AE94" s="264" t="s">
        <v>1000</v>
      </c>
      <c r="AF94" s="264" t="s">
        <v>1000</v>
      </c>
      <c r="AG94" s="264" t="s">
        <v>1000</v>
      </c>
      <c r="AH94" s="264" t="s">
        <v>1002</v>
      </c>
      <c r="AI94" s="264" t="s">
        <v>1002</v>
      </c>
      <c r="AJ94" s="264" t="s">
        <v>995</v>
      </c>
      <c r="AK94" s="264" t="s">
        <v>995</v>
      </c>
      <c r="AL94" s="264" t="s">
        <v>995</v>
      </c>
    </row>
    <row r="95" spans="1:38">
      <c r="A95" s="264">
        <v>3212</v>
      </c>
      <c r="B95" s="264" t="s">
        <v>190</v>
      </c>
      <c r="C95" s="264" t="s">
        <v>1562</v>
      </c>
      <c r="D95" s="264" t="s">
        <v>1004</v>
      </c>
      <c r="E95" s="264">
        <v>80000</v>
      </c>
      <c r="F95" s="264" t="s">
        <v>172</v>
      </c>
      <c r="G95" s="389">
        <v>29907</v>
      </c>
      <c r="H95" s="264">
        <v>42</v>
      </c>
      <c r="I95" s="389">
        <v>38068</v>
      </c>
      <c r="K95" s="390">
        <v>42278</v>
      </c>
      <c r="L95" s="264">
        <v>20</v>
      </c>
      <c r="M95" s="264" t="s">
        <v>1015</v>
      </c>
      <c r="N95" s="264">
        <v>1</v>
      </c>
      <c r="O95" s="264" t="s">
        <v>829</v>
      </c>
      <c r="P95" s="264" t="s">
        <v>994</v>
      </c>
      <c r="Q95" s="264" t="s">
        <v>1009</v>
      </c>
      <c r="R95" s="264" t="s">
        <v>1010</v>
      </c>
      <c r="S95" s="264" t="s">
        <v>996</v>
      </c>
      <c r="T95" s="264" t="s">
        <v>997</v>
      </c>
      <c r="U95" s="264" t="s">
        <v>995</v>
      </c>
      <c r="V95" s="264" t="s">
        <v>995</v>
      </c>
      <c r="W95" s="264" t="s">
        <v>995</v>
      </c>
      <c r="X95" s="264" t="s">
        <v>828</v>
      </c>
      <c r="Y95" s="264" t="s">
        <v>998</v>
      </c>
      <c r="Z95" s="264">
        <v>31</v>
      </c>
      <c r="AA95" s="264" t="s">
        <v>999</v>
      </c>
      <c r="AB95" s="264">
        <v>31</v>
      </c>
      <c r="AC95" s="264" t="s">
        <v>999</v>
      </c>
      <c r="AD95" s="264" t="s">
        <v>1000</v>
      </c>
      <c r="AE95" s="264" t="s">
        <v>1000</v>
      </c>
      <c r="AF95" s="264" t="s">
        <v>1000</v>
      </c>
      <c r="AG95" s="264" t="s">
        <v>1000</v>
      </c>
      <c r="AH95" s="264" t="s">
        <v>1002</v>
      </c>
      <c r="AI95" s="264" t="s">
        <v>1002</v>
      </c>
      <c r="AJ95" s="264" t="s">
        <v>995</v>
      </c>
      <c r="AK95" s="264" t="s">
        <v>995</v>
      </c>
      <c r="AL95" s="264" t="s">
        <v>995</v>
      </c>
    </row>
    <row r="96" spans="1:38">
      <c r="A96" s="264">
        <v>3276</v>
      </c>
      <c r="B96" s="264" t="s">
        <v>192</v>
      </c>
      <c r="C96" s="264" t="s">
        <v>1563</v>
      </c>
      <c r="D96" s="264" t="s">
        <v>1004</v>
      </c>
      <c r="E96" s="264">
        <v>80000</v>
      </c>
      <c r="F96" s="264" t="s">
        <v>172</v>
      </c>
      <c r="G96" s="389">
        <v>30551</v>
      </c>
      <c r="H96" s="264">
        <v>40</v>
      </c>
      <c r="I96" s="389">
        <v>39528</v>
      </c>
      <c r="K96" s="390">
        <v>42278</v>
      </c>
      <c r="L96" s="264">
        <v>20</v>
      </c>
      <c r="M96" s="264" t="s">
        <v>1015</v>
      </c>
      <c r="N96" s="264">
        <v>1</v>
      </c>
      <c r="O96" s="264" t="s">
        <v>829</v>
      </c>
      <c r="P96" s="264" t="s">
        <v>994</v>
      </c>
      <c r="Q96" s="264" t="s">
        <v>1009</v>
      </c>
      <c r="R96" s="264" t="s">
        <v>1010</v>
      </c>
      <c r="S96" s="264" t="s">
        <v>996</v>
      </c>
      <c r="T96" s="264" t="s">
        <v>997</v>
      </c>
      <c r="U96" s="264" t="s">
        <v>995</v>
      </c>
      <c r="V96" s="264" t="s">
        <v>995</v>
      </c>
      <c r="W96" s="264" t="s">
        <v>995</v>
      </c>
      <c r="X96" s="264" t="s">
        <v>828</v>
      </c>
      <c r="Y96" s="264" t="s">
        <v>998</v>
      </c>
      <c r="Z96" s="264">
        <v>31</v>
      </c>
      <c r="AA96" s="264" t="s">
        <v>999</v>
      </c>
      <c r="AB96" s="264">
        <v>31</v>
      </c>
      <c r="AC96" s="264" t="s">
        <v>999</v>
      </c>
      <c r="AD96" s="264" t="s">
        <v>1000</v>
      </c>
      <c r="AE96" s="264" t="s">
        <v>1000</v>
      </c>
      <c r="AF96" s="264" t="s">
        <v>1000</v>
      </c>
      <c r="AG96" s="264" t="s">
        <v>1000</v>
      </c>
      <c r="AH96" s="264" t="s">
        <v>1002</v>
      </c>
      <c r="AI96" s="264" t="s">
        <v>1002</v>
      </c>
      <c r="AJ96" s="264" t="s">
        <v>995</v>
      </c>
      <c r="AK96" s="264" t="s">
        <v>995</v>
      </c>
      <c r="AL96" s="264" t="s">
        <v>995</v>
      </c>
    </row>
    <row r="97" spans="1:38">
      <c r="A97" s="264">
        <v>3304</v>
      </c>
      <c r="B97" s="264" t="s">
        <v>193</v>
      </c>
      <c r="C97" s="264" t="s">
        <v>1564</v>
      </c>
      <c r="D97" s="264" t="s">
        <v>1004</v>
      </c>
      <c r="E97" s="264">
        <v>80000</v>
      </c>
      <c r="F97" s="264" t="s">
        <v>172</v>
      </c>
      <c r="G97" s="389">
        <v>31744</v>
      </c>
      <c r="H97" s="264">
        <v>37</v>
      </c>
      <c r="I97" s="389">
        <v>39895</v>
      </c>
      <c r="K97" s="390">
        <v>42278</v>
      </c>
      <c r="L97" s="264">
        <v>20</v>
      </c>
      <c r="M97" s="264" t="s">
        <v>1015</v>
      </c>
      <c r="N97" s="264">
        <v>1</v>
      </c>
      <c r="O97" s="264" t="s">
        <v>829</v>
      </c>
      <c r="P97" s="264" t="s">
        <v>994</v>
      </c>
      <c r="Q97" s="264" t="s">
        <v>1009</v>
      </c>
      <c r="R97" s="264" t="s">
        <v>1010</v>
      </c>
      <c r="S97" s="264" t="s">
        <v>996</v>
      </c>
      <c r="T97" s="264" t="s">
        <v>997</v>
      </c>
      <c r="U97" s="264" t="s">
        <v>995</v>
      </c>
      <c r="V97" s="264" t="s">
        <v>995</v>
      </c>
      <c r="W97" s="264" t="s">
        <v>995</v>
      </c>
      <c r="X97" s="264" t="s">
        <v>828</v>
      </c>
      <c r="Y97" s="264" t="s">
        <v>998</v>
      </c>
      <c r="Z97" s="264">
        <v>31</v>
      </c>
      <c r="AA97" s="264" t="s">
        <v>999</v>
      </c>
      <c r="AB97" s="264">
        <v>31</v>
      </c>
      <c r="AC97" s="264" t="s">
        <v>999</v>
      </c>
      <c r="AD97" s="264" t="s">
        <v>1000</v>
      </c>
      <c r="AE97" s="264" t="s">
        <v>1000</v>
      </c>
      <c r="AF97" s="264" t="s">
        <v>1000</v>
      </c>
      <c r="AG97" s="264" t="s">
        <v>1000</v>
      </c>
      <c r="AH97" s="264" t="s">
        <v>1002</v>
      </c>
      <c r="AI97" s="264" t="s">
        <v>1002</v>
      </c>
      <c r="AJ97" s="264" t="s">
        <v>995</v>
      </c>
      <c r="AK97" s="264" t="s">
        <v>995</v>
      </c>
      <c r="AL97" s="264" t="s">
        <v>995</v>
      </c>
    </row>
    <row r="98" spans="1:38">
      <c r="A98" s="264">
        <v>3305</v>
      </c>
      <c r="B98" s="264" t="s">
        <v>194</v>
      </c>
      <c r="C98" s="264" t="s">
        <v>1565</v>
      </c>
      <c r="D98" s="264" t="s">
        <v>1004</v>
      </c>
      <c r="E98" s="264">
        <v>80000</v>
      </c>
      <c r="F98" s="264" t="s">
        <v>172</v>
      </c>
      <c r="G98" s="389">
        <v>31442</v>
      </c>
      <c r="H98" s="264">
        <v>38</v>
      </c>
      <c r="I98" s="389">
        <v>39895</v>
      </c>
      <c r="K98" s="390">
        <v>42278</v>
      </c>
      <c r="L98" s="264">
        <v>20</v>
      </c>
      <c r="M98" s="264" t="s">
        <v>1015</v>
      </c>
      <c r="N98" s="264">
        <v>1</v>
      </c>
      <c r="O98" s="264" t="s">
        <v>829</v>
      </c>
      <c r="P98" s="264" t="s">
        <v>994</v>
      </c>
      <c r="Q98" s="264" t="s">
        <v>1009</v>
      </c>
      <c r="R98" s="264" t="s">
        <v>1010</v>
      </c>
      <c r="S98" s="264" t="s">
        <v>996</v>
      </c>
      <c r="T98" s="264" t="s">
        <v>997</v>
      </c>
      <c r="U98" s="264" t="s">
        <v>995</v>
      </c>
      <c r="V98" s="264" t="s">
        <v>995</v>
      </c>
      <c r="W98" s="264" t="s">
        <v>995</v>
      </c>
      <c r="X98" s="264" t="s">
        <v>828</v>
      </c>
      <c r="Y98" s="264" t="s">
        <v>998</v>
      </c>
      <c r="Z98" s="264">
        <v>31</v>
      </c>
      <c r="AA98" s="264" t="s">
        <v>999</v>
      </c>
      <c r="AB98" s="264">
        <v>31</v>
      </c>
      <c r="AC98" s="264" t="s">
        <v>999</v>
      </c>
      <c r="AD98" s="264" t="s">
        <v>1000</v>
      </c>
      <c r="AE98" s="264" t="s">
        <v>1000</v>
      </c>
      <c r="AF98" s="264" t="s">
        <v>1000</v>
      </c>
      <c r="AG98" s="264" t="s">
        <v>1000</v>
      </c>
      <c r="AH98" s="264" t="s">
        <v>1002</v>
      </c>
      <c r="AI98" s="264" t="s">
        <v>1002</v>
      </c>
      <c r="AJ98" s="264" t="s">
        <v>995</v>
      </c>
      <c r="AK98" s="264" t="s">
        <v>995</v>
      </c>
      <c r="AL98" s="264" t="s">
        <v>995</v>
      </c>
    </row>
    <row r="99" spans="1:38">
      <c r="A99" s="264">
        <v>3318</v>
      </c>
      <c r="B99" s="264" t="s">
        <v>196</v>
      </c>
      <c r="C99" s="264" t="s">
        <v>1566</v>
      </c>
      <c r="D99" s="264" t="s">
        <v>1004</v>
      </c>
      <c r="E99" s="264">
        <v>80000</v>
      </c>
      <c r="F99" s="264" t="s">
        <v>172</v>
      </c>
      <c r="G99" s="389">
        <v>32186</v>
      </c>
      <c r="H99" s="264">
        <v>35</v>
      </c>
      <c r="I99" s="389">
        <v>40258</v>
      </c>
      <c r="K99" s="390">
        <v>42278</v>
      </c>
      <c r="L99" s="264">
        <v>20</v>
      </c>
      <c r="M99" s="264" t="s">
        <v>1015</v>
      </c>
      <c r="N99" s="264">
        <v>1</v>
      </c>
      <c r="O99" s="264" t="s">
        <v>829</v>
      </c>
      <c r="P99" s="264" t="s">
        <v>994</v>
      </c>
      <c r="Q99" s="264" t="s">
        <v>1009</v>
      </c>
      <c r="R99" s="264" t="s">
        <v>1010</v>
      </c>
      <c r="S99" s="264" t="s">
        <v>996</v>
      </c>
      <c r="T99" s="264" t="s">
        <v>997</v>
      </c>
      <c r="U99" s="264" t="s">
        <v>995</v>
      </c>
      <c r="V99" s="264" t="s">
        <v>995</v>
      </c>
      <c r="W99" s="264" t="s">
        <v>995</v>
      </c>
      <c r="X99" s="264" t="s">
        <v>828</v>
      </c>
      <c r="Y99" s="264" t="s">
        <v>998</v>
      </c>
      <c r="Z99" s="264">
        <v>31</v>
      </c>
      <c r="AA99" s="264" t="s">
        <v>999</v>
      </c>
      <c r="AB99" s="264">
        <v>31</v>
      </c>
      <c r="AC99" s="264" t="s">
        <v>999</v>
      </c>
      <c r="AD99" s="264" t="s">
        <v>1000</v>
      </c>
      <c r="AE99" s="264" t="s">
        <v>1000</v>
      </c>
      <c r="AF99" s="264" t="s">
        <v>1000</v>
      </c>
      <c r="AG99" s="264" t="s">
        <v>1000</v>
      </c>
      <c r="AH99" s="264" t="s">
        <v>1002</v>
      </c>
      <c r="AI99" s="264" t="s">
        <v>1002</v>
      </c>
      <c r="AJ99" s="264" t="s">
        <v>995</v>
      </c>
      <c r="AK99" s="264" t="s">
        <v>995</v>
      </c>
      <c r="AL99" s="264" t="s">
        <v>995</v>
      </c>
    </row>
    <row r="100" spans="1:38">
      <c r="A100" s="264">
        <v>3330</v>
      </c>
      <c r="B100" s="264" t="s">
        <v>197</v>
      </c>
      <c r="C100" s="264" t="s">
        <v>1567</v>
      </c>
      <c r="D100" s="264" t="s">
        <v>1004</v>
      </c>
      <c r="E100" s="264">
        <v>80000</v>
      </c>
      <c r="F100" s="264" t="s">
        <v>172</v>
      </c>
      <c r="G100" s="389">
        <v>32541</v>
      </c>
      <c r="H100" s="264">
        <v>34</v>
      </c>
      <c r="I100" s="389">
        <v>40623</v>
      </c>
      <c r="K100" s="390">
        <v>44958</v>
      </c>
      <c r="L100" s="264">
        <v>20</v>
      </c>
      <c r="M100" s="264" t="s">
        <v>1015</v>
      </c>
      <c r="N100" s="264">
        <v>1</v>
      </c>
      <c r="O100" s="264" t="s">
        <v>829</v>
      </c>
      <c r="P100" s="264" t="s">
        <v>994</v>
      </c>
      <c r="Q100" s="264" t="s">
        <v>1009</v>
      </c>
      <c r="R100" s="264" t="s">
        <v>1010</v>
      </c>
      <c r="S100" s="264" t="s">
        <v>996</v>
      </c>
      <c r="T100" s="264" t="s">
        <v>997</v>
      </c>
      <c r="U100" s="264" t="s">
        <v>995</v>
      </c>
      <c r="V100" s="264" t="s">
        <v>995</v>
      </c>
      <c r="W100" s="264" t="s">
        <v>995</v>
      </c>
      <c r="X100" s="264" t="s">
        <v>828</v>
      </c>
      <c r="Y100" s="264" t="s">
        <v>998</v>
      </c>
      <c r="Z100" s="264">
        <v>31</v>
      </c>
      <c r="AA100" s="264" t="s">
        <v>999</v>
      </c>
      <c r="AB100" s="264">
        <v>31</v>
      </c>
      <c r="AC100" s="264" t="s">
        <v>999</v>
      </c>
      <c r="AD100" s="264" t="s">
        <v>1000</v>
      </c>
      <c r="AE100" s="264" t="s">
        <v>1000</v>
      </c>
      <c r="AF100" s="264" t="s">
        <v>1000</v>
      </c>
      <c r="AG100" s="264" t="s">
        <v>1000</v>
      </c>
      <c r="AH100" s="264" t="s">
        <v>1002</v>
      </c>
      <c r="AI100" s="264" t="s">
        <v>1002</v>
      </c>
      <c r="AJ100" s="264" t="s">
        <v>995</v>
      </c>
      <c r="AK100" s="264" t="s">
        <v>995</v>
      </c>
      <c r="AL100" s="264" t="s">
        <v>995</v>
      </c>
    </row>
    <row r="101" spans="1:38">
      <c r="A101" s="264">
        <v>3332</v>
      </c>
      <c r="B101" s="264" t="s">
        <v>206</v>
      </c>
      <c r="C101" s="264" t="s">
        <v>1568</v>
      </c>
      <c r="D101" s="264" t="s">
        <v>1004</v>
      </c>
      <c r="E101" s="264">
        <v>80000</v>
      </c>
      <c r="F101" s="264" t="s">
        <v>172</v>
      </c>
      <c r="G101" s="389">
        <v>32381</v>
      </c>
      <c r="H101" s="264">
        <v>35</v>
      </c>
      <c r="I101" s="389">
        <v>40623</v>
      </c>
      <c r="K101" s="390">
        <v>42278</v>
      </c>
      <c r="L101" s="264">
        <v>20</v>
      </c>
      <c r="M101" s="264" t="s">
        <v>1015</v>
      </c>
      <c r="N101" s="264">
        <v>1</v>
      </c>
      <c r="O101" s="264" t="s">
        <v>829</v>
      </c>
      <c r="P101" s="264" t="s">
        <v>994</v>
      </c>
      <c r="Q101" s="264" t="s">
        <v>1009</v>
      </c>
      <c r="R101" s="264" t="s">
        <v>1010</v>
      </c>
      <c r="S101" s="264" t="s">
        <v>996</v>
      </c>
      <c r="T101" s="264" t="s">
        <v>997</v>
      </c>
      <c r="U101" s="264" t="s">
        <v>995</v>
      </c>
      <c r="V101" s="264" t="s">
        <v>995</v>
      </c>
      <c r="W101" s="264" t="s">
        <v>995</v>
      </c>
      <c r="X101" s="264" t="s">
        <v>828</v>
      </c>
      <c r="Y101" s="264" t="s">
        <v>998</v>
      </c>
      <c r="Z101" s="264">
        <v>31</v>
      </c>
      <c r="AA101" s="264" t="s">
        <v>999</v>
      </c>
      <c r="AB101" s="264">
        <v>31</v>
      </c>
      <c r="AC101" s="264" t="s">
        <v>999</v>
      </c>
      <c r="AD101" s="264" t="s">
        <v>1000</v>
      </c>
      <c r="AE101" s="264" t="s">
        <v>1000</v>
      </c>
      <c r="AF101" s="264" t="s">
        <v>1000</v>
      </c>
      <c r="AG101" s="264" t="s">
        <v>1000</v>
      </c>
      <c r="AH101" s="264" t="s">
        <v>1002</v>
      </c>
      <c r="AI101" s="264" t="s">
        <v>1002</v>
      </c>
      <c r="AJ101" s="264" t="s">
        <v>995</v>
      </c>
      <c r="AK101" s="264" t="s">
        <v>995</v>
      </c>
      <c r="AL101" s="264" t="s">
        <v>995</v>
      </c>
    </row>
    <row r="102" spans="1:38">
      <c r="A102" s="264">
        <v>3335</v>
      </c>
      <c r="B102" s="264" t="s">
        <v>198</v>
      </c>
      <c r="C102" s="264" t="s">
        <v>1569</v>
      </c>
      <c r="D102" s="264" t="s">
        <v>1004</v>
      </c>
      <c r="E102" s="264">
        <v>80000</v>
      </c>
      <c r="F102" s="264" t="s">
        <v>172</v>
      </c>
      <c r="G102" s="389">
        <v>31871</v>
      </c>
      <c r="H102" s="264">
        <v>36</v>
      </c>
      <c r="I102" s="389">
        <v>40623</v>
      </c>
      <c r="K102" s="390">
        <v>42278</v>
      </c>
      <c r="L102" s="264">
        <v>20</v>
      </c>
      <c r="M102" s="264" t="s">
        <v>1015</v>
      </c>
      <c r="N102" s="264">
        <v>1</v>
      </c>
      <c r="O102" s="264" t="s">
        <v>829</v>
      </c>
      <c r="P102" s="264" t="s">
        <v>994</v>
      </c>
      <c r="Q102" s="264" t="s">
        <v>1009</v>
      </c>
      <c r="R102" s="264" t="s">
        <v>1010</v>
      </c>
      <c r="S102" s="264" t="s">
        <v>996</v>
      </c>
      <c r="T102" s="264" t="s">
        <v>997</v>
      </c>
      <c r="U102" s="264" t="s">
        <v>995</v>
      </c>
      <c r="V102" s="264" t="s">
        <v>995</v>
      </c>
      <c r="W102" s="264" t="s">
        <v>995</v>
      </c>
      <c r="X102" s="264" t="s">
        <v>828</v>
      </c>
      <c r="Y102" s="264" t="s">
        <v>998</v>
      </c>
      <c r="Z102" s="264">
        <v>31</v>
      </c>
      <c r="AA102" s="264" t="s">
        <v>999</v>
      </c>
      <c r="AB102" s="264">
        <v>31</v>
      </c>
      <c r="AC102" s="264" t="s">
        <v>999</v>
      </c>
      <c r="AD102" s="264" t="s">
        <v>1000</v>
      </c>
      <c r="AE102" s="264" t="s">
        <v>1000</v>
      </c>
      <c r="AF102" s="264" t="s">
        <v>1000</v>
      </c>
      <c r="AG102" s="264" t="s">
        <v>1000</v>
      </c>
      <c r="AH102" s="264" t="s">
        <v>1002</v>
      </c>
      <c r="AI102" s="264" t="s">
        <v>1002</v>
      </c>
      <c r="AJ102" s="264" t="s">
        <v>995</v>
      </c>
      <c r="AK102" s="264" t="s">
        <v>995</v>
      </c>
      <c r="AL102" s="264" t="s">
        <v>995</v>
      </c>
    </row>
    <row r="103" spans="1:38">
      <c r="A103" s="264">
        <v>3359</v>
      </c>
      <c r="B103" s="264" t="s">
        <v>201</v>
      </c>
      <c r="C103" s="264" t="s">
        <v>1570</v>
      </c>
      <c r="D103" s="264" t="s">
        <v>1004</v>
      </c>
      <c r="E103" s="264">
        <v>80000</v>
      </c>
      <c r="F103" s="264" t="s">
        <v>172</v>
      </c>
      <c r="G103" s="389">
        <v>32886</v>
      </c>
      <c r="H103" s="264">
        <v>34</v>
      </c>
      <c r="I103" s="389">
        <v>40989</v>
      </c>
      <c r="K103" s="390">
        <v>42278</v>
      </c>
      <c r="L103" s="264">
        <v>20</v>
      </c>
      <c r="M103" s="264" t="s">
        <v>1015</v>
      </c>
      <c r="N103" s="264">
        <v>1</v>
      </c>
      <c r="O103" s="264" t="s">
        <v>829</v>
      </c>
      <c r="P103" s="264" t="s">
        <v>994</v>
      </c>
      <c r="Q103" s="264" t="s">
        <v>1009</v>
      </c>
      <c r="R103" s="264" t="s">
        <v>1010</v>
      </c>
      <c r="S103" s="264" t="s">
        <v>996</v>
      </c>
      <c r="T103" s="264" t="s">
        <v>997</v>
      </c>
      <c r="U103" s="264" t="s">
        <v>995</v>
      </c>
      <c r="V103" s="264" t="s">
        <v>995</v>
      </c>
      <c r="W103" s="264" t="s">
        <v>995</v>
      </c>
      <c r="X103" s="264" t="s">
        <v>828</v>
      </c>
      <c r="Y103" s="264" t="s">
        <v>998</v>
      </c>
      <c r="Z103" s="264">
        <v>31</v>
      </c>
      <c r="AA103" s="264" t="s">
        <v>999</v>
      </c>
      <c r="AB103" s="264">
        <v>31</v>
      </c>
      <c r="AC103" s="264" t="s">
        <v>999</v>
      </c>
      <c r="AD103" s="264" t="s">
        <v>1000</v>
      </c>
      <c r="AE103" s="264" t="s">
        <v>1000</v>
      </c>
      <c r="AF103" s="264" t="s">
        <v>1000</v>
      </c>
      <c r="AG103" s="264" t="s">
        <v>1000</v>
      </c>
      <c r="AH103" s="264" t="s">
        <v>1002</v>
      </c>
      <c r="AI103" s="264" t="s">
        <v>1002</v>
      </c>
      <c r="AJ103" s="264" t="s">
        <v>995</v>
      </c>
      <c r="AK103" s="264" t="s">
        <v>995</v>
      </c>
      <c r="AL103" s="264" t="s">
        <v>995</v>
      </c>
    </row>
    <row r="104" spans="1:38">
      <c r="A104" s="264">
        <v>3391</v>
      </c>
      <c r="B104" s="264" t="s">
        <v>203</v>
      </c>
      <c r="C104" s="264" t="s">
        <v>1571</v>
      </c>
      <c r="D104" s="264" t="s">
        <v>1004</v>
      </c>
      <c r="E104" s="264">
        <v>80000</v>
      </c>
      <c r="F104" s="264" t="s">
        <v>172</v>
      </c>
      <c r="G104" s="389">
        <v>33113</v>
      </c>
      <c r="H104" s="264">
        <v>33</v>
      </c>
      <c r="I104" s="389">
        <v>41354</v>
      </c>
      <c r="K104" s="390">
        <v>42278</v>
      </c>
      <c r="L104" s="264">
        <v>20</v>
      </c>
      <c r="M104" s="264" t="s">
        <v>1015</v>
      </c>
      <c r="N104" s="264">
        <v>1</v>
      </c>
      <c r="O104" s="264" t="s">
        <v>829</v>
      </c>
      <c r="P104" s="264" t="s">
        <v>994</v>
      </c>
      <c r="Q104" s="264" t="s">
        <v>1009</v>
      </c>
      <c r="R104" s="264" t="s">
        <v>1010</v>
      </c>
      <c r="S104" s="264" t="s">
        <v>996</v>
      </c>
      <c r="T104" s="264" t="s">
        <v>997</v>
      </c>
      <c r="U104" s="264" t="s">
        <v>995</v>
      </c>
      <c r="V104" s="264" t="s">
        <v>995</v>
      </c>
      <c r="W104" s="264" t="s">
        <v>995</v>
      </c>
      <c r="X104" s="264" t="s">
        <v>828</v>
      </c>
      <c r="Y104" s="264" t="s">
        <v>998</v>
      </c>
      <c r="Z104" s="264">
        <v>31</v>
      </c>
      <c r="AA104" s="264" t="s">
        <v>999</v>
      </c>
      <c r="AB104" s="264">
        <v>31</v>
      </c>
      <c r="AC104" s="264" t="s">
        <v>999</v>
      </c>
      <c r="AD104" s="264" t="s">
        <v>1000</v>
      </c>
      <c r="AE104" s="264" t="s">
        <v>1000</v>
      </c>
      <c r="AF104" s="264" t="s">
        <v>1000</v>
      </c>
      <c r="AG104" s="264" t="s">
        <v>1000</v>
      </c>
      <c r="AH104" s="264" t="s">
        <v>1002</v>
      </c>
      <c r="AI104" s="264" t="s">
        <v>1002</v>
      </c>
      <c r="AJ104" s="264" t="s">
        <v>995</v>
      </c>
      <c r="AK104" s="264" t="s">
        <v>995</v>
      </c>
      <c r="AL104" s="264" t="s">
        <v>995</v>
      </c>
    </row>
    <row r="105" spans="1:38">
      <c r="A105" s="264">
        <v>3409</v>
      </c>
      <c r="B105" s="264" t="s">
        <v>207</v>
      </c>
      <c r="C105" s="264" t="s">
        <v>1572</v>
      </c>
      <c r="D105" s="264" t="s">
        <v>1004</v>
      </c>
      <c r="E105" s="264">
        <v>80000</v>
      </c>
      <c r="F105" s="264" t="s">
        <v>172</v>
      </c>
      <c r="G105" s="389">
        <v>32639</v>
      </c>
      <c r="H105" s="264">
        <v>34</v>
      </c>
      <c r="I105" s="389">
        <v>41719</v>
      </c>
      <c r="K105" s="390">
        <v>42278</v>
      </c>
      <c r="L105" s="264">
        <v>20</v>
      </c>
      <c r="M105" s="264" t="s">
        <v>1015</v>
      </c>
      <c r="N105" s="264">
        <v>1</v>
      </c>
      <c r="O105" s="264" t="s">
        <v>829</v>
      </c>
      <c r="P105" s="264" t="s">
        <v>994</v>
      </c>
      <c r="Q105" s="264" t="s">
        <v>1009</v>
      </c>
      <c r="R105" s="264" t="s">
        <v>1010</v>
      </c>
      <c r="S105" s="264" t="s">
        <v>996</v>
      </c>
      <c r="T105" s="264" t="s">
        <v>997</v>
      </c>
      <c r="U105" s="264" t="s">
        <v>995</v>
      </c>
      <c r="V105" s="264" t="s">
        <v>995</v>
      </c>
      <c r="W105" s="264" t="s">
        <v>995</v>
      </c>
      <c r="X105" s="264" t="s">
        <v>828</v>
      </c>
      <c r="Y105" s="264" t="s">
        <v>998</v>
      </c>
      <c r="Z105" s="264">
        <v>31</v>
      </c>
      <c r="AA105" s="264" t="s">
        <v>999</v>
      </c>
      <c r="AB105" s="264">
        <v>31</v>
      </c>
      <c r="AC105" s="264" t="s">
        <v>999</v>
      </c>
      <c r="AD105" s="264" t="s">
        <v>1000</v>
      </c>
      <c r="AE105" s="264" t="s">
        <v>1000</v>
      </c>
      <c r="AF105" s="264" t="s">
        <v>1000</v>
      </c>
      <c r="AG105" s="264" t="s">
        <v>1000</v>
      </c>
      <c r="AH105" s="264" t="s">
        <v>1002</v>
      </c>
      <c r="AI105" s="264" t="s">
        <v>1002</v>
      </c>
      <c r="AJ105" s="264" t="s">
        <v>995</v>
      </c>
      <c r="AK105" s="264" t="s">
        <v>995</v>
      </c>
      <c r="AL105" s="264" t="s">
        <v>995</v>
      </c>
    </row>
    <row r="106" spans="1:38">
      <c r="A106" s="264">
        <v>3410</v>
      </c>
      <c r="B106" s="264" t="s">
        <v>208</v>
      </c>
      <c r="C106" s="264" t="s">
        <v>1573</v>
      </c>
      <c r="D106" s="264" t="s">
        <v>1004</v>
      </c>
      <c r="E106" s="264">
        <v>80000</v>
      </c>
      <c r="F106" s="264" t="s">
        <v>172</v>
      </c>
      <c r="G106" s="389">
        <v>33439</v>
      </c>
      <c r="H106" s="264">
        <v>32</v>
      </c>
      <c r="I106" s="389">
        <v>41719</v>
      </c>
      <c r="K106" s="390">
        <v>42278</v>
      </c>
      <c r="L106" s="264">
        <v>20</v>
      </c>
      <c r="M106" s="264" t="s">
        <v>1015</v>
      </c>
      <c r="N106" s="264">
        <v>1</v>
      </c>
      <c r="O106" s="264" t="s">
        <v>829</v>
      </c>
      <c r="P106" s="264" t="s">
        <v>994</v>
      </c>
      <c r="Q106" s="264" t="s">
        <v>1009</v>
      </c>
      <c r="R106" s="264" t="s">
        <v>1010</v>
      </c>
      <c r="S106" s="264" t="s">
        <v>996</v>
      </c>
      <c r="T106" s="264" t="s">
        <v>997</v>
      </c>
      <c r="U106" s="264" t="s">
        <v>995</v>
      </c>
      <c r="V106" s="264" t="s">
        <v>995</v>
      </c>
      <c r="W106" s="264" t="s">
        <v>995</v>
      </c>
      <c r="X106" s="264" t="s">
        <v>828</v>
      </c>
      <c r="Y106" s="264" t="s">
        <v>998</v>
      </c>
      <c r="Z106" s="264">
        <v>31</v>
      </c>
      <c r="AA106" s="264" t="s">
        <v>999</v>
      </c>
      <c r="AB106" s="264">
        <v>31</v>
      </c>
      <c r="AC106" s="264" t="s">
        <v>999</v>
      </c>
      <c r="AD106" s="264" t="s">
        <v>1000</v>
      </c>
      <c r="AE106" s="264" t="s">
        <v>1000</v>
      </c>
      <c r="AF106" s="264" t="s">
        <v>1000</v>
      </c>
      <c r="AG106" s="264" t="s">
        <v>1000</v>
      </c>
      <c r="AH106" s="264" t="s">
        <v>1002</v>
      </c>
      <c r="AI106" s="264" t="s">
        <v>1002</v>
      </c>
      <c r="AJ106" s="264" t="s">
        <v>995</v>
      </c>
      <c r="AK106" s="264" t="s">
        <v>995</v>
      </c>
      <c r="AL106" s="264" t="s">
        <v>995</v>
      </c>
    </row>
    <row r="107" spans="1:38">
      <c r="A107" s="264">
        <v>3429</v>
      </c>
      <c r="B107" s="264" t="s">
        <v>209</v>
      </c>
      <c r="C107" s="264" t="s">
        <v>1574</v>
      </c>
      <c r="D107" s="264" t="s">
        <v>1004</v>
      </c>
      <c r="E107" s="264">
        <v>80000</v>
      </c>
      <c r="F107" s="264" t="s">
        <v>172</v>
      </c>
      <c r="G107" s="389">
        <v>33950</v>
      </c>
      <c r="H107" s="264">
        <v>31</v>
      </c>
      <c r="I107" s="389">
        <v>42095</v>
      </c>
      <c r="K107" s="390">
        <v>42278</v>
      </c>
      <c r="L107" s="264">
        <v>20</v>
      </c>
      <c r="M107" s="264" t="s">
        <v>1015</v>
      </c>
      <c r="N107" s="264">
        <v>1</v>
      </c>
      <c r="O107" s="264" t="s">
        <v>829</v>
      </c>
      <c r="P107" s="264" t="s">
        <v>994</v>
      </c>
      <c r="Q107" s="264" t="s">
        <v>1009</v>
      </c>
      <c r="R107" s="264" t="s">
        <v>1010</v>
      </c>
      <c r="S107" s="264" t="s">
        <v>996</v>
      </c>
      <c r="T107" s="264" t="s">
        <v>997</v>
      </c>
      <c r="U107" s="264" t="s">
        <v>995</v>
      </c>
      <c r="V107" s="264" t="s">
        <v>995</v>
      </c>
      <c r="W107" s="264" t="s">
        <v>995</v>
      </c>
      <c r="X107" s="264" t="s">
        <v>828</v>
      </c>
      <c r="Y107" s="264" t="s">
        <v>998</v>
      </c>
      <c r="Z107" s="264">
        <v>31</v>
      </c>
      <c r="AA107" s="264" t="s">
        <v>999</v>
      </c>
      <c r="AB107" s="264">
        <v>31</v>
      </c>
      <c r="AC107" s="264" t="s">
        <v>999</v>
      </c>
      <c r="AD107" s="264" t="s">
        <v>1000</v>
      </c>
      <c r="AE107" s="264" t="s">
        <v>1000</v>
      </c>
      <c r="AF107" s="264" t="s">
        <v>1000</v>
      </c>
      <c r="AG107" s="264" t="s">
        <v>1000</v>
      </c>
      <c r="AH107" s="264" t="s">
        <v>1002</v>
      </c>
      <c r="AI107" s="264" t="s">
        <v>1002</v>
      </c>
      <c r="AJ107" s="264" t="s">
        <v>995</v>
      </c>
      <c r="AK107" s="264" t="s">
        <v>995</v>
      </c>
      <c r="AL107" s="264" t="s">
        <v>995</v>
      </c>
    </row>
    <row r="108" spans="1:38">
      <c r="A108" s="264">
        <v>3430</v>
      </c>
      <c r="B108" s="264" t="s">
        <v>210</v>
      </c>
      <c r="C108" s="264" t="s">
        <v>1575</v>
      </c>
      <c r="D108" s="264" t="s">
        <v>1004</v>
      </c>
      <c r="E108" s="264">
        <v>80000</v>
      </c>
      <c r="F108" s="264" t="s">
        <v>172</v>
      </c>
      <c r="G108" s="389">
        <v>34018</v>
      </c>
      <c r="H108" s="264">
        <v>30</v>
      </c>
      <c r="I108" s="389">
        <v>42095</v>
      </c>
      <c r="K108" s="390">
        <v>42278</v>
      </c>
      <c r="L108" s="264">
        <v>20</v>
      </c>
      <c r="M108" s="264" t="s">
        <v>1015</v>
      </c>
      <c r="N108" s="264">
        <v>1</v>
      </c>
      <c r="O108" s="264" t="s">
        <v>829</v>
      </c>
      <c r="P108" s="264" t="s">
        <v>994</v>
      </c>
      <c r="Q108" s="264" t="s">
        <v>1009</v>
      </c>
      <c r="R108" s="264" t="s">
        <v>1010</v>
      </c>
      <c r="S108" s="264" t="s">
        <v>996</v>
      </c>
      <c r="T108" s="264" t="s">
        <v>997</v>
      </c>
      <c r="U108" s="264" t="s">
        <v>995</v>
      </c>
      <c r="V108" s="264" t="s">
        <v>995</v>
      </c>
      <c r="W108" s="264" t="s">
        <v>995</v>
      </c>
      <c r="X108" s="264" t="s">
        <v>828</v>
      </c>
      <c r="Y108" s="264" t="s">
        <v>998</v>
      </c>
      <c r="Z108" s="264">
        <v>31</v>
      </c>
      <c r="AA108" s="264" t="s">
        <v>999</v>
      </c>
      <c r="AB108" s="264">
        <v>31</v>
      </c>
      <c r="AC108" s="264" t="s">
        <v>999</v>
      </c>
      <c r="AD108" s="264" t="s">
        <v>1000</v>
      </c>
      <c r="AE108" s="264" t="s">
        <v>1000</v>
      </c>
      <c r="AF108" s="264" t="s">
        <v>1000</v>
      </c>
      <c r="AG108" s="264" t="s">
        <v>1000</v>
      </c>
      <c r="AH108" s="264" t="s">
        <v>1002</v>
      </c>
      <c r="AI108" s="264" t="s">
        <v>1002</v>
      </c>
      <c r="AJ108" s="264" t="s">
        <v>995</v>
      </c>
      <c r="AK108" s="264" t="s">
        <v>995</v>
      </c>
      <c r="AL108" s="264" t="s">
        <v>995</v>
      </c>
    </row>
    <row r="109" spans="1:38">
      <c r="A109" s="264">
        <v>3472</v>
      </c>
      <c r="B109" s="264" t="s">
        <v>212</v>
      </c>
      <c r="C109" s="264" t="s">
        <v>1576</v>
      </c>
      <c r="D109" s="264" t="s">
        <v>1004</v>
      </c>
      <c r="E109" s="264">
        <v>80000</v>
      </c>
      <c r="F109" s="264" t="s">
        <v>172</v>
      </c>
      <c r="G109" s="389">
        <v>34608</v>
      </c>
      <c r="H109" s="264">
        <v>29</v>
      </c>
      <c r="I109" s="389">
        <v>42826</v>
      </c>
      <c r="K109" s="390">
        <v>42856</v>
      </c>
      <c r="L109" s="264">
        <v>20</v>
      </c>
      <c r="M109" s="264" t="s">
        <v>1015</v>
      </c>
      <c r="N109" s="264">
        <v>1</v>
      </c>
      <c r="O109" s="264" t="s">
        <v>829</v>
      </c>
      <c r="P109" s="264" t="s">
        <v>994</v>
      </c>
      <c r="Q109" s="264" t="s">
        <v>1009</v>
      </c>
      <c r="R109" s="264" t="s">
        <v>1010</v>
      </c>
      <c r="S109" s="264" t="s">
        <v>996</v>
      </c>
      <c r="T109" s="264" t="s">
        <v>997</v>
      </c>
      <c r="U109" s="264" t="s">
        <v>995</v>
      </c>
      <c r="V109" s="264" t="s">
        <v>995</v>
      </c>
      <c r="W109" s="264" t="s">
        <v>995</v>
      </c>
      <c r="X109" s="264" t="s">
        <v>828</v>
      </c>
      <c r="Y109" s="264" t="s">
        <v>998</v>
      </c>
      <c r="Z109" s="264">
        <v>31</v>
      </c>
      <c r="AA109" s="264" t="s">
        <v>999</v>
      </c>
      <c r="AB109" s="264">
        <v>31</v>
      </c>
      <c r="AC109" s="264" t="s">
        <v>999</v>
      </c>
      <c r="AD109" s="264" t="s">
        <v>1000</v>
      </c>
      <c r="AE109" s="264" t="s">
        <v>1000</v>
      </c>
      <c r="AF109" s="264" t="s">
        <v>1000</v>
      </c>
      <c r="AG109" s="264" t="s">
        <v>1000</v>
      </c>
      <c r="AH109" s="264" t="s">
        <v>1002</v>
      </c>
      <c r="AI109" s="264" t="s">
        <v>1002</v>
      </c>
      <c r="AJ109" s="264" t="s">
        <v>995</v>
      </c>
      <c r="AK109" s="264" t="s">
        <v>995</v>
      </c>
      <c r="AL109" s="264" t="s">
        <v>995</v>
      </c>
    </row>
    <row r="110" spans="1:38">
      <c r="A110" s="264">
        <v>3502</v>
      </c>
      <c r="B110" s="264" t="s">
        <v>215</v>
      </c>
      <c r="C110" s="264" t="s">
        <v>1577</v>
      </c>
      <c r="D110" s="264" t="s">
        <v>1004</v>
      </c>
      <c r="E110" s="264">
        <v>80000</v>
      </c>
      <c r="F110" s="264" t="s">
        <v>172</v>
      </c>
      <c r="G110" s="389">
        <v>34999</v>
      </c>
      <c r="H110" s="264">
        <v>28</v>
      </c>
      <c r="I110" s="389">
        <v>43556</v>
      </c>
      <c r="K110" s="390">
        <v>43586</v>
      </c>
      <c r="L110" s="264">
        <v>20</v>
      </c>
      <c r="M110" s="264" t="s">
        <v>1015</v>
      </c>
      <c r="N110" s="264">
        <v>1</v>
      </c>
      <c r="O110" s="264" t="s">
        <v>829</v>
      </c>
      <c r="P110" s="264" t="s">
        <v>994</v>
      </c>
      <c r="Q110" s="264" t="s">
        <v>1009</v>
      </c>
      <c r="R110" s="264" t="s">
        <v>1010</v>
      </c>
      <c r="S110" s="264" t="s">
        <v>996</v>
      </c>
      <c r="T110" s="264" t="s">
        <v>997</v>
      </c>
      <c r="U110" s="264" t="s">
        <v>995</v>
      </c>
      <c r="V110" s="264" t="s">
        <v>995</v>
      </c>
      <c r="W110" s="264" t="s">
        <v>995</v>
      </c>
      <c r="X110" s="264" t="s">
        <v>828</v>
      </c>
      <c r="Y110" s="264" t="s">
        <v>998</v>
      </c>
      <c r="Z110" s="264">
        <v>31</v>
      </c>
      <c r="AA110" s="264" t="s">
        <v>999</v>
      </c>
      <c r="AB110" s="264">
        <v>31</v>
      </c>
      <c r="AC110" s="264" t="s">
        <v>999</v>
      </c>
      <c r="AD110" s="264" t="s">
        <v>1000</v>
      </c>
      <c r="AE110" s="264" t="s">
        <v>1000</v>
      </c>
      <c r="AF110" s="264" t="s">
        <v>1000</v>
      </c>
      <c r="AG110" s="264" t="s">
        <v>1000</v>
      </c>
      <c r="AH110" s="264" t="s">
        <v>1002</v>
      </c>
      <c r="AI110" s="264" t="s">
        <v>1002</v>
      </c>
      <c r="AJ110" s="264" t="s">
        <v>995</v>
      </c>
      <c r="AK110" s="264" t="s">
        <v>995</v>
      </c>
      <c r="AL110" s="264" t="s">
        <v>995</v>
      </c>
    </row>
    <row r="111" spans="1:38">
      <c r="A111" s="264">
        <v>3516</v>
      </c>
      <c r="B111" s="264" t="s">
        <v>216</v>
      </c>
      <c r="C111" s="264" t="s">
        <v>1578</v>
      </c>
      <c r="D111" s="264" t="s">
        <v>1004</v>
      </c>
      <c r="E111" s="264">
        <v>80000</v>
      </c>
      <c r="F111" s="264" t="s">
        <v>172</v>
      </c>
      <c r="G111" s="389">
        <v>35299</v>
      </c>
      <c r="H111" s="264">
        <v>27</v>
      </c>
      <c r="I111" s="389">
        <v>43922</v>
      </c>
      <c r="K111" s="390">
        <v>43952</v>
      </c>
      <c r="L111" s="264">
        <v>20</v>
      </c>
      <c r="M111" s="264" t="s">
        <v>1015</v>
      </c>
      <c r="N111" s="264">
        <v>1</v>
      </c>
      <c r="O111" s="264" t="s">
        <v>829</v>
      </c>
      <c r="P111" s="264" t="s">
        <v>994</v>
      </c>
      <c r="Q111" s="264" t="s">
        <v>1009</v>
      </c>
      <c r="R111" s="264" t="s">
        <v>1010</v>
      </c>
      <c r="S111" s="264" t="s">
        <v>996</v>
      </c>
      <c r="T111" s="264" t="s">
        <v>997</v>
      </c>
      <c r="U111" s="264" t="s">
        <v>995</v>
      </c>
      <c r="V111" s="264" t="s">
        <v>995</v>
      </c>
      <c r="W111" s="264" t="s">
        <v>995</v>
      </c>
      <c r="X111" s="264" t="s">
        <v>828</v>
      </c>
      <c r="Y111" s="264" t="s">
        <v>998</v>
      </c>
      <c r="Z111" s="264">
        <v>31</v>
      </c>
      <c r="AA111" s="264" t="s">
        <v>999</v>
      </c>
      <c r="AB111" s="264">
        <v>31</v>
      </c>
      <c r="AC111" s="264" t="s">
        <v>999</v>
      </c>
      <c r="AD111" s="264" t="s">
        <v>1000</v>
      </c>
      <c r="AE111" s="264" t="s">
        <v>1000</v>
      </c>
      <c r="AF111" s="264" t="s">
        <v>1000</v>
      </c>
      <c r="AG111" s="264" t="s">
        <v>1000</v>
      </c>
      <c r="AH111" s="264" t="s">
        <v>1002</v>
      </c>
      <c r="AI111" s="264" t="s">
        <v>1002</v>
      </c>
      <c r="AJ111" s="264" t="s">
        <v>995</v>
      </c>
      <c r="AK111" s="264" t="s">
        <v>995</v>
      </c>
      <c r="AL111" s="264" t="s">
        <v>995</v>
      </c>
    </row>
    <row r="112" spans="1:38">
      <c r="A112" s="264">
        <v>8088</v>
      </c>
      <c r="B112" s="264" t="s">
        <v>548</v>
      </c>
      <c r="C112" s="264" t="s">
        <v>1587</v>
      </c>
      <c r="D112" s="264" t="s">
        <v>1004</v>
      </c>
      <c r="E112" s="264">
        <v>80020</v>
      </c>
      <c r="F112" s="264" t="s">
        <v>172</v>
      </c>
      <c r="G112" s="389">
        <v>19059</v>
      </c>
      <c r="H112" s="264">
        <v>71</v>
      </c>
      <c r="I112" s="389">
        <v>27104</v>
      </c>
      <c r="K112" s="390">
        <v>42278</v>
      </c>
      <c r="L112" s="264">
        <v>70</v>
      </c>
      <c r="M112" s="264" t="s">
        <v>1024</v>
      </c>
      <c r="N112" s="264">
        <v>1</v>
      </c>
      <c r="O112" s="264" t="s">
        <v>829</v>
      </c>
      <c r="P112" s="264" t="s">
        <v>994</v>
      </c>
      <c r="Q112" s="264" t="s">
        <v>1009</v>
      </c>
      <c r="R112" s="264" t="s">
        <v>1010</v>
      </c>
      <c r="S112" s="264" t="s">
        <v>996</v>
      </c>
      <c r="T112" s="264" t="s">
        <v>997</v>
      </c>
      <c r="U112" s="264" t="s">
        <v>995</v>
      </c>
      <c r="V112" s="264" t="s">
        <v>995</v>
      </c>
      <c r="W112" s="264" t="s">
        <v>995</v>
      </c>
      <c r="X112" s="264" t="s">
        <v>828</v>
      </c>
      <c r="Y112" s="264" t="s">
        <v>998</v>
      </c>
      <c r="Z112" s="264">
        <v>31</v>
      </c>
      <c r="AA112" s="264" t="s">
        <v>999</v>
      </c>
      <c r="AB112" s="264">
        <v>31</v>
      </c>
      <c r="AC112" s="264" t="s">
        <v>999</v>
      </c>
      <c r="AD112" s="264" t="s">
        <v>1000</v>
      </c>
      <c r="AE112" s="264" t="s">
        <v>1000</v>
      </c>
      <c r="AF112" s="264" t="s">
        <v>1000</v>
      </c>
      <c r="AG112" s="264" t="s">
        <v>1000</v>
      </c>
      <c r="AH112" s="264" t="s">
        <v>1002</v>
      </c>
      <c r="AI112" s="264" t="s">
        <v>1002</v>
      </c>
      <c r="AJ112" s="264" t="s">
        <v>995</v>
      </c>
      <c r="AK112" s="264" t="s">
        <v>995</v>
      </c>
      <c r="AL112" s="264" t="s">
        <v>995</v>
      </c>
    </row>
    <row r="113" spans="1:38">
      <c r="A113" s="264">
        <v>8113</v>
      </c>
      <c r="B113" s="264" t="s">
        <v>551</v>
      </c>
      <c r="C113" s="264" t="s">
        <v>1588</v>
      </c>
      <c r="D113" s="264" t="s">
        <v>1004</v>
      </c>
      <c r="E113" s="264">
        <v>80020</v>
      </c>
      <c r="F113" s="264" t="s">
        <v>172</v>
      </c>
      <c r="G113" s="389">
        <v>19404</v>
      </c>
      <c r="H113" s="264">
        <v>70</v>
      </c>
      <c r="I113" s="389">
        <v>27848</v>
      </c>
      <c r="K113" s="390">
        <v>44166</v>
      </c>
      <c r="L113" s="264">
        <v>70</v>
      </c>
      <c r="M113" s="264" t="s">
        <v>1024</v>
      </c>
      <c r="N113" s="264">
        <v>1</v>
      </c>
      <c r="O113" s="264" t="s">
        <v>829</v>
      </c>
      <c r="P113" s="264" t="s">
        <v>994</v>
      </c>
      <c r="Q113" s="264" t="s">
        <v>1009</v>
      </c>
      <c r="R113" s="264" t="s">
        <v>1010</v>
      </c>
      <c r="S113" s="264" t="s">
        <v>1012</v>
      </c>
      <c r="T113" s="264" t="s">
        <v>997</v>
      </c>
      <c r="U113" s="264" t="s">
        <v>995</v>
      </c>
      <c r="V113" s="264" t="s">
        <v>995</v>
      </c>
      <c r="W113" s="264" t="s">
        <v>995</v>
      </c>
      <c r="X113" s="264" t="s">
        <v>828</v>
      </c>
      <c r="Y113" s="264" t="s">
        <v>998</v>
      </c>
      <c r="Z113" s="264">
        <v>31</v>
      </c>
      <c r="AA113" s="264" t="s">
        <v>999</v>
      </c>
      <c r="AB113" s="264">
        <v>31</v>
      </c>
      <c r="AC113" s="264" t="s">
        <v>999</v>
      </c>
      <c r="AD113" s="264" t="s">
        <v>1000</v>
      </c>
      <c r="AE113" s="264" t="s">
        <v>1000</v>
      </c>
      <c r="AF113" s="264" t="s">
        <v>1001</v>
      </c>
      <c r="AG113" s="264" t="s">
        <v>1000</v>
      </c>
      <c r="AH113" s="264" t="s">
        <v>1002</v>
      </c>
      <c r="AI113" s="264" t="s">
        <v>1002</v>
      </c>
      <c r="AJ113" s="264" t="s">
        <v>995</v>
      </c>
      <c r="AK113" s="264" t="s">
        <v>995</v>
      </c>
      <c r="AL113" s="264" t="s">
        <v>995</v>
      </c>
    </row>
    <row r="114" spans="1:38">
      <c r="A114" s="264">
        <v>8185</v>
      </c>
      <c r="B114" s="264" t="s">
        <v>568</v>
      </c>
      <c r="C114" s="264" t="s">
        <v>1589</v>
      </c>
      <c r="D114" s="264" t="s">
        <v>1004</v>
      </c>
      <c r="E114" s="264">
        <v>80020</v>
      </c>
      <c r="F114" s="264" t="s">
        <v>172</v>
      </c>
      <c r="G114" s="389">
        <v>19670</v>
      </c>
      <c r="H114" s="264">
        <v>70</v>
      </c>
      <c r="I114" s="389">
        <v>28934</v>
      </c>
      <c r="K114" s="390">
        <v>44136</v>
      </c>
      <c r="L114" s="264">
        <v>70</v>
      </c>
      <c r="M114" s="264" t="s">
        <v>1024</v>
      </c>
      <c r="N114" s="264">
        <v>1</v>
      </c>
      <c r="O114" s="264" t="s">
        <v>829</v>
      </c>
      <c r="P114" s="264" t="s">
        <v>994</v>
      </c>
      <c r="Q114" s="264" t="s">
        <v>1009</v>
      </c>
      <c r="R114" s="264" t="s">
        <v>1010</v>
      </c>
      <c r="S114" s="264" t="s">
        <v>1012</v>
      </c>
      <c r="T114" s="264" t="s">
        <v>997</v>
      </c>
      <c r="U114" s="264" t="s">
        <v>995</v>
      </c>
      <c r="V114" s="264" t="s">
        <v>995</v>
      </c>
      <c r="W114" s="264" t="s">
        <v>995</v>
      </c>
      <c r="X114" s="264" t="s">
        <v>828</v>
      </c>
      <c r="Y114" s="264" t="s">
        <v>998</v>
      </c>
      <c r="Z114" s="264">
        <v>31</v>
      </c>
      <c r="AA114" s="264" t="s">
        <v>999</v>
      </c>
      <c r="AB114" s="264">
        <v>31</v>
      </c>
      <c r="AC114" s="264" t="s">
        <v>999</v>
      </c>
      <c r="AD114" s="264" t="s">
        <v>1000</v>
      </c>
      <c r="AE114" s="264" t="s">
        <v>1000</v>
      </c>
      <c r="AF114" s="264" t="s">
        <v>1001</v>
      </c>
      <c r="AG114" s="264" t="s">
        <v>1000</v>
      </c>
      <c r="AH114" s="264" t="s">
        <v>1002</v>
      </c>
      <c r="AI114" s="264" t="s">
        <v>1002</v>
      </c>
      <c r="AJ114" s="264" t="s">
        <v>995</v>
      </c>
      <c r="AK114" s="264" t="s">
        <v>1010</v>
      </c>
      <c r="AL114" s="264" t="s">
        <v>995</v>
      </c>
    </row>
    <row r="115" spans="1:38">
      <c r="A115" s="264">
        <v>8189</v>
      </c>
      <c r="B115" s="264" t="s">
        <v>571</v>
      </c>
      <c r="C115" s="264" t="s">
        <v>1590</v>
      </c>
      <c r="D115" s="264" t="s">
        <v>1004</v>
      </c>
      <c r="E115" s="264">
        <v>80020</v>
      </c>
      <c r="F115" s="264" t="s">
        <v>172</v>
      </c>
      <c r="G115" s="389">
        <v>21853</v>
      </c>
      <c r="H115" s="264">
        <v>64</v>
      </c>
      <c r="I115" s="389">
        <v>43769</v>
      </c>
      <c r="K115" s="390">
        <v>43101</v>
      </c>
      <c r="L115" s="264">
        <v>70</v>
      </c>
      <c r="M115" s="264" t="s">
        <v>1024</v>
      </c>
      <c r="N115" s="264">
        <v>1</v>
      </c>
      <c r="O115" s="264" t="s">
        <v>829</v>
      </c>
      <c r="P115" s="264" t="s">
        <v>994</v>
      </c>
      <c r="Q115" s="264" t="s">
        <v>1009</v>
      </c>
      <c r="R115" s="264" t="s">
        <v>1010</v>
      </c>
      <c r="S115" s="264" t="s">
        <v>996</v>
      </c>
      <c r="T115" s="264" t="s">
        <v>997</v>
      </c>
      <c r="U115" s="264" t="s">
        <v>995</v>
      </c>
      <c r="V115" s="264" t="s">
        <v>995</v>
      </c>
      <c r="W115" s="264" t="s">
        <v>995</v>
      </c>
      <c r="X115" s="264" t="s">
        <v>828</v>
      </c>
      <c r="Y115" s="264" t="s">
        <v>998</v>
      </c>
      <c r="Z115" s="264">
        <v>31</v>
      </c>
      <c r="AA115" s="264" t="s">
        <v>999</v>
      </c>
      <c r="AB115" s="264">
        <v>31</v>
      </c>
      <c r="AC115" s="264" t="s">
        <v>999</v>
      </c>
      <c r="AD115" s="264" t="s">
        <v>1000</v>
      </c>
      <c r="AE115" s="264" t="s">
        <v>1000</v>
      </c>
      <c r="AF115" s="264" t="s">
        <v>1000</v>
      </c>
      <c r="AG115" s="264" t="s">
        <v>1000</v>
      </c>
      <c r="AH115" s="264" t="s">
        <v>1002</v>
      </c>
      <c r="AI115" s="264" t="s">
        <v>1002</v>
      </c>
      <c r="AJ115" s="264" t="s">
        <v>995</v>
      </c>
      <c r="AK115" s="264" t="s">
        <v>995</v>
      </c>
      <c r="AL115" s="264" t="s">
        <v>995</v>
      </c>
    </row>
    <row r="116" spans="1:38">
      <c r="A116" s="264">
        <v>8204</v>
      </c>
      <c r="B116" s="264" t="s">
        <v>785</v>
      </c>
      <c r="C116" s="264" t="s">
        <v>1591</v>
      </c>
      <c r="D116" s="264" t="s">
        <v>1004</v>
      </c>
      <c r="E116" s="264">
        <v>80020</v>
      </c>
      <c r="F116" s="264" t="s">
        <v>172</v>
      </c>
      <c r="G116" s="389">
        <v>22472</v>
      </c>
      <c r="H116" s="264">
        <v>62</v>
      </c>
      <c r="I116" s="389">
        <v>30767</v>
      </c>
      <c r="K116" s="390">
        <v>44409</v>
      </c>
      <c r="L116" s="264">
        <v>70</v>
      </c>
      <c r="M116" s="264" t="s">
        <v>1024</v>
      </c>
      <c r="N116" s="264">
        <v>1</v>
      </c>
      <c r="O116" s="264" t="s">
        <v>829</v>
      </c>
      <c r="P116" s="264" t="s">
        <v>994</v>
      </c>
      <c r="Q116" s="264" t="s">
        <v>1009</v>
      </c>
      <c r="R116" s="264" t="s">
        <v>1010</v>
      </c>
      <c r="S116" s="264" t="s">
        <v>996</v>
      </c>
      <c r="T116" s="264" t="s">
        <v>997</v>
      </c>
      <c r="U116" s="264" t="s">
        <v>995</v>
      </c>
      <c r="V116" s="264" t="s">
        <v>995</v>
      </c>
      <c r="W116" s="264" t="s">
        <v>995</v>
      </c>
      <c r="X116" s="264" t="s">
        <v>828</v>
      </c>
      <c r="Y116" s="264" t="s">
        <v>998</v>
      </c>
      <c r="Z116" s="264">
        <v>31</v>
      </c>
      <c r="AA116" s="264" t="s">
        <v>999</v>
      </c>
      <c r="AB116" s="264">
        <v>31</v>
      </c>
      <c r="AC116" s="264" t="s">
        <v>999</v>
      </c>
      <c r="AD116" s="264" t="s">
        <v>1000</v>
      </c>
      <c r="AE116" s="264" t="s">
        <v>1000</v>
      </c>
      <c r="AF116" s="264" t="s">
        <v>1000</v>
      </c>
      <c r="AG116" s="264" t="s">
        <v>1000</v>
      </c>
      <c r="AH116" s="264" t="s">
        <v>1002</v>
      </c>
      <c r="AI116" s="264" t="s">
        <v>1002</v>
      </c>
      <c r="AJ116" s="264" t="s">
        <v>995</v>
      </c>
      <c r="AK116" s="264" t="s">
        <v>995</v>
      </c>
      <c r="AL116" s="264" t="s">
        <v>995</v>
      </c>
    </row>
    <row r="117" spans="1:38">
      <c r="A117" s="264">
        <v>8208</v>
      </c>
      <c r="B117" s="264" t="s">
        <v>789</v>
      </c>
      <c r="C117" s="264" t="s">
        <v>1592</v>
      </c>
      <c r="D117" s="264" t="s">
        <v>1004</v>
      </c>
      <c r="E117" s="264">
        <v>80020</v>
      </c>
      <c r="F117" s="264" t="s">
        <v>172</v>
      </c>
      <c r="G117" s="389">
        <v>22625</v>
      </c>
      <c r="H117" s="264">
        <v>62</v>
      </c>
      <c r="I117" s="389">
        <v>31131</v>
      </c>
      <c r="K117" s="390">
        <v>44166</v>
      </c>
      <c r="L117" s="264">
        <v>70</v>
      </c>
      <c r="M117" s="264" t="s">
        <v>1024</v>
      </c>
      <c r="N117" s="264">
        <v>1</v>
      </c>
      <c r="O117" s="264" t="s">
        <v>829</v>
      </c>
      <c r="P117" s="264" t="s">
        <v>994</v>
      </c>
      <c r="Q117" s="264" t="s">
        <v>1009</v>
      </c>
      <c r="R117" s="264" t="s">
        <v>1010</v>
      </c>
      <c r="S117" s="264" t="s">
        <v>996</v>
      </c>
      <c r="T117" s="264" t="s">
        <v>997</v>
      </c>
      <c r="U117" s="264" t="s">
        <v>995</v>
      </c>
      <c r="V117" s="264" t="s">
        <v>995</v>
      </c>
      <c r="W117" s="264" t="s">
        <v>995</v>
      </c>
      <c r="X117" s="264" t="s">
        <v>828</v>
      </c>
      <c r="Y117" s="264" t="s">
        <v>998</v>
      </c>
      <c r="Z117" s="264">
        <v>31</v>
      </c>
      <c r="AA117" s="264" t="s">
        <v>999</v>
      </c>
      <c r="AB117" s="264">
        <v>31</v>
      </c>
      <c r="AC117" s="264" t="s">
        <v>999</v>
      </c>
      <c r="AD117" s="264" t="s">
        <v>1000</v>
      </c>
      <c r="AE117" s="264" t="s">
        <v>1000</v>
      </c>
      <c r="AF117" s="264" t="s">
        <v>1000</v>
      </c>
      <c r="AG117" s="264" t="s">
        <v>1000</v>
      </c>
      <c r="AH117" s="264" t="s">
        <v>1002</v>
      </c>
      <c r="AI117" s="264" t="s">
        <v>1002</v>
      </c>
      <c r="AJ117" s="264" t="s">
        <v>995</v>
      </c>
      <c r="AK117" s="264" t="s">
        <v>995</v>
      </c>
      <c r="AL117" s="264" t="s">
        <v>995</v>
      </c>
    </row>
    <row r="118" spans="1:38">
      <c r="A118" s="264">
        <v>8237</v>
      </c>
      <c r="B118" s="264" t="s">
        <v>1593</v>
      </c>
      <c r="C118" s="264" t="s">
        <v>1594</v>
      </c>
      <c r="D118" s="264" t="s">
        <v>1004</v>
      </c>
      <c r="E118" s="264">
        <v>80020</v>
      </c>
      <c r="F118" s="264" t="s">
        <v>172</v>
      </c>
      <c r="G118" s="389">
        <v>23149</v>
      </c>
      <c r="H118" s="264">
        <v>60</v>
      </c>
      <c r="I118" s="389">
        <v>45065</v>
      </c>
      <c r="K118" s="390">
        <v>44896</v>
      </c>
      <c r="L118" s="264">
        <v>70</v>
      </c>
      <c r="M118" s="264" t="s">
        <v>1024</v>
      </c>
      <c r="N118" s="264">
        <v>1</v>
      </c>
      <c r="O118" s="264" t="s">
        <v>829</v>
      </c>
      <c r="P118" s="264" t="s">
        <v>994</v>
      </c>
      <c r="Q118" s="264" t="s">
        <v>1009</v>
      </c>
      <c r="R118" s="264" t="s">
        <v>1010</v>
      </c>
      <c r="S118" s="264" t="s">
        <v>996</v>
      </c>
      <c r="T118" s="264" t="s">
        <v>997</v>
      </c>
      <c r="U118" s="264" t="s">
        <v>995</v>
      </c>
      <c r="V118" s="264" t="s">
        <v>995</v>
      </c>
      <c r="W118" s="264" t="s">
        <v>995</v>
      </c>
      <c r="X118" s="264" t="s">
        <v>828</v>
      </c>
      <c r="Y118" s="264" t="s">
        <v>998</v>
      </c>
      <c r="Z118" s="264">
        <v>31</v>
      </c>
      <c r="AA118" s="264" t="s">
        <v>999</v>
      </c>
      <c r="AB118" s="264">
        <v>31</v>
      </c>
      <c r="AC118" s="264" t="s">
        <v>999</v>
      </c>
      <c r="AD118" s="264" t="s">
        <v>1000</v>
      </c>
      <c r="AE118" s="264" t="s">
        <v>1000</v>
      </c>
      <c r="AF118" s="264" t="s">
        <v>1000</v>
      </c>
      <c r="AG118" s="264" t="s">
        <v>1000</v>
      </c>
      <c r="AH118" s="264" t="s">
        <v>1002</v>
      </c>
      <c r="AI118" s="264" t="s">
        <v>1002</v>
      </c>
      <c r="AJ118" s="264" t="s">
        <v>995</v>
      </c>
      <c r="AK118" s="264" t="s">
        <v>995</v>
      </c>
      <c r="AL118" s="264" t="s">
        <v>995</v>
      </c>
    </row>
    <row r="119" spans="1:38">
      <c r="A119" s="264">
        <v>1266</v>
      </c>
      <c r="B119" s="264" t="s">
        <v>174</v>
      </c>
      <c r="C119" s="264" t="s">
        <v>1579</v>
      </c>
      <c r="D119" s="264" t="s">
        <v>1004</v>
      </c>
      <c r="E119" s="264">
        <v>80000</v>
      </c>
      <c r="F119" s="264" t="s">
        <v>172</v>
      </c>
      <c r="G119" s="389">
        <v>25227</v>
      </c>
      <c r="H119" s="264">
        <v>55</v>
      </c>
      <c r="I119" s="389">
        <v>33212</v>
      </c>
      <c r="K119" s="390">
        <v>42278</v>
      </c>
      <c r="L119" s="264">
        <v>20</v>
      </c>
      <c r="M119" s="264" t="s">
        <v>1015</v>
      </c>
      <c r="N119" s="264">
        <v>1</v>
      </c>
      <c r="O119" s="264" t="s">
        <v>829</v>
      </c>
      <c r="P119" s="264" t="s">
        <v>994</v>
      </c>
      <c r="Q119" s="264" t="s">
        <v>1009</v>
      </c>
      <c r="R119" s="264" t="s">
        <v>1010</v>
      </c>
      <c r="S119" s="264" t="s">
        <v>996</v>
      </c>
      <c r="T119" s="264" t="s">
        <v>997</v>
      </c>
      <c r="U119" s="264" t="s">
        <v>995</v>
      </c>
      <c r="V119" s="264" t="s">
        <v>995</v>
      </c>
      <c r="W119" s="264" t="s">
        <v>995</v>
      </c>
      <c r="X119" s="264" t="s">
        <v>828</v>
      </c>
      <c r="Y119" s="264" t="s">
        <v>998</v>
      </c>
      <c r="Z119" s="264">
        <v>31</v>
      </c>
      <c r="AA119" s="264" t="s">
        <v>999</v>
      </c>
      <c r="AB119" s="264">
        <v>31</v>
      </c>
      <c r="AC119" s="264" t="s">
        <v>999</v>
      </c>
      <c r="AD119" s="264" t="s">
        <v>1000</v>
      </c>
      <c r="AE119" s="264" t="s">
        <v>1000</v>
      </c>
      <c r="AF119" s="264" t="s">
        <v>1000</v>
      </c>
      <c r="AG119" s="264" t="s">
        <v>1000</v>
      </c>
      <c r="AH119" s="264" t="s">
        <v>1002</v>
      </c>
      <c r="AI119" s="264" t="s">
        <v>1002</v>
      </c>
      <c r="AJ119" s="264" t="s">
        <v>995</v>
      </c>
      <c r="AK119" s="264" t="s">
        <v>995</v>
      </c>
      <c r="AL119" s="264" t="s">
        <v>995</v>
      </c>
    </row>
    <row r="120" spans="1:38">
      <c r="A120" s="264">
        <v>1342</v>
      </c>
      <c r="B120" s="264" t="s">
        <v>249</v>
      </c>
      <c r="C120" s="264" t="s">
        <v>1580</v>
      </c>
      <c r="D120" s="264" t="s">
        <v>991</v>
      </c>
      <c r="E120" s="264">
        <v>80000</v>
      </c>
      <c r="F120" s="264" t="s">
        <v>172</v>
      </c>
      <c r="G120" s="389">
        <v>27972</v>
      </c>
      <c r="H120" s="264">
        <v>47</v>
      </c>
      <c r="I120" s="389">
        <v>37644</v>
      </c>
      <c r="K120" s="390">
        <v>42278</v>
      </c>
      <c r="L120" s="264">
        <v>20</v>
      </c>
      <c r="M120" s="264" t="s">
        <v>1015</v>
      </c>
      <c r="N120" s="264">
        <v>1</v>
      </c>
      <c r="O120" s="264" t="s">
        <v>829</v>
      </c>
      <c r="P120" s="264" t="s">
        <v>994</v>
      </c>
      <c r="Q120" s="264" t="s">
        <v>1009</v>
      </c>
      <c r="R120" s="264" t="s">
        <v>1010</v>
      </c>
      <c r="S120" s="264" t="s">
        <v>996</v>
      </c>
      <c r="T120" s="264" t="s">
        <v>997</v>
      </c>
      <c r="U120" s="264" t="s">
        <v>995</v>
      </c>
      <c r="V120" s="264" t="s">
        <v>995</v>
      </c>
      <c r="W120" s="264" t="s">
        <v>995</v>
      </c>
      <c r="X120" s="264" t="s">
        <v>828</v>
      </c>
      <c r="Y120" s="264" t="s">
        <v>998</v>
      </c>
      <c r="Z120" s="264">
        <v>31</v>
      </c>
      <c r="AA120" s="264" t="s">
        <v>999</v>
      </c>
      <c r="AB120" s="264">
        <v>31</v>
      </c>
      <c r="AC120" s="264" t="s">
        <v>999</v>
      </c>
      <c r="AD120" s="264" t="s">
        <v>1000</v>
      </c>
      <c r="AE120" s="264" t="s">
        <v>1000</v>
      </c>
      <c r="AF120" s="264" t="s">
        <v>1000</v>
      </c>
      <c r="AG120" s="264" t="s">
        <v>1000</v>
      </c>
      <c r="AH120" s="264" t="s">
        <v>1002</v>
      </c>
      <c r="AI120" s="264" t="s">
        <v>1002</v>
      </c>
      <c r="AJ120" s="264" t="s">
        <v>995</v>
      </c>
      <c r="AK120" s="264" t="s">
        <v>995</v>
      </c>
      <c r="AL120" s="264" t="s">
        <v>995</v>
      </c>
    </row>
    <row r="121" spans="1:38">
      <c r="A121" s="264">
        <v>1386</v>
      </c>
      <c r="B121" s="264" t="s">
        <v>52</v>
      </c>
      <c r="C121" s="264" t="s">
        <v>1581</v>
      </c>
      <c r="D121" s="264" t="s">
        <v>1004</v>
      </c>
      <c r="E121" s="264">
        <v>80000</v>
      </c>
      <c r="F121" s="264" t="s">
        <v>172</v>
      </c>
      <c r="G121" s="389">
        <v>29760</v>
      </c>
      <c r="H121" s="264">
        <v>42</v>
      </c>
      <c r="I121" s="389">
        <v>41568</v>
      </c>
      <c r="K121" s="390">
        <v>42278</v>
      </c>
      <c r="L121" s="264">
        <v>20</v>
      </c>
      <c r="M121" s="264" t="s">
        <v>1015</v>
      </c>
      <c r="N121" s="264">
        <v>1</v>
      </c>
      <c r="O121" s="264" t="s">
        <v>829</v>
      </c>
      <c r="P121" s="264" t="s">
        <v>994</v>
      </c>
      <c r="Q121" s="264" t="s">
        <v>1009</v>
      </c>
      <c r="R121" s="264" t="s">
        <v>1010</v>
      </c>
      <c r="S121" s="264" t="s">
        <v>996</v>
      </c>
      <c r="T121" s="264" t="s">
        <v>997</v>
      </c>
      <c r="U121" s="264" t="s">
        <v>995</v>
      </c>
      <c r="V121" s="264" t="s">
        <v>995</v>
      </c>
      <c r="W121" s="264" t="s">
        <v>995</v>
      </c>
      <c r="X121" s="264" t="s">
        <v>828</v>
      </c>
      <c r="Y121" s="264" t="s">
        <v>998</v>
      </c>
      <c r="Z121" s="264">
        <v>31</v>
      </c>
      <c r="AA121" s="264" t="s">
        <v>999</v>
      </c>
      <c r="AB121" s="264">
        <v>31</v>
      </c>
      <c r="AC121" s="264" t="s">
        <v>999</v>
      </c>
      <c r="AD121" s="264" t="s">
        <v>1000</v>
      </c>
      <c r="AE121" s="264" t="s">
        <v>1000</v>
      </c>
      <c r="AF121" s="264" t="s">
        <v>1000</v>
      </c>
      <c r="AG121" s="264" t="s">
        <v>1000</v>
      </c>
      <c r="AH121" s="264" t="s">
        <v>1002</v>
      </c>
      <c r="AI121" s="264" t="s">
        <v>1002</v>
      </c>
      <c r="AJ121" s="264" t="s">
        <v>995</v>
      </c>
      <c r="AK121" s="264" t="s">
        <v>995</v>
      </c>
      <c r="AL121" s="264" t="s">
        <v>995</v>
      </c>
    </row>
    <row r="122" spans="1:38">
      <c r="A122" s="264">
        <v>2761</v>
      </c>
      <c r="B122" s="264" t="s">
        <v>184</v>
      </c>
      <c r="C122" s="264" t="s">
        <v>1582</v>
      </c>
      <c r="D122" s="264" t="s">
        <v>1004</v>
      </c>
      <c r="E122" s="264">
        <v>80000</v>
      </c>
      <c r="F122" s="264" t="s">
        <v>172</v>
      </c>
      <c r="G122" s="389">
        <v>23398</v>
      </c>
      <c r="H122" s="264">
        <v>60</v>
      </c>
      <c r="I122" s="389">
        <v>31497</v>
      </c>
      <c r="K122" s="390">
        <v>45323</v>
      </c>
      <c r="L122" s="264">
        <v>20</v>
      </c>
      <c r="M122" s="264" t="s">
        <v>1015</v>
      </c>
      <c r="N122" s="264">
        <v>1</v>
      </c>
      <c r="O122" s="264" t="s">
        <v>829</v>
      </c>
      <c r="P122" s="264" t="s">
        <v>994</v>
      </c>
      <c r="Q122" s="264" t="s">
        <v>1009</v>
      </c>
      <c r="R122" s="264" t="s">
        <v>1010</v>
      </c>
      <c r="S122" s="264" t="s">
        <v>996</v>
      </c>
      <c r="T122" s="264" t="s">
        <v>997</v>
      </c>
      <c r="U122" s="264" t="s">
        <v>995</v>
      </c>
      <c r="V122" s="264" t="s">
        <v>995</v>
      </c>
      <c r="W122" s="264" t="s">
        <v>995</v>
      </c>
      <c r="X122" s="264" t="s">
        <v>828</v>
      </c>
      <c r="Y122" s="264" t="s">
        <v>998</v>
      </c>
      <c r="Z122" s="264">
        <v>31</v>
      </c>
      <c r="AA122" s="264" t="s">
        <v>999</v>
      </c>
      <c r="AB122" s="264">
        <v>31</v>
      </c>
      <c r="AC122" s="264" t="s">
        <v>999</v>
      </c>
      <c r="AD122" s="264" t="s">
        <v>1000</v>
      </c>
      <c r="AE122" s="264" t="s">
        <v>1000</v>
      </c>
      <c r="AF122" s="264" t="s">
        <v>1000</v>
      </c>
      <c r="AG122" s="264" t="s">
        <v>1001</v>
      </c>
      <c r="AH122" s="264" t="s">
        <v>1002</v>
      </c>
      <c r="AI122" s="264" t="s">
        <v>1002</v>
      </c>
      <c r="AJ122" s="264" t="s">
        <v>995</v>
      </c>
      <c r="AK122" s="264" t="s">
        <v>995</v>
      </c>
      <c r="AL122" s="264" t="s">
        <v>995</v>
      </c>
    </row>
    <row r="123" spans="1:38">
      <c r="A123" s="264">
        <v>3316</v>
      </c>
      <c r="B123" s="264" t="s">
        <v>195</v>
      </c>
      <c r="C123" s="264" t="s">
        <v>1583</v>
      </c>
      <c r="D123" s="264" t="s">
        <v>1004</v>
      </c>
      <c r="E123" s="264">
        <v>80000</v>
      </c>
      <c r="F123" s="264" t="s">
        <v>172</v>
      </c>
      <c r="G123" s="389">
        <v>31985</v>
      </c>
      <c r="H123" s="264">
        <v>36</v>
      </c>
      <c r="I123" s="389">
        <v>40258</v>
      </c>
      <c r="K123" s="390">
        <v>42278</v>
      </c>
      <c r="L123" s="264">
        <v>20</v>
      </c>
      <c r="M123" s="264" t="s">
        <v>1015</v>
      </c>
      <c r="N123" s="264">
        <v>1</v>
      </c>
      <c r="O123" s="264" t="s">
        <v>829</v>
      </c>
      <c r="P123" s="264" t="s">
        <v>994</v>
      </c>
      <c r="Q123" s="264" t="s">
        <v>1009</v>
      </c>
      <c r="R123" s="264" t="s">
        <v>1010</v>
      </c>
      <c r="S123" s="264" t="s">
        <v>996</v>
      </c>
      <c r="T123" s="264" t="s">
        <v>997</v>
      </c>
      <c r="U123" s="264" t="s">
        <v>995</v>
      </c>
      <c r="V123" s="264" t="s">
        <v>995</v>
      </c>
      <c r="W123" s="264" t="s">
        <v>995</v>
      </c>
      <c r="X123" s="264" t="s">
        <v>828</v>
      </c>
      <c r="Y123" s="264" t="s">
        <v>998</v>
      </c>
      <c r="Z123" s="264">
        <v>31</v>
      </c>
      <c r="AA123" s="264" t="s">
        <v>999</v>
      </c>
      <c r="AB123" s="264">
        <v>31</v>
      </c>
      <c r="AC123" s="264" t="s">
        <v>999</v>
      </c>
      <c r="AD123" s="264" t="s">
        <v>1000</v>
      </c>
      <c r="AE123" s="264" t="s">
        <v>1000</v>
      </c>
      <c r="AF123" s="264" t="s">
        <v>1000</v>
      </c>
      <c r="AG123" s="264" t="s">
        <v>1000</v>
      </c>
      <c r="AH123" s="264" t="s">
        <v>1002</v>
      </c>
      <c r="AI123" s="264" t="s">
        <v>1002</v>
      </c>
      <c r="AJ123" s="264" t="s">
        <v>995</v>
      </c>
      <c r="AK123" s="264" t="s">
        <v>995</v>
      </c>
      <c r="AL123" s="264" t="s">
        <v>995</v>
      </c>
    </row>
    <row r="124" spans="1:38">
      <c r="A124" s="264">
        <v>8181</v>
      </c>
      <c r="B124" s="264" t="s">
        <v>566</v>
      </c>
      <c r="C124" s="264" t="s">
        <v>1595</v>
      </c>
      <c r="D124" s="264" t="s">
        <v>1004</v>
      </c>
      <c r="E124" s="264">
        <v>80020</v>
      </c>
      <c r="F124" s="264" t="s">
        <v>172</v>
      </c>
      <c r="G124" s="389">
        <v>21575</v>
      </c>
      <c r="H124" s="264">
        <v>65</v>
      </c>
      <c r="I124" s="389">
        <v>30398</v>
      </c>
      <c r="K124" s="390">
        <v>43497</v>
      </c>
      <c r="L124" s="264">
        <v>70</v>
      </c>
      <c r="M124" s="264" t="s">
        <v>1024</v>
      </c>
      <c r="N124" s="264">
        <v>1</v>
      </c>
      <c r="O124" s="264" t="s">
        <v>829</v>
      </c>
      <c r="P124" s="264" t="s">
        <v>994</v>
      </c>
      <c r="Q124" s="264" t="s">
        <v>1009</v>
      </c>
      <c r="R124" s="264" t="s">
        <v>1010</v>
      </c>
      <c r="S124" s="264" t="s">
        <v>996</v>
      </c>
      <c r="T124" s="264" t="s">
        <v>997</v>
      </c>
      <c r="U124" s="264" t="s">
        <v>995</v>
      </c>
      <c r="V124" s="264" t="s">
        <v>995</v>
      </c>
      <c r="W124" s="264" t="s">
        <v>995</v>
      </c>
      <c r="X124" s="264" t="s">
        <v>828</v>
      </c>
      <c r="Y124" s="264" t="s">
        <v>998</v>
      </c>
      <c r="Z124" s="264">
        <v>31</v>
      </c>
      <c r="AA124" s="264" t="s">
        <v>999</v>
      </c>
      <c r="AB124" s="264">
        <v>31</v>
      </c>
      <c r="AC124" s="264" t="s">
        <v>999</v>
      </c>
      <c r="AD124" s="264" t="s">
        <v>1000</v>
      </c>
      <c r="AE124" s="264" t="s">
        <v>1000</v>
      </c>
      <c r="AF124" s="264" t="s">
        <v>1000</v>
      </c>
      <c r="AG124" s="264" t="s">
        <v>1000</v>
      </c>
      <c r="AH124" s="264" t="s">
        <v>1002</v>
      </c>
      <c r="AI124" s="264" t="s">
        <v>1002</v>
      </c>
      <c r="AJ124" s="264" t="s">
        <v>995</v>
      </c>
      <c r="AK124" s="264" t="s">
        <v>995</v>
      </c>
      <c r="AL124" s="264" t="s">
        <v>995</v>
      </c>
    </row>
    <row r="125" spans="1:38">
      <c r="A125" s="264">
        <v>8254</v>
      </c>
      <c r="B125" s="264" t="s">
        <v>1607</v>
      </c>
      <c r="C125" s="264" t="s">
        <v>1582</v>
      </c>
      <c r="D125" s="264" t="s">
        <v>1004</v>
      </c>
      <c r="E125" s="264">
        <v>80020</v>
      </c>
      <c r="F125" s="264" t="s">
        <v>172</v>
      </c>
      <c r="G125" s="389">
        <v>23764</v>
      </c>
      <c r="H125" s="264">
        <v>59</v>
      </c>
      <c r="I125" s="389">
        <v>45314</v>
      </c>
      <c r="K125" s="390">
        <v>45323</v>
      </c>
      <c r="L125" s="264">
        <v>70</v>
      </c>
      <c r="M125" s="264" t="s">
        <v>1024</v>
      </c>
      <c r="N125" s="264">
        <v>1</v>
      </c>
      <c r="O125" s="264" t="s">
        <v>829</v>
      </c>
      <c r="P125" s="264" t="s">
        <v>994</v>
      </c>
      <c r="Q125" s="264" t="s">
        <v>1009</v>
      </c>
      <c r="R125" s="264" t="s">
        <v>1010</v>
      </c>
      <c r="S125" s="264" t="s">
        <v>996</v>
      </c>
      <c r="T125" s="264" t="s">
        <v>997</v>
      </c>
      <c r="U125" s="264" t="s">
        <v>995</v>
      </c>
      <c r="V125" s="264" t="s">
        <v>995</v>
      </c>
      <c r="W125" s="264" t="s">
        <v>995</v>
      </c>
      <c r="X125" s="264" t="s">
        <v>828</v>
      </c>
      <c r="Y125" s="264" t="s">
        <v>998</v>
      </c>
      <c r="Z125" s="264">
        <v>31</v>
      </c>
      <c r="AA125" s="264" t="s">
        <v>999</v>
      </c>
      <c r="AB125" s="264">
        <v>31</v>
      </c>
      <c r="AC125" s="264" t="s">
        <v>999</v>
      </c>
      <c r="AD125" s="264" t="s">
        <v>1000</v>
      </c>
      <c r="AE125" s="264" t="s">
        <v>1000</v>
      </c>
      <c r="AF125" s="264" t="s">
        <v>1000</v>
      </c>
      <c r="AG125" s="264" t="s">
        <v>1000</v>
      </c>
      <c r="AH125" s="264" t="s">
        <v>1002</v>
      </c>
      <c r="AI125" s="264" t="s">
        <v>1002</v>
      </c>
      <c r="AJ125" s="264" t="s">
        <v>995</v>
      </c>
      <c r="AK125" s="264" t="s">
        <v>995</v>
      </c>
      <c r="AL125" s="264" t="s">
        <v>995</v>
      </c>
    </row>
    <row r="126" spans="1:38">
      <c r="A126" s="264">
        <v>3776</v>
      </c>
      <c r="B126" s="264" t="s">
        <v>768</v>
      </c>
      <c r="C126" s="264" t="s">
        <v>1070</v>
      </c>
      <c r="D126" s="264" t="s">
        <v>1004</v>
      </c>
      <c r="E126" s="264">
        <v>30000</v>
      </c>
      <c r="F126" s="264" t="s">
        <v>53</v>
      </c>
      <c r="G126" s="389">
        <v>24446</v>
      </c>
      <c r="H126" s="264">
        <v>57</v>
      </c>
      <c r="I126" s="389">
        <v>32778</v>
      </c>
      <c r="K126" s="390">
        <v>42278</v>
      </c>
      <c r="L126" s="264">
        <v>20</v>
      </c>
      <c r="M126" s="264" t="s">
        <v>1015</v>
      </c>
      <c r="N126" s="264">
        <v>3</v>
      </c>
      <c r="O126" s="264" t="s">
        <v>1008</v>
      </c>
      <c r="P126" s="264" t="s">
        <v>994</v>
      </c>
      <c r="Q126" s="264" t="s">
        <v>1009</v>
      </c>
      <c r="R126" s="264" t="s">
        <v>1010</v>
      </c>
      <c r="S126" s="264" t="s">
        <v>996</v>
      </c>
      <c r="T126" s="264" t="s">
        <v>997</v>
      </c>
      <c r="U126" s="264" t="s">
        <v>995</v>
      </c>
      <c r="V126" s="264" t="s">
        <v>995</v>
      </c>
      <c r="W126" s="264" t="s">
        <v>995</v>
      </c>
      <c r="X126" s="264" t="s">
        <v>828</v>
      </c>
      <c r="Y126" s="264" t="s">
        <v>998</v>
      </c>
      <c r="Z126" s="264">
        <v>31</v>
      </c>
      <c r="AA126" s="264" t="s">
        <v>999</v>
      </c>
      <c r="AB126" s="264">
        <v>31</v>
      </c>
      <c r="AC126" s="264" t="s">
        <v>999</v>
      </c>
      <c r="AD126" s="264" t="s">
        <v>1001</v>
      </c>
      <c r="AE126" s="264" t="s">
        <v>1001</v>
      </c>
      <c r="AF126" s="264" t="s">
        <v>1001</v>
      </c>
      <c r="AG126" s="264" t="s">
        <v>1001</v>
      </c>
      <c r="AH126" s="264" t="s">
        <v>1002</v>
      </c>
      <c r="AI126" s="264" t="s">
        <v>1002</v>
      </c>
      <c r="AJ126" s="264" t="s">
        <v>995</v>
      </c>
      <c r="AK126" s="264" t="s">
        <v>995</v>
      </c>
      <c r="AL126" s="264" t="s">
        <v>995</v>
      </c>
    </row>
    <row r="127" spans="1:38">
      <c r="A127" s="264">
        <v>1292</v>
      </c>
      <c r="B127" s="264" t="s">
        <v>54</v>
      </c>
      <c r="C127" s="264" t="s">
        <v>1381</v>
      </c>
      <c r="D127" s="264" t="s">
        <v>1004</v>
      </c>
      <c r="E127" s="264">
        <v>61000</v>
      </c>
      <c r="F127" s="264" t="s">
        <v>147</v>
      </c>
      <c r="G127" s="389">
        <v>26905</v>
      </c>
      <c r="H127" s="264">
        <v>50</v>
      </c>
      <c r="I127" s="389">
        <v>34414</v>
      </c>
      <c r="K127" s="390">
        <v>42278</v>
      </c>
      <c r="L127" s="264">
        <v>20</v>
      </c>
      <c r="M127" s="264" t="s">
        <v>1015</v>
      </c>
      <c r="N127" s="264">
        <v>1</v>
      </c>
      <c r="O127" s="264" t="s">
        <v>829</v>
      </c>
      <c r="P127" s="264" t="s">
        <v>994</v>
      </c>
      <c r="Q127" s="264" t="s">
        <v>1009</v>
      </c>
      <c r="R127" s="264" t="s">
        <v>1010</v>
      </c>
      <c r="S127" s="264" t="s">
        <v>996</v>
      </c>
      <c r="T127" s="264" t="s">
        <v>997</v>
      </c>
      <c r="U127" s="264" t="s">
        <v>995</v>
      </c>
      <c r="V127" s="264" t="s">
        <v>995</v>
      </c>
      <c r="W127" s="264" t="s">
        <v>995</v>
      </c>
      <c r="X127" s="264" t="s">
        <v>828</v>
      </c>
      <c r="Y127" s="264" t="s">
        <v>998</v>
      </c>
      <c r="Z127" s="264">
        <v>31</v>
      </c>
      <c r="AA127" s="264" t="s">
        <v>999</v>
      </c>
      <c r="AB127" s="264">
        <v>31</v>
      </c>
      <c r="AC127" s="264" t="s">
        <v>999</v>
      </c>
      <c r="AD127" s="264" t="s">
        <v>1000</v>
      </c>
      <c r="AE127" s="264" t="s">
        <v>1000</v>
      </c>
      <c r="AF127" s="264" t="s">
        <v>1000</v>
      </c>
      <c r="AG127" s="264" t="s">
        <v>1000</v>
      </c>
      <c r="AH127" s="264" t="s">
        <v>1002</v>
      </c>
      <c r="AI127" s="264" t="s">
        <v>1002</v>
      </c>
      <c r="AJ127" s="264" t="s">
        <v>995</v>
      </c>
      <c r="AK127" s="264" t="s">
        <v>995</v>
      </c>
      <c r="AL127" s="264" t="s">
        <v>995</v>
      </c>
    </row>
    <row r="128" spans="1:38">
      <c r="A128" s="264">
        <v>2967</v>
      </c>
      <c r="B128" s="264" t="s">
        <v>146</v>
      </c>
      <c r="C128" s="264" t="s">
        <v>1071</v>
      </c>
      <c r="D128" s="264" t="s">
        <v>1004</v>
      </c>
      <c r="E128" s="264">
        <v>30000</v>
      </c>
      <c r="F128" s="264" t="s">
        <v>53</v>
      </c>
      <c r="G128" s="389">
        <v>25376</v>
      </c>
      <c r="H128" s="264">
        <v>54</v>
      </c>
      <c r="I128" s="389">
        <v>34415</v>
      </c>
      <c r="K128" s="390">
        <v>42278</v>
      </c>
      <c r="L128" s="264">
        <v>20</v>
      </c>
      <c r="M128" s="264" t="s">
        <v>1015</v>
      </c>
      <c r="N128" s="264">
        <v>1</v>
      </c>
      <c r="O128" s="264" t="s">
        <v>829</v>
      </c>
      <c r="P128" s="264" t="s">
        <v>994</v>
      </c>
      <c r="Q128" s="264" t="s">
        <v>1009</v>
      </c>
      <c r="R128" s="264" t="s">
        <v>1010</v>
      </c>
      <c r="S128" s="264" t="s">
        <v>996</v>
      </c>
      <c r="T128" s="264" t="s">
        <v>997</v>
      </c>
      <c r="U128" s="264" t="s">
        <v>995</v>
      </c>
      <c r="V128" s="264" t="s">
        <v>995</v>
      </c>
      <c r="W128" s="264" t="s">
        <v>995</v>
      </c>
      <c r="X128" s="264" t="s">
        <v>828</v>
      </c>
      <c r="Y128" s="264" t="s">
        <v>998</v>
      </c>
      <c r="Z128" s="264">
        <v>31</v>
      </c>
      <c r="AA128" s="264" t="s">
        <v>999</v>
      </c>
      <c r="AB128" s="264">
        <v>31</v>
      </c>
      <c r="AC128" s="264" t="s">
        <v>999</v>
      </c>
      <c r="AD128" s="264" t="s">
        <v>1000</v>
      </c>
      <c r="AE128" s="264" t="s">
        <v>1000</v>
      </c>
      <c r="AF128" s="264" t="s">
        <v>1000</v>
      </c>
      <c r="AG128" s="264" t="s">
        <v>1000</v>
      </c>
      <c r="AH128" s="264" t="s">
        <v>1002</v>
      </c>
      <c r="AI128" s="264" t="s">
        <v>1002</v>
      </c>
      <c r="AJ128" s="264" t="s">
        <v>995</v>
      </c>
      <c r="AK128" s="264" t="s">
        <v>995</v>
      </c>
      <c r="AL128" s="264" t="s">
        <v>995</v>
      </c>
    </row>
    <row r="129" spans="1:38">
      <c r="A129" s="264">
        <v>1449</v>
      </c>
      <c r="B129" s="264" t="s">
        <v>1072</v>
      </c>
      <c r="C129" s="264" t="s">
        <v>1073</v>
      </c>
      <c r="D129" s="264" t="s">
        <v>991</v>
      </c>
      <c r="E129" s="264">
        <v>30000</v>
      </c>
      <c r="F129" s="264" t="s">
        <v>53</v>
      </c>
      <c r="G129" s="389">
        <v>36792</v>
      </c>
      <c r="H129" s="264">
        <v>23</v>
      </c>
      <c r="I129" s="389">
        <v>45108</v>
      </c>
      <c r="K129" s="390">
        <v>45139</v>
      </c>
      <c r="L129" s="264">
        <v>20</v>
      </c>
      <c r="M129" s="264" t="s">
        <v>1015</v>
      </c>
      <c r="N129" s="264">
        <v>1</v>
      </c>
      <c r="O129" s="264" t="s">
        <v>829</v>
      </c>
      <c r="P129" s="264" t="s">
        <v>994</v>
      </c>
      <c r="Q129" s="264" t="s">
        <v>1009</v>
      </c>
      <c r="R129" s="264" t="s">
        <v>1010</v>
      </c>
      <c r="S129" s="264" t="s">
        <v>996</v>
      </c>
      <c r="T129" s="264" t="s">
        <v>997</v>
      </c>
      <c r="U129" s="264" t="s">
        <v>995</v>
      </c>
      <c r="V129" s="264" t="s">
        <v>995</v>
      </c>
      <c r="W129" s="264" t="s">
        <v>995</v>
      </c>
      <c r="X129" s="264" t="s">
        <v>828</v>
      </c>
      <c r="Y129" s="264" t="s">
        <v>998</v>
      </c>
      <c r="Z129" s="264">
        <v>31</v>
      </c>
      <c r="AA129" s="264" t="s">
        <v>999</v>
      </c>
      <c r="AB129" s="264">
        <v>31</v>
      </c>
      <c r="AC129" s="264" t="s">
        <v>999</v>
      </c>
      <c r="AD129" s="264" t="s">
        <v>1000</v>
      </c>
      <c r="AE129" s="264" t="s">
        <v>1000</v>
      </c>
      <c r="AF129" s="264" t="s">
        <v>1000</v>
      </c>
      <c r="AG129" s="264" t="s">
        <v>1000</v>
      </c>
      <c r="AH129" s="264" t="s">
        <v>1002</v>
      </c>
      <c r="AI129" s="264" t="s">
        <v>1002</v>
      </c>
      <c r="AJ129" s="264" t="s">
        <v>995</v>
      </c>
      <c r="AK129" s="264" t="s">
        <v>995</v>
      </c>
      <c r="AL129" s="264" t="s">
        <v>995</v>
      </c>
    </row>
    <row r="130" spans="1:38">
      <c r="A130" s="264">
        <v>2932</v>
      </c>
      <c r="B130" s="264" t="s">
        <v>83</v>
      </c>
      <c r="C130" s="264" t="s">
        <v>1074</v>
      </c>
      <c r="D130" s="264" t="s">
        <v>1004</v>
      </c>
      <c r="E130" s="264">
        <v>30000</v>
      </c>
      <c r="F130" s="264" t="s">
        <v>53</v>
      </c>
      <c r="G130" s="389">
        <v>27436</v>
      </c>
      <c r="H130" s="264">
        <v>48</v>
      </c>
      <c r="I130" s="389">
        <v>34050</v>
      </c>
      <c r="K130" s="390">
        <v>42278</v>
      </c>
      <c r="L130" s="264">
        <v>20</v>
      </c>
      <c r="M130" s="264" t="s">
        <v>1015</v>
      </c>
      <c r="N130" s="264">
        <v>1</v>
      </c>
      <c r="O130" s="264" t="s">
        <v>829</v>
      </c>
      <c r="P130" s="264" t="s">
        <v>994</v>
      </c>
      <c r="Q130" s="264" t="s">
        <v>1009</v>
      </c>
      <c r="R130" s="264" t="s">
        <v>1010</v>
      </c>
      <c r="S130" s="264" t="s">
        <v>996</v>
      </c>
      <c r="T130" s="264" t="s">
        <v>997</v>
      </c>
      <c r="U130" s="264" t="s">
        <v>995</v>
      </c>
      <c r="V130" s="264" t="s">
        <v>995</v>
      </c>
      <c r="W130" s="264" t="s">
        <v>995</v>
      </c>
      <c r="X130" s="264" t="s">
        <v>828</v>
      </c>
      <c r="Y130" s="264" t="s">
        <v>998</v>
      </c>
      <c r="Z130" s="264">
        <v>31</v>
      </c>
      <c r="AA130" s="264" t="s">
        <v>999</v>
      </c>
      <c r="AB130" s="264">
        <v>31</v>
      </c>
      <c r="AC130" s="264" t="s">
        <v>999</v>
      </c>
      <c r="AD130" s="264" t="s">
        <v>1000</v>
      </c>
      <c r="AE130" s="264" t="s">
        <v>1000</v>
      </c>
      <c r="AF130" s="264" t="s">
        <v>1000</v>
      </c>
      <c r="AG130" s="264" t="s">
        <v>1000</v>
      </c>
      <c r="AH130" s="264" t="s">
        <v>1002</v>
      </c>
      <c r="AI130" s="264" t="s">
        <v>1002</v>
      </c>
      <c r="AJ130" s="264" t="s">
        <v>995</v>
      </c>
      <c r="AK130" s="264" t="s">
        <v>995</v>
      </c>
      <c r="AL130" s="264" t="s">
        <v>995</v>
      </c>
    </row>
    <row r="131" spans="1:38">
      <c r="A131" s="264">
        <v>3020</v>
      </c>
      <c r="B131" s="264" t="s">
        <v>56</v>
      </c>
      <c r="C131" s="264" t="s">
        <v>1075</v>
      </c>
      <c r="D131" s="264" t="s">
        <v>1004</v>
      </c>
      <c r="E131" s="264">
        <v>30000</v>
      </c>
      <c r="F131" s="264" t="s">
        <v>53</v>
      </c>
      <c r="G131" s="389">
        <v>26185</v>
      </c>
      <c r="H131" s="264">
        <v>52</v>
      </c>
      <c r="I131" s="389">
        <v>34780</v>
      </c>
      <c r="K131" s="390">
        <v>42278</v>
      </c>
      <c r="L131" s="264">
        <v>20</v>
      </c>
      <c r="M131" s="264" t="s">
        <v>1015</v>
      </c>
      <c r="N131" s="264">
        <v>1</v>
      </c>
      <c r="O131" s="264" t="s">
        <v>829</v>
      </c>
      <c r="P131" s="264" t="s">
        <v>994</v>
      </c>
      <c r="Q131" s="264" t="s">
        <v>1009</v>
      </c>
      <c r="R131" s="264" t="s">
        <v>1010</v>
      </c>
      <c r="S131" s="264" t="s">
        <v>996</v>
      </c>
      <c r="T131" s="264" t="s">
        <v>997</v>
      </c>
      <c r="U131" s="264" t="s">
        <v>995</v>
      </c>
      <c r="V131" s="264" t="s">
        <v>995</v>
      </c>
      <c r="W131" s="264" t="s">
        <v>995</v>
      </c>
      <c r="X131" s="264" t="s">
        <v>828</v>
      </c>
      <c r="Y131" s="264" t="s">
        <v>998</v>
      </c>
      <c r="Z131" s="264">
        <v>31</v>
      </c>
      <c r="AA131" s="264" t="s">
        <v>999</v>
      </c>
      <c r="AB131" s="264">
        <v>31</v>
      </c>
      <c r="AC131" s="264" t="s">
        <v>999</v>
      </c>
      <c r="AD131" s="264" t="s">
        <v>1000</v>
      </c>
      <c r="AE131" s="264" t="s">
        <v>1000</v>
      </c>
      <c r="AF131" s="264" t="s">
        <v>1000</v>
      </c>
      <c r="AG131" s="264" t="s">
        <v>1000</v>
      </c>
      <c r="AH131" s="264" t="s">
        <v>1002</v>
      </c>
      <c r="AI131" s="264" t="s">
        <v>1002</v>
      </c>
      <c r="AJ131" s="264" t="s">
        <v>995</v>
      </c>
      <c r="AK131" s="264" t="s">
        <v>995</v>
      </c>
      <c r="AL131" s="264" t="s">
        <v>995</v>
      </c>
    </row>
    <row r="132" spans="1:38">
      <c r="A132" s="264">
        <v>3109</v>
      </c>
      <c r="B132" s="264" t="s">
        <v>57</v>
      </c>
      <c r="C132" s="264" t="s">
        <v>1076</v>
      </c>
      <c r="D132" s="264" t="s">
        <v>1004</v>
      </c>
      <c r="E132" s="264">
        <v>30000</v>
      </c>
      <c r="F132" s="264" t="s">
        <v>53</v>
      </c>
      <c r="G132" s="389">
        <v>28423</v>
      </c>
      <c r="H132" s="264">
        <v>46</v>
      </c>
      <c r="I132" s="389">
        <v>35145</v>
      </c>
      <c r="K132" s="390">
        <v>42278</v>
      </c>
      <c r="L132" s="264">
        <v>20</v>
      </c>
      <c r="M132" s="264" t="s">
        <v>1015</v>
      </c>
      <c r="N132" s="264">
        <v>1</v>
      </c>
      <c r="O132" s="264" t="s">
        <v>829</v>
      </c>
      <c r="P132" s="264" t="s">
        <v>994</v>
      </c>
      <c r="Q132" s="264" t="s">
        <v>1009</v>
      </c>
      <c r="R132" s="264" t="s">
        <v>1010</v>
      </c>
      <c r="S132" s="264" t="s">
        <v>996</v>
      </c>
      <c r="T132" s="264" t="s">
        <v>997</v>
      </c>
      <c r="U132" s="264" t="s">
        <v>995</v>
      </c>
      <c r="V132" s="264" t="s">
        <v>995</v>
      </c>
      <c r="W132" s="264" t="s">
        <v>995</v>
      </c>
      <c r="X132" s="264" t="s">
        <v>828</v>
      </c>
      <c r="Y132" s="264" t="s">
        <v>998</v>
      </c>
      <c r="Z132" s="264">
        <v>31</v>
      </c>
      <c r="AA132" s="264" t="s">
        <v>999</v>
      </c>
      <c r="AB132" s="264">
        <v>31</v>
      </c>
      <c r="AC132" s="264" t="s">
        <v>999</v>
      </c>
      <c r="AD132" s="264" t="s">
        <v>1000</v>
      </c>
      <c r="AE132" s="264" t="s">
        <v>1000</v>
      </c>
      <c r="AF132" s="264" t="s">
        <v>1000</v>
      </c>
      <c r="AG132" s="264" t="s">
        <v>1000</v>
      </c>
      <c r="AH132" s="264" t="s">
        <v>1002</v>
      </c>
      <c r="AI132" s="264" t="s">
        <v>1002</v>
      </c>
      <c r="AJ132" s="264" t="s">
        <v>995</v>
      </c>
      <c r="AK132" s="264" t="s">
        <v>1010</v>
      </c>
      <c r="AL132" s="264" t="s">
        <v>995</v>
      </c>
    </row>
    <row r="133" spans="1:38">
      <c r="A133" s="264">
        <v>3195</v>
      </c>
      <c r="B133" s="264" t="s">
        <v>59</v>
      </c>
      <c r="C133" s="264" t="s">
        <v>1077</v>
      </c>
      <c r="D133" s="264" t="s">
        <v>1004</v>
      </c>
      <c r="E133" s="264">
        <v>30000</v>
      </c>
      <c r="F133" s="264" t="s">
        <v>53</v>
      </c>
      <c r="G133" s="389">
        <v>26124</v>
      </c>
      <c r="H133" s="264">
        <v>52</v>
      </c>
      <c r="I133" s="389">
        <v>37701</v>
      </c>
      <c r="K133" s="390">
        <v>42278</v>
      </c>
      <c r="L133" s="264">
        <v>20</v>
      </c>
      <c r="M133" s="264" t="s">
        <v>1015</v>
      </c>
      <c r="N133" s="264">
        <v>1</v>
      </c>
      <c r="O133" s="264" t="s">
        <v>829</v>
      </c>
      <c r="P133" s="264" t="s">
        <v>994</v>
      </c>
      <c r="Q133" s="264" t="s">
        <v>1009</v>
      </c>
      <c r="R133" s="264" t="s">
        <v>1010</v>
      </c>
      <c r="S133" s="264" t="s">
        <v>996</v>
      </c>
      <c r="T133" s="264" t="s">
        <v>997</v>
      </c>
      <c r="U133" s="264" t="s">
        <v>995</v>
      </c>
      <c r="V133" s="264" t="s">
        <v>995</v>
      </c>
      <c r="W133" s="264" t="s">
        <v>995</v>
      </c>
      <c r="X133" s="264" t="s">
        <v>828</v>
      </c>
      <c r="Y133" s="264" t="s">
        <v>998</v>
      </c>
      <c r="Z133" s="264">
        <v>31</v>
      </c>
      <c r="AA133" s="264" t="s">
        <v>999</v>
      </c>
      <c r="AB133" s="264">
        <v>31</v>
      </c>
      <c r="AC133" s="264" t="s">
        <v>999</v>
      </c>
      <c r="AD133" s="264" t="s">
        <v>1000</v>
      </c>
      <c r="AE133" s="264" t="s">
        <v>1000</v>
      </c>
      <c r="AF133" s="264" t="s">
        <v>1000</v>
      </c>
      <c r="AG133" s="264" t="s">
        <v>1000</v>
      </c>
      <c r="AH133" s="264" t="s">
        <v>1002</v>
      </c>
      <c r="AI133" s="264" t="s">
        <v>1002</v>
      </c>
      <c r="AJ133" s="264" t="s">
        <v>995</v>
      </c>
      <c r="AK133" s="264" t="s">
        <v>995</v>
      </c>
      <c r="AL133" s="264" t="s">
        <v>995</v>
      </c>
    </row>
    <row r="134" spans="1:38">
      <c r="A134" s="264">
        <v>3214</v>
      </c>
      <c r="B134" s="264" t="s">
        <v>61</v>
      </c>
      <c r="C134" s="264" t="s">
        <v>1078</v>
      </c>
      <c r="D134" s="264" t="s">
        <v>1004</v>
      </c>
      <c r="E134" s="264">
        <v>30000</v>
      </c>
      <c r="F134" s="264" t="s">
        <v>53</v>
      </c>
      <c r="G134" s="389">
        <v>28497</v>
      </c>
      <c r="H134" s="264">
        <v>46</v>
      </c>
      <c r="I134" s="389">
        <v>38068</v>
      </c>
      <c r="K134" s="390">
        <v>42278</v>
      </c>
      <c r="L134" s="264">
        <v>20</v>
      </c>
      <c r="M134" s="264" t="s">
        <v>1015</v>
      </c>
      <c r="N134" s="264">
        <v>1</v>
      </c>
      <c r="O134" s="264" t="s">
        <v>829</v>
      </c>
      <c r="P134" s="264" t="s">
        <v>994</v>
      </c>
      <c r="Q134" s="264" t="s">
        <v>1009</v>
      </c>
      <c r="R134" s="264" t="s">
        <v>1010</v>
      </c>
      <c r="S134" s="264" t="s">
        <v>996</v>
      </c>
      <c r="T134" s="264" t="s">
        <v>997</v>
      </c>
      <c r="U134" s="264" t="s">
        <v>995</v>
      </c>
      <c r="V134" s="264" t="s">
        <v>995</v>
      </c>
      <c r="W134" s="264" t="s">
        <v>995</v>
      </c>
      <c r="X134" s="264" t="s">
        <v>828</v>
      </c>
      <c r="Y134" s="264" t="s">
        <v>998</v>
      </c>
      <c r="Z134" s="264">
        <v>31</v>
      </c>
      <c r="AA134" s="264" t="s">
        <v>999</v>
      </c>
      <c r="AB134" s="264">
        <v>31</v>
      </c>
      <c r="AC134" s="264" t="s">
        <v>999</v>
      </c>
      <c r="AD134" s="264" t="s">
        <v>1000</v>
      </c>
      <c r="AE134" s="264" t="s">
        <v>1000</v>
      </c>
      <c r="AF134" s="264" t="s">
        <v>1000</v>
      </c>
      <c r="AG134" s="264" t="s">
        <v>1000</v>
      </c>
      <c r="AH134" s="264" t="s">
        <v>1002</v>
      </c>
      <c r="AI134" s="264" t="s">
        <v>1002</v>
      </c>
      <c r="AJ134" s="264" t="s">
        <v>995</v>
      </c>
      <c r="AK134" s="264" t="s">
        <v>995</v>
      </c>
      <c r="AL134" s="264" t="s">
        <v>995</v>
      </c>
    </row>
    <row r="135" spans="1:38">
      <c r="A135" s="264">
        <v>3333</v>
      </c>
      <c r="B135" s="264" t="s">
        <v>63</v>
      </c>
      <c r="C135" s="264" t="s">
        <v>1079</v>
      </c>
      <c r="D135" s="264" t="s">
        <v>1004</v>
      </c>
      <c r="E135" s="264">
        <v>30000</v>
      </c>
      <c r="F135" s="264" t="s">
        <v>53</v>
      </c>
      <c r="G135" s="389">
        <v>32290</v>
      </c>
      <c r="H135" s="264">
        <v>35</v>
      </c>
      <c r="I135" s="389">
        <v>40623</v>
      </c>
      <c r="K135" s="390">
        <v>42278</v>
      </c>
      <c r="L135" s="264">
        <v>20</v>
      </c>
      <c r="M135" s="264" t="s">
        <v>1015</v>
      </c>
      <c r="N135" s="264">
        <v>1</v>
      </c>
      <c r="O135" s="264" t="s">
        <v>829</v>
      </c>
      <c r="P135" s="264" t="s">
        <v>994</v>
      </c>
      <c r="Q135" s="264" t="s">
        <v>1009</v>
      </c>
      <c r="R135" s="264" t="s">
        <v>1010</v>
      </c>
      <c r="S135" s="264" t="s">
        <v>996</v>
      </c>
      <c r="T135" s="264" t="s">
        <v>997</v>
      </c>
      <c r="U135" s="264" t="s">
        <v>995</v>
      </c>
      <c r="V135" s="264" t="s">
        <v>995</v>
      </c>
      <c r="W135" s="264" t="s">
        <v>995</v>
      </c>
      <c r="X135" s="264" t="s">
        <v>828</v>
      </c>
      <c r="Y135" s="264" t="s">
        <v>998</v>
      </c>
      <c r="Z135" s="264">
        <v>31</v>
      </c>
      <c r="AA135" s="264" t="s">
        <v>999</v>
      </c>
      <c r="AB135" s="264">
        <v>31</v>
      </c>
      <c r="AC135" s="264" t="s">
        <v>999</v>
      </c>
      <c r="AD135" s="264" t="s">
        <v>1000</v>
      </c>
      <c r="AE135" s="264" t="s">
        <v>1000</v>
      </c>
      <c r="AF135" s="264" t="s">
        <v>1000</v>
      </c>
      <c r="AG135" s="264" t="s">
        <v>1000</v>
      </c>
      <c r="AH135" s="264" t="s">
        <v>1002</v>
      </c>
      <c r="AI135" s="264" t="s">
        <v>1002</v>
      </c>
      <c r="AJ135" s="264" t="s">
        <v>995</v>
      </c>
      <c r="AK135" s="264" t="s">
        <v>995</v>
      </c>
      <c r="AL135" s="264" t="s">
        <v>995</v>
      </c>
    </row>
    <row r="136" spans="1:38">
      <c r="A136" s="264">
        <v>3411</v>
      </c>
      <c r="B136" s="264" t="s">
        <v>64</v>
      </c>
      <c r="C136" s="264" t="s">
        <v>1080</v>
      </c>
      <c r="D136" s="264" t="s">
        <v>1004</v>
      </c>
      <c r="E136" s="264">
        <v>30000</v>
      </c>
      <c r="F136" s="264" t="s">
        <v>53</v>
      </c>
      <c r="G136" s="389">
        <v>33597</v>
      </c>
      <c r="H136" s="264">
        <v>32</v>
      </c>
      <c r="I136" s="389">
        <v>41719</v>
      </c>
      <c r="K136" s="390">
        <v>42278</v>
      </c>
      <c r="L136" s="264">
        <v>20</v>
      </c>
      <c r="M136" s="264" t="s">
        <v>1015</v>
      </c>
      <c r="N136" s="264">
        <v>1</v>
      </c>
      <c r="O136" s="264" t="s">
        <v>829</v>
      </c>
      <c r="P136" s="264" t="s">
        <v>994</v>
      </c>
      <c r="Q136" s="264" t="s">
        <v>1009</v>
      </c>
      <c r="R136" s="264" t="s">
        <v>1010</v>
      </c>
      <c r="S136" s="264" t="s">
        <v>996</v>
      </c>
      <c r="T136" s="264" t="s">
        <v>997</v>
      </c>
      <c r="U136" s="264" t="s">
        <v>995</v>
      </c>
      <c r="V136" s="264" t="s">
        <v>995</v>
      </c>
      <c r="W136" s="264" t="s">
        <v>995</v>
      </c>
      <c r="X136" s="264" t="s">
        <v>828</v>
      </c>
      <c r="Y136" s="264" t="s">
        <v>998</v>
      </c>
      <c r="Z136" s="264">
        <v>31</v>
      </c>
      <c r="AA136" s="264" t="s">
        <v>999</v>
      </c>
      <c r="AB136" s="264">
        <v>31</v>
      </c>
      <c r="AC136" s="264" t="s">
        <v>999</v>
      </c>
      <c r="AD136" s="264" t="s">
        <v>1000</v>
      </c>
      <c r="AE136" s="264" t="s">
        <v>1000</v>
      </c>
      <c r="AF136" s="264" t="s">
        <v>1000</v>
      </c>
      <c r="AG136" s="264" t="s">
        <v>1000</v>
      </c>
      <c r="AH136" s="264" t="s">
        <v>1002</v>
      </c>
      <c r="AI136" s="264" t="s">
        <v>1002</v>
      </c>
      <c r="AJ136" s="264" t="s">
        <v>995</v>
      </c>
      <c r="AK136" s="264" t="s">
        <v>995</v>
      </c>
      <c r="AL136" s="264" t="s">
        <v>995</v>
      </c>
    </row>
    <row r="137" spans="1:38">
      <c r="A137" s="264">
        <v>3451</v>
      </c>
      <c r="B137" s="264" t="s">
        <v>66</v>
      </c>
      <c r="C137" s="264" t="s">
        <v>1081</v>
      </c>
      <c r="D137" s="264" t="s">
        <v>1004</v>
      </c>
      <c r="E137" s="264">
        <v>30000</v>
      </c>
      <c r="F137" s="264" t="s">
        <v>53</v>
      </c>
      <c r="G137" s="389">
        <v>34214</v>
      </c>
      <c r="H137" s="264">
        <v>30</v>
      </c>
      <c r="I137" s="389">
        <v>42461</v>
      </c>
      <c r="K137" s="390">
        <v>42461</v>
      </c>
      <c r="L137" s="264">
        <v>20</v>
      </c>
      <c r="M137" s="264" t="s">
        <v>1015</v>
      </c>
      <c r="N137" s="264">
        <v>1</v>
      </c>
      <c r="O137" s="264" t="s">
        <v>829</v>
      </c>
      <c r="P137" s="264" t="s">
        <v>994</v>
      </c>
      <c r="Q137" s="264" t="s">
        <v>1009</v>
      </c>
      <c r="R137" s="264" t="s">
        <v>1010</v>
      </c>
      <c r="S137" s="264" t="s">
        <v>996</v>
      </c>
      <c r="T137" s="264" t="s">
        <v>997</v>
      </c>
      <c r="U137" s="264" t="s">
        <v>995</v>
      </c>
      <c r="V137" s="264" t="s">
        <v>995</v>
      </c>
      <c r="W137" s="264" t="s">
        <v>995</v>
      </c>
      <c r="X137" s="264" t="s">
        <v>828</v>
      </c>
      <c r="Y137" s="264" t="s">
        <v>998</v>
      </c>
      <c r="Z137" s="264">
        <v>31</v>
      </c>
      <c r="AA137" s="264" t="s">
        <v>999</v>
      </c>
      <c r="AB137" s="264">
        <v>31</v>
      </c>
      <c r="AC137" s="264" t="s">
        <v>999</v>
      </c>
      <c r="AD137" s="264" t="s">
        <v>1000</v>
      </c>
      <c r="AE137" s="264" t="s">
        <v>1000</v>
      </c>
      <c r="AF137" s="264" t="s">
        <v>1000</v>
      </c>
      <c r="AG137" s="264" t="s">
        <v>1000</v>
      </c>
      <c r="AH137" s="264" t="s">
        <v>1002</v>
      </c>
      <c r="AI137" s="264" t="s">
        <v>1002</v>
      </c>
      <c r="AJ137" s="264" t="s">
        <v>995</v>
      </c>
      <c r="AK137" s="264" t="s">
        <v>995</v>
      </c>
      <c r="AL137" s="264" t="s">
        <v>995</v>
      </c>
    </row>
    <row r="138" spans="1:38">
      <c r="A138" s="264">
        <v>3471</v>
      </c>
      <c r="B138" s="264" t="s">
        <v>67</v>
      </c>
      <c r="C138" s="264" t="s">
        <v>1082</v>
      </c>
      <c r="D138" s="264" t="s">
        <v>1004</v>
      </c>
      <c r="E138" s="264">
        <v>30000</v>
      </c>
      <c r="F138" s="264" t="s">
        <v>53</v>
      </c>
      <c r="G138" s="389">
        <v>34573</v>
      </c>
      <c r="H138" s="264">
        <v>29</v>
      </c>
      <c r="I138" s="389">
        <v>42826</v>
      </c>
      <c r="K138" s="390">
        <v>44805</v>
      </c>
      <c r="L138" s="264">
        <v>20</v>
      </c>
      <c r="M138" s="264" t="s">
        <v>1015</v>
      </c>
      <c r="N138" s="264">
        <v>1</v>
      </c>
      <c r="O138" s="264" t="s">
        <v>829</v>
      </c>
      <c r="P138" s="264" t="s">
        <v>994</v>
      </c>
      <c r="Q138" s="264" t="s">
        <v>1009</v>
      </c>
      <c r="R138" s="264" t="s">
        <v>1010</v>
      </c>
      <c r="S138" s="264" t="s">
        <v>996</v>
      </c>
      <c r="T138" s="264" t="s">
        <v>997</v>
      </c>
      <c r="U138" s="264" t="s">
        <v>995</v>
      </c>
      <c r="V138" s="264" t="s">
        <v>995</v>
      </c>
      <c r="W138" s="264" t="s">
        <v>995</v>
      </c>
      <c r="X138" s="264" t="s">
        <v>828</v>
      </c>
      <c r="Y138" s="264" t="s">
        <v>998</v>
      </c>
      <c r="Z138" s="264">
        <v>31</v>
      </c>
      <c r="AA138" s="264" t="s">
        <v>999</v>
      </c>
      <c r="AB138" s="264">
        <v>31</v>
      </c>
      <c r="AC138" s="264" t="s">
        <v>999</v>
      </c>
      <c r="AD138" s="264" t="s">
        <v>1000</v>
      </c>
      <c r="AE138" s="264" t="s">
        <v>1000</v>
      </c>
      <c r="AF138" s="264" t="s">
        <v>1000</v>
      </c>
      <c r="AG138" s="264" t="s">
        <v>1000</v>
      </c>
      <c r="AH138" s="264" t="s">
        <v>1002</v>
      </c>
      <c r="AI138" s="264" t="s">
        <v>1002</v>
      </c>
      <c r="AJ138" s="264" t="s">
        <v>995</v>
      </c>
      <c r="AK138" s="264" t="s">
        <v>995</v>
      </c>
      <c r="AL138" s="264" t="s">
        <v>995</v>
      </c>
    </row>
    <row r="139" spans="1:38">
      <c r="A139" s="264">
        <v>3500</v>
      </c>
      <c r="B139" s="264" t="s">
        <v>31</v>
      </c>
      <c r="C139" s="264" t="s">
        <v>1083</v>
      </c>
      <c r="D139" s="264" t="s">
        <v>1004</v>
      </c>
      <c r="E139" s="264">
        <v>30000</v>
      </c>
      <c r="F139" s="264" t="s">
        <v>53</v>
      </c>
      <c r="G139" s="389">
        <v>35289</v>
      </c>
      <c r="H139" s="264">
        <v>27</v>
      </c>
      <c r="I139" s="389">
        <v>43556</v>
      </c>
      <c r="K139" s="390">
        <v>43586</v>
      </c>
      <c r="L139" s="264">
        <v>20</v>
      </c>
      <c r="M139" s="264" t="s">
        <v>1015</v>
      </c>
      <c r="N139" s="264">
        <v>1</v>
      </c>
      <c r="O139" s="264" t="s">
        <v>829</v>
      </c>
      <c r="P139" s="264" t="s">
        <v>994</v>
      </c>
      <c r="Q139" s="264" t="s">
        <v>1009</v>
      </c>
      <c r="R139" s="264" t="s">
        <v>1010</v>
      </c>
      <c r="S139" s="264" t="s">
        <v>996</v>
      </c>
      <c r="T139" s="264" t="s">
        <v>997</v>
      </c>
      <c r="U139" s="264" t="s">
        <v>995</v>
      </c>
      <c r="V139" s="264" t="s">
        <v>995</v>
      </c>
      <c r="W139" s="264" t="s">
        <v>995</v>
      </c>
      <c r="X139" s="264" t="s">
        <v>828</v>
      </c>
      <c r="Y139" s="264" t="s">
        <v>998</v>
      </c>
      <c r="Z139" s="264">
        <v>31</v>
      </c>
      <c r="AA139" s="264" t="s">
        <v>999</v>
      </c>
      <c r="AB139" s="264">
        <v>31</v>
      </c>
      <c r="AC139" s="264" t="s">
        <v>999</v>
      </c>
      <c r="AD139" s="264" t="s">
        <v>1000</v>
      </c>
      <c r="AE139" s="264" t="s">
        <v>1000</v>
      </c>
      <c r="AF139" s="264" t="s">
        <v>1000</v>
      </c>
      <c r="AG139" s="264" t="s">
        <v>1000</v>
      </c>
      <c r="AH139" s="264" t="s">
        <v>1002</v>
      </c>
      <c r="AI139" s="264" t="s">
        <v>1002</v>
      </c>
      <c r="AJ139" s="264" t="s">
        <v>995</v>
      </c>
      <c r="AK139" s="264" t="s">
        <v>995</v>
      </c>
      <c r="AL139" s="264" t="s">
        <v>995</v>
      </c>
    </row>
    <row r="140" spans="1:38">
      <c r="A140" s="264">
        <v>3515</v>
      </c>
      <c r="B140" s="264" t="s">
        <v>68</v>
      </c>
      <c r="C140" s="264" t="s">
        <v>1084</v>
      </c>
      <c r="D140" s="264" t="s">
        <v>1004</v>
      </c>
      <c r="E140" s="264">
        <v>30000</v>
      </c>
      <c r="F140" s="264" t="s">
        <v>53</v>
      </c>
      <c r="G140" s="389">
        <v>35599</v>
      </c>
      <c r="H140" s="264">
        <v>26</v>
      </c>
      <c r="I140" s="389">
        <v>43922</v>
      </c>
      <c r="K140" s="390">
        <v>43952</v>
      </c>
      <c r="L140" s="264">
        <v>20</v>
      </c>
      <c r="M140" s="264" t="s">
        <v>1015</v>
      </c>
      <c r="N140" s="264">
        <v>1</v>
      </c>
      <c r="O140" s="264" t="s">
        <v>829</v>
      </c>
      <c r="P140" s="264" t="s">
        <v>994</v>
      </c>
      <c r="Q140" s="264" t="s">
        <v>1009</v>
      </c>
      <c r="R140" s="264" t="s">
        <v>1010</v>
      </c>
      <c r="S140" s="264" t="s">
        <v>996</v>
      </c>
      <c r="T140" s="264" t="s">
        <v>997</v>
      </c>
      <c r="U140" s="264" t="s">
        <v>995</v>
      </c>
      <c r="V140" s="264" t="s">
        <v>995</v>
      </c>
      <c r="W140" s="264" t="s">
        <v>995</v>
      </c>
      <c r="X140" s="264" t="s">
        <v>828</v>
      </c>
      <c r="Y140" s="264" t="s">
        <v>998</v>
      </c>
      <c r="Z140" s="264">
        <v>31</v>
      </c>
      <c r="AA140" s="264" t="s">
        <v>999</v>
      </c>
      <c r="AB140" s="264">
        <v>31</v>
      </c>
      <c r="AC140" s="264" t="s">
        <v>999</v>
      </c>
      <c r="AD140" s="264" t="s">
        <v>1000</v>
      </c>
      <c r="AE140" s="264" t="s">
        <v>1000</v>
      </c>
      <c r="AF140" s="264" t="s">
        <v>1000</v>
      </c>
      <c r="AG140" s="264" t="s">
        <v>1000</v>
      </c>
      <c r="AH140" s="264" t="s">
        <v>1002</v>
      </c>
      <c r="AI140" s="264" t="s">
        <v>1002</v>
      </c>
      <c r="AJ140" s="264" t="s">
        <v>995</v>
      </c>
      <c r="AK140" s="264" t="s">
        <v>995</v>
      </c>
      <c r="AL140" s="264" t="s">
        <v>995</v>
      </c>
    </row>
    <row r="141" spans="1:38">
      <c r="A141" s="264">
        <v>3531</v>
      </c>
      <c r="B141" s="264" t="s">
        <v>765</v>
      </c>
      <c r="C141" s="264" t="s">
        <v>1085</v>
      </c>
      <c r="D141" s="264" t="s">
        <v>1004</v>
      </c>
      <c r="E141" s="264">
        <v>30000</v>
      </c>
      <c r="F141" s="264" t="s">
        <v>53</v>
      </c>
      <c r="G141" s="389">
        <v>36290</v>
      </c>
      <c r="H141" s="264">
        <v>24</v>
      </c>
      <c r="I141" s="389">
        <v>44652</v>
      </c>
      <c r="K141" s="390">
        <v>44652</v>
      </c>
      <c r="L141" s="264">
        <v>20</v>
      </c>
      <c r="M141" s="264" t="s">
        <v>1015</v>
      </c>
      <c r="N141" s="264">
        <v>1</v>
      </c>
      <c r="O141" s="264" t="s">
        <v>829</v>
      </c>
      <c r="P141" s="264" t="s">
        <v>994</v>
      </c>
      <c r="Q141" s="264" t="s">
        <v>1009</v>
      </c>
      <c r="R141" s="264" t="s">
        <v>1010</v>
      </c>
      <c r="S141" s="264" t="s">
        <v>996</v>
      </c>
      <c r="T141" s="264" t="s">
        <v>997</v>
      </c>
      <c r="U141" s="264" t="s">
        <v>995</v>
      </c>
      <c r="V141" s="264" t="s">
        <v>995</v>
      </c>
      <c r="W141" s="264" t="s">
        <v>995</v>
      </c>
      <c r="X141" s="264" t="s">
        <v>828</v>
      </c>
      <c r="Y141" s="264" t="s">
        <v>998</v>
      </c>
      <c r="Z141" s="264">
        <v>31</v>
      </c>
      <c r="AA141" s="264" t="s">
        <v>999</v>
      </c>
      <c r="AB141" s="264">
        <v>31</v>
      </c>
      <c r="AC141" s="264" t="s">
        <v>999</v>
      </c>
      <c r="AD141" s="264" t="s">
        <v>1000</v>
      </c>
      <c r="AE141" s="264" t="s">
        <v>1000</v>
      </c>
      <c r="AF141" s="264" t="s">
        <v>1000</v>
      </c>
      <c r="AG141" s="264" t="s">
        <v>1000</v>
      </c>
      <c r="AH141" s="264" t="s">
        <v>1002</v>
      </c>
      <c r="AI141" s="264" t="s">
        <v>1002</v>
      </c>
      <c r="AJ141" s="264" t="s">
        <v>995</v>
      </c>
      <c r="AK141" s="264" t="s">
        <v>995</v>
      </c>
      <c r="AL141" s="264" t="s">
        <v>995</v>
      </c>
    </row>
    <row r="142" spans="1:38">
      <c r="A142" s="264">
        <v>8168</v>
      </c>
      <c r="B142" s="264" t="s">
        <v>562</v>
      </c>
      <c r="C142" s="264" t="s">
        <v>1086</v>
      </c>
      <c r="D142" s="264" t="s">
        <v>1004</v>
      </c>
      <c r="E142" s="264">
        <v>30020</v>
      </c>
      <c r="F142" s="264" t="s">
        <v>53</v>
      </c>
      <c r="G142" s="389">
        <v>21094</v>
      </c>
      <c r="H142" s="264">
        <v>66</v>
      </c>
      <c r="I142" s="389">
        <v>43010</v>
      </c>
      <c r="K142" s="390">
        <v>43009</v>
      </c>
      <c r="L142" s="264">
        <v>70</v>
      </c>
      <c r="M142" s="264" t="s">
        <v>1024</v>
      </c>
      <c r="N142" s="264">
        <v>1</v>
      </c>
      <c r="O142" s="264" t="s">
        <v>829</v>
      </c>
      <c r="P142" s="264" t="s">
        <v>994</v>
      </c>
      <c r="Q142" s="264" t="s">
        <v>1009</v>
      </c>
      <c r="R142" s="264" t="s">
        <v>1010</v>
      </c>
      <c r="S142" s="264" t="s">
        <v>996</v>
      </c>
      <c r="T142" s="264" t="s">
        <v>997</v>
      </c>
      <c r="U142" s="264" t="s">
        <v>995</v>
      </c>
      <c r="V142" s="264" t="s">
        <v>995</v>
      </c>
      <c r="W142" s="264" t="s">
        <v>995</v>
      </c>
      <c r="X142" s="264" t="s">
        <v>828</v>
      </c>
      <c r="Y142" s="264" t="s">
        <v>998</v>
      </c>
      <c r="Z142" s="264">
        <v>31</v>
      </c>
      <c r="AA142" s="264" t="s">
        <v>999</v>
      </c>
      <c r="AB142" s="264">
        <v>31</v>
      </c>
      <c r="AC142" s="264" t="s">
        <v>999</v>
      </c>
      <c r="AD142" s="264" t="s">
        <v>1000</v>
      </c>
      <c r="AE142" s="264" t="s">
        <v>1000</v>
      </c>
      <c r="AF142" s="264" t="s">
        <v>1000</v>
      </c>
      <c r="AG142" s="264" t="s">
        <v>1000</v>
      </c>
      <c r="AH142" s="264" t="s">
        <v>1002</v>
      </c>
      <c r="AI142" s="264" t="s">
        <v>1002</v>
      </c>
      <c r="AJ142" s="264" t="s">
        <v>995</v>
      </c>
      <c r="AK142" s="264" t="s">
        <v>995</v>
      </c>
      <c r="AL142" s="264" t="s">
        <v>995</v>
      </c>
    </row>
    <row r="143" spans="1:38">
      <c r="A143" s="264">
        <v>8214</v>
      </c>
      <c r="B143" s="264" t="s">
        <v>1087</v>
      </c>
      <c r="C143" s="264" t="s">
        <v>1088</v>
      </c>
      <c r="D143" s="264" t="s">
        <v>1004</v>
      </c>
      <c r="E143" s="264">
        <v>30020</v>
      </c>
      <c r="F143" s="264" t="s">
        <v>53</v>
      </c>
      <c r="G143" s="389">
        <v>22452</v>
      </c>
      <c r="H143" s="264">
        <v>62</v>
      </c>
      <c r="I143" s="389">
        <v>44896</v>
      </c>
      <c r="K143" s="390">
        <v>44927</v>
      </c>
      <c r="L143" s="264">
        <v>70</v>
      </c>
      <c r="M143" s="264" t="s">
        <v>1024</v>
      </c>
      <c r="N143" s="264">
        <v>1</v>
      </c>
      <c r="O143" s="264" t="s">
        <v>829</v>
      </c>
      <c r="P143" s="264" t="s">
        <v>994</v>
      </c>
      <c r="Q143" s="264" t="s">
        <v>1009</v>
      </c>
      <c r="R143" s="264" t="s">
        <v>1010</v>
      </c>
      <c r="S143" s="264" t="s">
        <v>996</v>
      </c>
      <c r="T143" s="264" t="s">
        <v>997</v>
      </c>
      <c r="U143" s="264" t="s">
        <v>995</v>
      </c>
      <c r="V143" s="264" t="s">
        <v>995</v>
      </c>
      <c r="W143" s="264" t="s">
        <v>995</v>
      </c>
      <c r="X143" s="264" t="s">
        <v>828</v>
      </c>
      <c r="Y143" s="264" t="s">
        <v>998</v>
      </c>
      <c r="Z143" s="264">
        <v>31</v>
      </c>
      <c r="AA143" s="264" t="s">
        <v>999</v>
      </c>
      <c r="AB143" s="264">
        <v>31</v>
      </c>
      <c r="AC143" s="264" t="s">
        <v>999</v>
      </c>
      <c r="AD143" s="264" t="s">
        <v>1000</v>
      </c>
      <c r="AE143" s="264" t="s">
        <v>1000</v>
      </c>
      <c r="AF143" s="264" t="s">
        <v>1000</v>
      </c>
      <c r="AG143" s="264" t="s">
        <v>1000</v>
      </c>
      <c r="AH143" s="264" t="s">
        <v>1002</v>
      </c>
      <c r="AI143" s="264" t="s">
        <v>1002</v>
      </c>
      <c r="AJ143" s="264" t="s">
        <v>995</v>
      </c>
      <c r="AK143" s="264" t="s">
        <v>995</v>
      </c>
      <c r="AL143" s="264" t="s">
        <v>995</v>
      </c>
    </row>
    <row r="144" spans="1:38">
      <c r="A144" s="264">
        <v>1425</v>
      </c>
      <c r="B144" s="264" t="s">
        <v>728</v>
      </c>
      <c r="C144" s="264" t="s">
        <v>1089</v>
      </c>
      <c r="D144" s="264" t="s">
        <v>1004</v>
      </c>
      <c r="E144" s="264">
        <v>31000</v>
      </c>
      <c r="F144" s="264" t="s">
        <v>72</v>
      </c>
      <c r="G144" s="389">
        <v>31794</v>
      </c>
      <c r="H144" s="264">
        <v>37</v>
      </c>
      <c r="I144" s="389">
        <v>44662</v>
      </c>
      <c r="K144" s="390">
        <v>44652</v>
      </c>
      <c r="L144" s="264">
        <v>20</v>
      </c>
      <c r="M144" s="264" t="s">
        <v>1015</v>
      </c>
      <c r="N144" s="264">
        <v>1</v>
      </c>
      <c r="O144" s="264" t="s">
        <v>829</v>
      </c>
      <c r="P144" s="264" t="s">
        <v>994</v>
      </c>
      <c r="Q144" s="264" t="s">
        <v>1009</v>
      </c>
      <c r="R144" s="264" t="s">
        <v>1010</v>
      </c>
      <c r="S144" s="264" t="s">
        <v>996</v>
      </c>
      <c r="T144" s="264" t="s">
        <v>997</v>
      </c>
      <c r="U144" s="264" t="s">
        <v>995</v>
      </c>
      <c r="V144" s="264" t="s">
        <v>995</v>
      </c>
      <c r="W144" s="264" t="s">
        <v>995</v>
      </c>
      <c r="X144" s="264" t="s">
        <v>828</v>
      </c>
      <c r="Y144" s="264" t="s">
        <v>998</v>
      </c>
      <c r="Z144" s="264">
        <v>31</v>
      </c>
      <c r="AA144" s="264" t="s">
        <v>999</v>
      </c>
      <c r="AB144" s="264">
        <v>31</v>
      </c>
      <c r="AC144" s="264" t="s">
        <v>999</v>
      </c>
      <c r="AD144" s="264" t="s">
        <v>1000</v>
      </c>
      <c r="AE144" s="264" t="s">
        <v>1000</v>
      </c>
      <c r="AF144" s="264" t="s">
        <v>1000</v>
      </c>
      <c r="AG144" s="264" t="s">
        <v>1000</v>
      </c>
      <c r="AH144" s="264" t="s">
        <v>1002</v>
      </c>
      <c r="AI144" s="264" t="s">
        <v>1002</v>
      </c>
      <c r="AJ144" s="264" t="s">
        <v>995</v>
      </c>
      <c r="AK144" s="264" t="s">
        <v>995</v>
      </c>
      <c r="AL144" s="264" t="s">
        <v>995</v>
      </c>
    </row>
    <row r="145" spans="1:38">
      <c r="A145" s="264">
        <v>2910</v>
      </c>
      <c r="B145" s="264" t="s">
        <v>55</v>
      </c>
      <c r="C145" s="264" t="s">
        <v>1090</v>
      </c>
      <c r="D145" s="264" t="s">
        <v>1004</v>
      </c>
      <c r="E145" s="264">
        <v>31000</v>
      </c>
      <c r="F145" s="264" t="s">
        <v>72</v>
      </c>
      <c r="G145" s="389">
        <v>27055</v>
      </c>
      <c r="H145" s="264">
        <v>50</v>
      </c>
      <c r="I145" s="389">
        <v>33686</v>
      </c>
      <c r="K145" s="390">
        <v>42278</v>
      </c>
      <c r="L145" s="264">
        <v>20</v>
      </c>
      <c r="M145" s="264" t="s">
        <v>1015</v>
      </c>
      <c r="N145" s="264">
        <v>1</v>
      </c>
      <c r="O145" s="264" t="s">
        <v>829</v>
      </c>
      <c r="P145" s="264" t="s">
        <v>994</v>
      </c>
      <c r="Q145" s="264" t="s">
        <v>1009</v>
      </c>
      <c r="R145" s="264" t="s">
        <v>1010</v>
      </c>
      <c r="S145" s="264" t="s">
        <v>996</v>
      </c>
      <c r="T145" s="264" t="s">
        <v>997</v>
      </c>
      <c r="U145" s="264" t="s">
        <v>995</v>
      </c>
      <c r="V145" s="264" t="s">
        <v>995</v>
      </c>
      <c r="W145" s="264" t="s">
        <v>995</v>
      </c>
      <c r="X145" s="264" t="s">
        <v>828</v>
      </c>
      <c r="Y145" s="264" t="s">
        <v>998</v>
      </c>
      <c r="Z145" s="264">
        <v>31</v>
      </c>
      <c r="AA145" s="264" t="s">
        <v>999</v>
      </c>
      <c r="AB145" s="264">
        <v>31</v>
      </c>
      <c r="AC145" s="264" t="s">
        <v>999</v>
      </c>
      <c r="AD145" s="264" t="s">
        <v>1000</v>
      </c>
      <c r="AE145" s="264" t="s">
        <v>1000</v>
      </c>
      <c r="AF145" s="264" t="s">
        <v>1000</v>
      </c>
      <c r="AG145" s="264" t="s">
        <v>1000</v>
      </c>
      <c r="AH145" s="264" t="s">
        <v>1002</v>
      </c>
      <c r="AI145" s="264" t="s">
        <v>1002</v>
      </c>
      <c r="AJ145" s="264" t="s">
        <v>995</v>
      </c>
      <c r="AK145" s="264" t="s">
        <v>995</v>
      </c>
      <c r="AL145" s="264" t="s">
        <v>995</v>
      </c>
    </row>
    <row r="146" spans="1:38">
      <c r="A146" s="264">
        <v>3177</v>
      </c>
      <c r="B146" s="264" t="s">
        <v>85</v>
      </c>
      <c r="C146" s="264" t="s">
        <v>1102</v>
      </c>
      <c r="D146" s="264" t="s">
        <v>1004</v>
      </c>
      <c r="E146" s="264">
        <v>33000</v>
      </c>
      <c r="F146" s="264" t="s">
        <v>84</v>
      </c>
      <c r="G146" s="389">
        <v>30304</v>
      </c>
      <c r="H146" s="264">
        <v>41</v>
      </c>
      <c r="I146" s="389">
        <v>36971</v>
      </c>
      <c r="K146" s="390">
        <v>42278</v>
      </c>
      <c r="L146" s="264">
        <v>20</v>
      </c>
      <c r="M146" s="264" t="s">
        <v>1015</v>
      </c>
      <c r="N146" s="264">
        <v>1</v>
      </c>
      <c r="O146" s="264" t="s">
        <v>829</v>
      </c>
      <c r="P146" s="264" t="s">
        <v>994</v>
      </c>
      <c r="Q146" s="264" t="s">
        <v>1009</v>
      </c>
      <c r="R146" s="264" t="s">
        <v>1010</v>
      </c>
      <c r="S146" s="264" t="s">
        <v>996</v>
      </c>
      <c r="T146" s="264" t="s">
        <v>997</v>
      </c>
      <c r="U146" s="264" t="s">
        <v>995</v>
      </c>
      <c r="V146" s="264" t="s">
        <v>995</v>
      </c>
      <c r="W146" s="264" t="s">
        <v>995</v>
      </c>
      <c r="X146" s="264" t="s">
        <v>828</v>
      </c>
      <c r="Y146" s="264" t="s">
        <v>998</v>
      </c>
      <c r="Z146" s="264">
        <v>31</v>
      </c>
      <c r="AA146" s="264" t="s">
        <v>999</v>
      </c>
      <c r="AB146" s="264">
        <v>31</v>
      </c>
      <c r="AC146" s="264" t="s">
        <v>999</v>
      </c>
      <c r="AD146" s="264" t="s">
        <v>1000</v>
      </c>
      <c r="AE146" s="264" t="s">
        <v>1000</v>
      </c>
      <c r="AF146" s="264" t="s">
        <v>1000</v>
      </c>
      <c r="AG146" s="264" t="s">
        <v>1000</v>
      </c>
      <c r="AH146" s="264" t="s">
        <v>1002</v>
      </c>
      <c r="AI146" s="264" t="s">
        <v>1002</v>
      </c>
      <c r="AJ146" s="264" t="s">
        <v>995</v>
      </c>
      <c r="AK146" s="264" t="s">
        <v>995</v>
      </c>
      <c r="AL146" s="264" t="s">
        <v>995</v>
      </c>
    </row>
    <row r="147" spans="1:38">
      <c r="A147" s="264">
        <v>3233</v>
      </c>
      <c r="B147" s="264" t="s">
        <v>73</v>
      </c>
      <c r="C147" s="264" t="s">
        <v>1091</v>
      </c>
      <c r="D147" s="264" t="s">
        <v>1004</v>
      </c>
      <c r="E147" s="264">
        <v>31000</v>
      </c>
      <c r="F147" s="264" t="s">
        <v>72</v>
      </c>
      <c r="G147" s="389">
        <v>31700</v>
      </c>
      <c r="H147" s="264">
        <v>37</v>
      </c>
      <c r="I147" s="389">
        <v>38432</v>
      </c>
      <c r="K147" s="390">
        <v>42278</v>
      </c>
      <c r="L147" s="264">
        <v>20</v>
      </c>
      <c r="M147" s="264" t="s">
        <v>1015</v>
      </c>
      <c r="N147" s="264">
        <v>1</v>
      </c>
      <c r="O147" s="264" t="s">
        <v>829</v>
      </c>
      <c r="P147" s="264" t="s">
        <v>994</v>
      </c>
      <c r="Q147" s="264" t="s">
        <v>1009</v>
      </c>
      <c r="R147" s="264" t="s">
        <v>1010</v>
      </c>
      <c r="S147" s="264" t="s">
        <v>996</v>
      </c>
      <c r="T147" s="264" t="s">
        <v>997</v>
      </c>
      <c r="U147" s="264" t="s">
        <v>995</v>
      </c>
      <c r="V147" s="264" t="s">
        <v>995</v>
      </c>
      <c r="W147" s="264" t="s">
        <v>995</v>
      </c>
      <c r="X147" s="264" t="s">
        <v>828</v>
      </c>
      <c r="Y147" s="264" t="s">
        <v>998</v>
      </c>
      <c r="Z147" s="264">
        <v>31</v>
      </c>
      <c r="AA147" s="264" t="s">
        <v>999</v>
      </c>
      <c r="AB147" s="264">
        <v>31</v>
      </c>
      <c r="AC147" s="264" t="s">
        <v>999</v>
      </c>
      <c r="AD147" s="264" t="s">
        <v>1000</v>
      </c>
      <c r="AE147" s="264" t="s">
        <v>1000</v>
      </c>
      <c r="AF147" s="264" t="s">
        <v>1000</v>
      </c>
      <c r="AG147" s="264" t="s">
        <v>1000</v>
      </c>
      <c r="AH147" s="264" t="s">
        <v>1002</v>
      </c>
      <c r="AI147" s="264" t="s">
        <v>1002</v>
      </c>
      <c r="AJ147" s="264" t="s">
        <v>995</v>
      </c>
      <c r="AK147" s="264" t="s">
        <v>995</v>
      </c>
      <c r="AL147" s="264" t="s">
        <v>995</v>
      </c>
    </row>
    <row r="148" spans="1:38">
      <c r="A148" s="264">
        <v>3283</v>
      </c>
      <c r="B148" s="264" t="s">
        <v>80</v>
      </c>
      <c r="C148" s="264" t="s">
        <v>1100</v>
      </c>
      <c r="D148" s="264" t="s">
        <v>1004</v>
      </c>
      <c r="E148" s="264">
        <v>32000</v>
      </c>
      <c r="F148" s="264" t="s">
        <v>81</v>
      </c>
      <c r="G148" s="389">
        <v>32804</v>
      </c>
      <c r="H148" s="264">
        <v>34</v>
      </c>
      <c r="I148" s="389">
        <v>39528</v>
      </c>
      <c r="K148" s="390">
        <v>42278</v>
      </c>
      <c r="L148" s="264">
        <v>20</v>
      </c>
      <c r="M148" s="264" t="s">
        <v>1015</v>
      </c>
      <c r="N148" s="264">
        <v>1</v>
      </c>
      <c r="O148" s="264" t="s">
        <v>829</v>
      </c>
      <c r="P148" s="264" t="s">
        <v>994</v>
      </c>
      <c r="Q148" s="264" t="s">
        <v>1009</v>
      </c>
      <c r="R148" s="264" t="s">
        <v>1010</v>
      </c>
      <c r="S148" s="264" t="s">
        <v>996</v>
      </c>
      <c r="T148" s="264" t="s">
        <v>997</v>
      </c>
      <c r="U148" s="264" t="s">
        <v>995</v>
      </c>
      <c r="V148" s="264" t="s">
        <v>995</v>
      </c>
      <c r="W148" s="264" t="s">
        <v>995</v>
      </c>
      <c r="X148" s="264" t="s">
        <v>828</v>
      </c>
      <c r="Y148" s="264" t="s">
        <v>998</v>
      </c>
      <c r="Z148" s="264">
        <v>31</v>
      </c>
      <c r="AA148" s="264" t="s">
        <v>999</v>
      </c>
      <c r="AB148" s="264">
        <v>31</v>
      </c>
      <c r="AC148" s="264" t="s">
        <v>999</v>
      </c>
      <c r="AD148" s="264" t="s">
        <v>1000</v>
      </c>
      <c r="AE148" s="264" t="s">
        <v>1000</v>
      </c>
      <c r="AF148" s="264" t="s">
        <v>1000</v>
      </c>
      <c r="AG148" s="264" t="s">
        <v>1000</v>
      </c>
      <c r="AH148" s="264" t="s">
        <v>1002</v>
      </c>
      <c r="AI148" s="264" t="s">
        <v>1002</v>
      </c>
      <c r="AJ148" s="264" t="s">
        <v>995</v>
      </c>
      <c r="AK148" s="264" t="s">
        <v>995</v>
      </c>
      <c r="AL148" s="264" t="s">
        <v>995</v>
      </c>
    </row>
    <row r="149" spans="1:38">
      <c r="A149" s="264">
        <v>3417</v>
      </c>
      <c r="B149" s="264" t="s">
        <v>78</v>
      </c>
      <c r="C149" s="264" t="s">
        <v>1092</v>
      </c>
      <c r="D149" s="264" t="s">
        <v>1004</v>
      </c>
      <c r="E149" s="264">
        <v>31000</v>
      </c>
      <c r="F149" s="264" t="s">
        <v>72</v>
      </c>
      <c r="G149" s="389">
        <v>35002</v>
      </c>
      <c r="H149" s="264">
        <v>28</v>
      </c>
      <c r="I149" s="389">
        <v>41719</v>
      </c>
      <c r="K149" s="390">
        <v>42278</v>
      </c>
      <c r="L149" s="264">
        <v>20</v>
      </c>
      <c r="M149" s="264" t="s">
        <v>1015</v>
      </c>
      <c r="N149" s="264">
        <v>1</v>
      </c>
      <c r="O149" s="264" t="s">
        <v>829</v>
      </c>
      <c r="P149" s="264" t="s">
        <v>994</v>
      </c>
      <c r="Q149" s="264" t="s">
        <v>1009</v>
      </c>
      <c r="R149" s="264" t="s">
        <v>1010</v>
      </c>
      <c r="S149" s="264" t="s">
        <v>996</v>
      </c>
      <c r="T149" s="264" t="s">
        <v>997</v>
      </c>
      <c r="U149" s="264" t="s">
        <v>995</v>
      </c>
      <c r="V149" s="264" t="s">
        <v>995</v>
      </c>
      <c r="W149" s="264" t="s">
        <v>995</v>
      </c>
      <c r="X149" s="264" t="s">
        <v>828</v>
      </c>
      <c r="Y149" s="264" t="s">
        <v>998</v>
      </c>
      <c r="Z149" s="264">
        <v>31</v>
      </c>
      <c r="AA149" s="264" t="s">
        <v>999</v>
      </c>
      <c r="AB149" s="264">
        <v>31</v>
      </c>
      <c r="AC149" s="264" t="s">
        <v>999</v>
      </c>
      <c r="AD149" s="264" t="s">
        <v>1000</v>
      </c>
      <c r="AE149" s="264" t="s">
        <v>1000</v>
      </c>
      <c r="AF149" s="264" t="s">
        <v>1000</v>
      </c>
      <c r="AG149" s="264" t="s">
        <v>1000</v>
      </c>
      <c r="AH149" s="264" t="s">
        <v>1002</v>
      </c>
      <c r="AI149" s="264" t="s">
        <v>1002</v>
      </c>
      <c r="AJ149" s="264" t="s">
        <v>995</v>
      </c>
      <c r="AK149" s="264" t="s">
        <v>995</v>
      </c>
      <c r="AL149" s="264" t="s">
        <v>995</v>
      </c>
    </row>
    <row r="150" spans="1:38">
      <c r="A150" s="264">
        <v>3436</v>
      </c>
      <c r="B150" s="264" t="s">
        <v>79</v>
      </c>
      <c r="C150" s="264" t="s">
        <v>1093</v>
      </c>
      <c r="D150" s="264" t="s">
        <v>1004</v>
      </c>
      <c r="E150" s="264">
        <v>31000</v>
      </c>
      <c r="F150" s="264" t="s">
        <v>72</v>
      </c>
      <c r="G150" s="389">
        <v>35217</v>
      </c>
      <c r="H150" s="264">
        <v>27</v>
      </c>
      <c r="I150" s="389">
        <v>42095</v>
      </c>
      <c r="K150" s="390">
        <v>42278</v>
      </c>
      <c r="L150" s="264">
        <v>20</v>
      </c>
      <c r="M150" s="264" t="s">
        <v>1015</v>
      </c>
      <c r="N150" s="264">
        <v>1</v>
      </c>
      <c r="O150" s="264" t="s">
        <v>829</v>
      </c>
      <c r="P150" s="264" t="s">
        <v>994</v>
      </c>
      <c r="Q150" s="264" t="s">
        <v>1009</v>
      </c>
      <c r="R150" s="264" t="s">
        <v>1010</v>
      </c>
      <c r="S150" s="264" t="s">
        <v>996</v>
      </c>
      <c r="T150" s="264" t="s">
        <v>997</v>
      </c>
      <c r="U150" s="264" t="s">
        <v>995</v>
      </c>
      <c r="V150" s="264" t="s">
        <v>995</v>
      </c>
      <c r="W150" s="264" t="s">
        <v>995</v>
      </c>
      <c r="X150" s="264" t="s">
        <v>828</v>
      </c>
      <c r="Y150" s="264" t="s">
        <v>998</v>
      </c>
      <c r="Z150" s="264">
        <v>31</v>
      </c>
      <c r="AA150" s="264" t="s">
        <v>999</v>
      </c>
      <c r="AB150" s="264">
        <v>31</v>
      </c>
      <c r="AC150" s="264" t="s">
        <v>999</v>
      </c>
      <c r="AD150" s="264" t="s">
        <v>1000</v>
      </c>
      <c r="AE150" s="264" t="s">
        <v>1000</v>
      </c>
      <c r="AF150" s="264" t="s">
        <v>1000</v>
      </c>
      <c r="AG150" s="264" t="s">
        <v>1000</v>
      </c>
      <c r="AH150" s="264" t="s">
        <v>1002</v>
      </c>
      <c r="AI150" s="264" t="s">
        <v>1002</v>
      </c>
      <c r="AJ150" s="264" t="s">
        <v>995</v>
      </c>
      <c r="AK150" s="264" t="s">
        <v>995</v>
      </c>
      <c r="AL150" s="264" t="s">
        <v>995</v>
      </c>
    </row>
    <row r="151" spans="1:38">
      <c r="A151" s="264">
        <v>3475</v>
      </c>
      <c r="B151" s="264" t="s">
        <v>234</v>
      </c>
      <c r="C151" s="264" t="s">
        <v>1094</v>
      </c>
      <c r="D151" s="264" t="s">
        <v>991</v>
      </c>
      <c r="E151" s="264">
        <v>31000</v>
      </c>
      <c r="F151" s="264" t="s">
        <v>72</v>
      </c>
      <c r="G151" s="389">
        <v>36074</v>
      </c>
      <c r="H151" s="264">
        <v>25</v>
      </c>
      <c r="I151" s="389">
        <v>42826</v>
      </c>
      <c r="K151" s="390">
        <v>42856</v>
      </c>
      <c r="L151" s="264">
        <v>20</v>
      </c>
      <c r="M151" s="264" t="s">
        <v>1015</v>
      </c>
      <c r="N151" s="264">
        <v>1</v>
      </c>
      <c r="O151" s="264" t="s">
        <v>829</v>
      </c>
      <c r="P151" s="264" t="s">
        <v>994</v>
      </c>
      <c r="Q151" s="264" t="s">
        <v>1009</v>
      </c>
      <c r="R151" s="264" t="s">
        <v>1010</v>
      </c>
      <c r="S151" s="264" t="s">
        <v>996</v>
      </c>
      <c r="T151" s="264" t="s">
        <v>997</v>
      </c>
      <c r="U151" s="264" t="s">
        <v>995</v>
      </c>
      <c r="V151" s="264" t="s">
        <v>995</v>
      </c>
      <c r="W151" s="264" t="s">
        <v>995</v>
      </c>
      <c r="X151" s="264" t="s">
        <v>828</v>
      </c>
      <c r="Y151" s="264" t="s">
        <v>998</v>
      </c>
      <c r="Z151" s="264">
        <v>31</v>
      </c>
      <c r="AA151" s="264" t="s">
        <v>999</v>
      </c>
      <c r="AB151" s="264">
        <v>31</v>
      </c>
      <c r="AC151" s="264" t="s">
        <v>999</v>
      </c>
      <c r="AD151" s="264" t="s">
        <v>1000</v>
      </c>
      <c r="AE151" s="264" t="s">
        <v>1000</v>
      </c>
      <c r="AF151" s="264" t="s">
        <v>1000</v>
      </c>
      <c r="AG151" s="264" t="s">
        <v>1000</v>
      </c>
      <c r="AH151" s="264" t="s">
        <v>1002</v>
      </c>
      <c r="AI151" s="264" t="s">
        <v>1002</v>
      </c>
      <c r="AJ151" s="264" t="s">
        <v>995</v>
      </c>
      <c r="AK151" s="264" t="s">
        <v>995</v>
      </c>
      <c r="AL151" s="264" t="s">
        <v>995</v>
      </c>
    </row>
    <row r="152" spans="1:38">
      <c r="A152" s="264">
        <v>3544</v>
      </c>
      <c r="B152" s="264" t="s">
        <v>1095</v>
      </c>
      <c r="C152" s="264" t="s">
        <v>1096</v>
      </c>
      <c r="D152" s="264" t="s">
        <v>1004</v>
      </c>
      <c r="E152" s="264">
        <v>31000</v>
      </c>
      <c r="F152" s="264" t="s">
        <v>72</v>
      </c>
      <c r="G152" s="389">
        <v>38313</v>
      </c>
      <c r="H152" s="264">
        <v>19</v>
      </c>
      <c r="I152" s="389">
        <v>45017</v>
      </c>
      <c r="K152" s="390">
        <v>45047</v>
      </c>
      <c r="L152" s="264">
        <v>20</v>
      </c>
      <c r="M152" s="264" t="s">
        <v>1015</v>
      </c>
      <c r="N152" s="264">
        <v>1</v>
      </c>
      <c r="O152" s="264" t="s">
        <v>829</v>
      </c>
      <c r="P152" s="264" t="s">
        <v>994</v>
      </c>
      <c r="Q152" s="264" t="s">
        <v>1009</v>
      </c>
      <c r="R152" s="264" t="s">
        <v>1010</v>
      </c>
      <c r="S152" s="264" t="s">
        <v>996</v>
      </c>
      <c r="T152" s="264" t="s">
        <v>997</v>
      </c>
      <c r="U152" s="264" t="s">
        <v>995</v>
      </c>
      <c r="V152" s="264" t="s">
        <v>995</v>
      </c>
      <c r="W152" s="264" t="s">
        <v>995</v>
      </c>
      <c r="X152" s="264" t="s">
        <v>828</v>
      </c>
      <c r="Y152" s="264" t="s">
        <v>998</v>
      </c>
      <c r="Z152" s="264">
        <v>31</v>
      </c>
      <c r="AA152" s="264" t="s">
        <v>999</v>
      </c>
      <c r="AB152" s="264">
        <v>31</v>
      </c>
      <c r="AC152" s="264" t="s">
        <v>999</v>
      </c>
      <c r="AD152" s="264" t="s">
        <v>1000</v>
      </c>
      <c r="AE152" s="264" t="s">
        <v>1000</v>
      </c>
      <c r="AF152" s="264" t="s">
        <v>1000</v>
      </c>
      <c r="AG152" s="264" t="s">
        <v>1000</v>
      </c>
      <c r="AH152" s="264" t="s">
        <v>1002</v>
      </c>
      <c r="AI152" s="264" t="s">
        <v>1002</v>
      </c>
      <c r="AJ152" s="264" t="s">
        <v>995</v>
      </c>
      <c r="AK152" s="264" t="s">
        <v>995</v>
      </c>
      <c r="AL152" s="264" t="s">
        <v>995</v>
      </c>
    </row>
    <row r="153" spans="1:38">
      <c r="A153" s="264">
        <v>3787</v>
      </c>
      <c r="B153" s="264" t="s">
        <v>82</v>
      </c>
      <c r="C153" s="264" t="s">
        <v>1101</v>
      </c>
      <c r="D153" s="264" t="s">
        <v>1004</v>
      </c>
      <c r="E153" s="264">
        <v>32000</v>
      </c>
      <c r="F153" s="264" t="s">
        <v>81</v>
      </c>
      <c r="G153" s="389">
        <v>25621</v>
      </c>
      <c r="H153" s="264">
        <v>53</v>
      </c>
      <c r="I153" s="389">
        <v>32846</v>
      </c>
      <c r="K153" s="390">
        <v>42278</v>
      </c>
      <c r="L153" s="264">
        <v>20</v>
      </c>
      <c r="M153" s="264" t="s">
        <v>1015</v>
      </c>
      <c r="N153" s="264">
        <v>1</v>
      </c>
      <c r="O153" s="264" t="s">
        <v>829</v>
      </c>
      <c r="P153" s="264" t="s">
        <v>994</v>
      </c>
      <c r="Q153" s="264" t="s">
        <v>1009</v>
      </c>
      <c r="R153" s="264" t="s">
        <v>1010</v>
      </c>
      <c r="S153" s="264" t="s">
        <v>996</v>
      </c>
      <c r="T153" s="264" t="s">
        <v>997</v>
      </c>
      <c r="U153" s="264" t="s">
        <v>995</v>
      </c>
      <c r="V153" s="264" t="s">
        <v>995</v>
      </c>
      <c r="W153" s="264" t="s">
        <v>995</v>
      </c>
      <c r="X153" s="264" t="s">
        <v>828</v>
      </c>
      <c r="Y153" s="264" t="s">
        <v>998</v>
      </c>
      <c r="Z153" s="264">
        <v>31</v>
      </c>
      <c r="AA153" s="264" t="s">
        <v>999</v>
      </c>
      <c r="AB153" s="264">
        <v>31</v>
      </c>
      <c r="AC153" s="264" t="s">
        <v>999</v>
      </c>
      <c r="AD153" s="264" t="s">
        <v>1000</v>
      </c>
      <c r="AE153" s="264" t="s">
        <v>1000</v>
      </c>
      <c r="AF153" s="264" t="s">
        <v>1000</v>
      </c>
      <c r="AG153" s="264" t="s">
        <v>1000</v>
      </c>
      <c r="AH153" s="264" t="s">
        <v>1002</v>
      </c>
      <c r="AI153" s="264" t="s">
        <v>1002</v>
      </c>
      <c r="AJ153" s="264" t="s">
        <v>995</v>
      </c>
      <c r="AK153" s="264" t="s">
        <v>995</v>
      </c>
      <c r="AL153" s="264" t="s">
        <v>995</v>
      </c>
    </row>
    <row r="154" spans="1:38">
      <c r="A154" s="264">
        <v>3849</v>
      </c>
      <c r="B154" s="264" t="s">
        <v>76</v>
      </c>
      <c r="C154" s="264" t="s">
        <v>1097</v>
      </c>
      <c r="D154" s="264" t="s">
        <v>1004</v>
      </c>
      <c r="E154" s="264">
        <v>31000</v>
      </c>
      <c r="F154" s="264" t="s">
        <v>72</v>
      </c>
      <c r="G154" s="389">
        <v>28361</v>
      </c>
      <c r="H154" s="264">
        <v>46</v>
      </c>
      <c r="I154" s="389">
        <v>34639</v>
      </c>
      <c r="K154" s="390">
        <v>42278</v>
      </c>
      <c r="L154" s="264">
        <v>20</v>
      </c>
      <c r="M154" s="264" t="s">
        <v>1015</v>
      </c>
      <c r="N154" s="264">
        <v>1</v>
      </c>
      <c r="O154" s="264" t="s">
        <v>829</v>
      </c>
      <c r="P154" s="264" t="s">
        <v>994</v>
      </c>
      <c r="Q154" s="264" t="s">
        <v>1009</v>
      </c>
      <c r="R154" s="264" t="s">
        <v>1010</v>
      </c>
      <c r="S154" s="264" t="s">
        <v>996</v>
      </c>
      <c r="T154" s="264" t="s">
        <v>997</v>
      </c>
      <c r="U154" s="264" t="s">
        <v>995</v>
      </c>
      <c r="V154" s="264" t="s">
        <v>995</v>
      </c>
      <c r="W154" s="264" t="s">
        <v>995</v>
      </c>
      <c r="X154" s="264" t="s">
        <v>828</v>
      </c>
      <c r="Y154" s="264" t="s">
        <v>998</v>
      </c>
      <c r="Z154" s="264">
        <v>31</v>
      </c>
      <c r="AA154" s="264" t="s">
        <v>999</v>
      </c>
      <c r="AB154" s="264">
        <v>31</v>
      </c>
      <c r="AC154" s="264" t="s">
        <v>999</v>
      </c>
      <c r="AD154" s="264" t="s">
        <v>1000</v>
      </c>
      <c r="AE154" s="264" t="s">
        <v>1000</v>
      </c>
      <c r="AF154" s="264" t="s">
        <v>1000</v>
      </c>
      <c r="AG154" s="264" t="s">
        <v>1000</v>
      </c>
      <c r="AH154" s="264" t="s">
        <v>1002</v>
      </c>
      <c r="AI154" s="264" t="s">
        <v>1002</v>
      </c>
      <c r="AJ154" s="264" t="s">
        <v>995</v>
      </c>
      <c r="AK154" s="264" t="s">
        <v>995</v>
      </c>
      <c r="AL154" s="264" t="s">
        <v>995</v>
      </c>
    </row>
    <row r="155" spans="1:38">
      <c r="A155" s="264">
        <v>5119</v>
      </c>
      <c r="B155" s="264" t="s">
        <v>74</v>
      </c>
      <c r="C155" s="264" t="s">
        <v>1098</v>
      </c>
      <c r="D155" s="264" t="s">
        <v>1004</v>
      </c>
      <c r="E155" s="264">
        <v>31000</v>
      </c>
      <c r="F155" s="264" t="s">
        <v>72</v>
      </c>
      <c r="G155" s="389">
        <v>24676</v>
      </c>
      <c r="H155" s="264">
        <v>56</v>
      </c>
      <c r="I155" s="389">
        <v>31132</v>
      </c>
      <c r="K155" s="390">
        <v>42278</v>
      </c>
      <c r="L155" s="264">
        <v>20</v>
      </c>
      <c r="M155" s="264" t="s">
        <v>1015</v>
      </c>
      <c r="N155" s="264">
        <v>1</v>
      </c>
      <c r="O155" s="264" t="s">
        <v>829</v>
      </c>
      <c r="P155" s="264" t="s">
        <v>994</v>
      </c>
      <c r="Q155" s="264" t="s">
        <v>1009</v>
      </c>
      <c r="R155" s="264" t="s">
        <v>1010</v>
      </c>
      <c r="S155" s="264" t="s">
        <v>996</v>
      </c>
      <c r="T155" s="264" t="s">
        <v>997</v>
      </c>
      <c r="U155" s="264" t="s">
        <v>995</v>
      </c>
      <c r="V155" s="264" t="s">
        <v>995</v>
      </c>
      <c r="W155" s="264" t="s">
        <v>995</v>
      </c>
      <c r="X155" s="264" t="s">
        <v>828</v>
      </c>
      <c r="Y155" s="264" t="s">
        <v>998</v>
      </c>
      <c r="Z155" s="264">
        <v>31</v>
      </c>
      <c r="AA155" s="264" t="s">
        <v>999</v>
      </c>
      <c r="AB155" s="264">
        <v>31</v>
      </c>
      <c r="AC155" s="264" t="s">
        <v>999</v>
      </c>
      <c r="AD155" s="264" t="s">
        <v>1000</v>
      </c>
      <c r="AE155" s="264" t="s">
        <v>1000</v>
      </c>
      <c r="AF155" s="264" t="s">
        <v>1000</v>
      </c>
      <c r="AG155" s="264" t="s">
        <v>1000</v>
      </c>
      <c r="AH155" s="264" t="s">
        <v>1002</v>
      </c>
      <c r="AI155" s="264" t="s">
        <v>1002</v>
      </c>
      <c r="AJ155" s="264" t="s">
        <v>995</v>
      </c>
      <c r="AK155" s="264" t="s">
        <v>995</v>
      </c>
      <c r="AL155" s="264" t="s">
        <v>995</v>
      </c>
    </row>
    <row r="156" spans="1:38">
      <c r="A156" s="264">
        <v>8145</v>
      </c>
      <c r="B156" s="264" t="s">
        <v>557</v>
      </c>
      <c r="C156" s="264" t="s">
        <v>1099</v>
      </c>
      <c r="D156" s="264" t="s">
        <v>1004</v>
      </c>
      <c r="E156" s="264">
        <v>31020</v>
      </c>
      <c r="F156" s="264" t="s">
        <v>72</v>
      </c>
      <c r="G156" s="389">
        <v>20140</v>
      </c>
      <c r="H156" s="264">
        <v>68</v>
      </c>
      <c r="I156" s="389">
        <v>42056</v>
      </c>
      <c r="K156" s="390">
        <v>44621</v>
      </c>
      <c r="L156" s="264">
        <v>70</v>
      </c>
      <c r="M156" s="264" t="s">
        <v>1024</v>
      </c>
      <c r="N156" s="264">
        <v>1</v>
      </c>
      <c r="O156" s="264" t="s">
        <v>829</v>
      </c>
      <c r="P156" s="264" t="s">
        <v>994</v>
      </c>
      <c r="Q156" s="264" t="s">
        <v>995</v>
      </c>
      <c r="R156" s="264" t="s">
        <v>1010</v>
      </c>
      <c r="S156" s="264" t="s">
        <v>1012</v>
      </c>
      <c r="T156" s="264" t="s">
        <v>997</v>
      </c>
      <c r="U156" s="264" t="s">
        <v>995</v>
      </c>
      <c r="V156" s="264" t="s">
        <v>995</v>
      </c>
      <c r="W156" s="264" t="s">
        <v>995</v>
      </c>
      <c r="X156" s="264" t="s">
        <v>828</v>
      </c>
      <c r="Y156" s="264" t="s">
        <v>998</v>
      </c>
      <c r="Z156" s="264">
        <v>31</v>
      </c>
      <c r="AA156" s="264" t="s">
        <v>999</v>
      </c>
      <c r="AB156" s="264">
        <v>31</v>
      </c>
      <c r="AC156" s="264" t="s">
        <v>999</v>
      </c>
      <c r="AD156" s="264" t="s">
        <v>1000</v>
      </c>
      <c r="AE156" s="264" t="s">
        <v>1000</v>
      </c>
      <c r="AF156" s="264" t="s">
        <v>1001</v>
      </c>
      <c r="AG156" s="264" t="s">
        <v>1001</v>
      </c>
      <c r="AH156" s="264" t="s">
        <v>1002</v>
      </c>
      <c r="AI156" s="264" t="s">
        <v>1002</v>
      </c>
      <c r="AJ156" s="264" t="s">
        <v>995</v>
      </c>
      <c r="AK156" s="264" t="s">
        <v>995</v>
      </c>
      <c r="AL156" s="264" t="s">
        <v>995</v>
      </c>
    </row>
    <row r="157" spans="1:38">
      <c r="A157" s="264">
        <v>2700</v>
      </c>
      <c r="B157" s="264" t="s">
        <v>153</v>
      </c>
      <c r="C157" s="264" t="s">
        <v>1382</v>
      </c>
      <c r="D157" s="264" t="s">
        <v>1004</v>
      </c>
      <c r="E157" s="264">
        <v>61000</v>
      </c>
      <c r="F157" s="264" t="s">
        <v>147</v>
      </c>
      <c r="G157" s="389">
        <v>24136</v>
      </c>
      <c r="H157" s="264">
        <v>58</v>
      </c>
      <c r="I157" s="389">
        <v>30762</v>
      </c>
      <c r="K157" s="390">
        <v>42278</v>
      </c>
      <c r="L157" s="264">
        <v>20</v>
      </c>
      <c r="M157" s="264" t="s">
        <v>1015</v>
      </c>
      <c r="N157" s="264">
        <v>1</v>
      </c>
      <c r="O157" s="264" t="s">
        <v>829</v>
      </c>
      <c r="P157" s="264" t="s">
        <v>994</v>
      </c>
      <c r="Q157" s="264" t="s">
        <v>1009</v>
      </c>
      <c r="R157" s="264" t="s">
        <v>1010</v>
      </c>
      <c r="S157" s="264" t="s">
        <v>996</v>
      </c>
      <c r="T157" s="264" t="s">
        <v>997</v>
      </c>
      <c r="U157" s="264" t="s">
        <v>995</v>
      </c>
      <c r="V157" s="264" t="s">
        <v>995</v>
      </c>
      <c r="W157" s="264" t="s">
        <v>995</v>
      </c>
      <c r="X157" s="264" t="s">
        <v>828</v>
      </c>
      <c r="Y157" s="264" t="s">
        <v>998</v>
      </c>
      <c r="Z157" s="264">
        <v>31</v>
      </c>
      <c r="AA157" s="264" t="s">
        <v>999</v>
      </c>
      <c r="AB157" s="264">
        <v>31</v>
      </c>
      <c r="AC157" s="264" t="s">
        <v>999</v>
      </c>
      <c r="AD157" s="264" t="s">
        <v>1000</v>
      </c>
      <c r="AE157" s="264" t="s">
        <v>1000</v>
      </c>
      <c r="AF157" s="264" t="s">
        <v>1000</v>
      </c>
      <c r="AG157" s="264" t="s">
        <v>1000</v>
      </c>
      <c r="AH157" s="264" t="s">
        <v>1002</v>
      </c>
      <c r="AI157" s="264" t="s">
        <v>1002</v>
      </c>
      <c r="AJ157" s="264" t="s">
        <v>995</v>
      </c>
      <c r="AK157" s="264" t="s">
        <v>995</v>
      </c>
      <c r="AL157" s="264" t="s">
        <v>995</v>
      </c>
    </row>
    <row r="158" spans="1:38">
      <c r="A158" s="264">
        <v>2955</v>
      </c>
      <c r="B158" s="264" t="s">
        <v>242</v>
      </c>
      <c r="C158" s="264" t="s">
        <v>1383</v>
      </c>
      <c r="D158" s="264" t="s">
        <v>991</v>
      </c>
      <c r="E158" s="264">
        <v>61000</v>
      </c>
      <c r="F158" s="264" t="s">
        <v>147</v>
      </c>
      <c r="G158" s="389">
        <v>27257</v>
      </c>
      <c r="H158" s="264">
        <v>49</v>
      </c>
      <c r="I158" s="389">
        <v>34050</v>
      </c>
      <c r="K158" s="390">
        <v>42278</v>
      </c>
      <c r="L158" s="264">
        <v>20</v>
      </c>
      <c r="M158" s="264" t="s">
        <v>1015</v>
      </c>
      <c r="N158" s="264">
        <v>1</v>
      </c>
      <c r="O158" s="264" t="s">
        <v>829</v>
      </c>
      <c r="P158" s="264" t="s">
        <v>994</v>
      </c>
      <c r="Q158" s="264" t="s">
        <v>1009</v>
      </c>
      <c r="R158" s="264" t="s">
        <v>1010</v>
      </c>
      <c r="S158" s="264" t="s">
        <v>996</v>
      </c>
      <c r="T158" s="264" t="s">
        <v>997</v>
      </c>
      <c r="U158" s="264" t="s">
        <v>995</v>
      </c>
      <c r="V158" s="264" t="s">
        <v>995</v>
      </c>
      <c r="W158" s="264" t="s">
        <v>995</v>
      </c>
      <c r="X158" s="264" t="s">
        <v>828</v>
      </c>
      <c r="Y158" s="264" t="s">
        <v>998</v>
      </c>
      <c r="Z158" s="264">
        <v>31</v>
      </c>
      <c r="AA158" s="264" t="s">
        <v>999</v>
      </c>
      <c r="AB158" s="264">
        <v>31</v>
      </c>
      <c r="AC158" s="264" t="s">
        <v>999</v>
      </c>
      <c r="AD158" s="264" t="s">
        <v>1000</v>
      </c>
      <c r="AE158" s="264" t="s">
        <v>1000</v>
      </c>
      <c r="AF158" s="264" t="s">
        <v>1000</v>
      </c>
      <c r="AG158" s="264" t="s">
        <v>1000</v>
      </c>
      <c r="AH158" s="264" t="s">
        <v>1002</v>
      </c>
      <c r="AI158" s="264" t="s">
        <v>1002</v>
      </c>
      <c r="AJ158" s="264" t="s">
        <v>995</v>
      </c>
      <c r="AK158" s="264" t="s">
        <v>995</v>
      </c>
      <c r="AL158" s="264" t="s">
        <v>995</v>
      </c>
    </row>
    <row r="159" spans="1:38">
      <c r="A159" s="264">
        <v>2983</v>
      </c>
      <c r="B159" s="264" t="s">
        <v>149</v>
      </c>
      <c r="C159" s="264" t="s">
        <v>1384</v>
      </c>
      <c r="D159" s="264" t="s">
        <v>1004</v>
      </c>
      <c r="E159" s="264">
        <v>61000</v>
      </c>
      <c r="F159" s="264" t="s">
        <v>147</v>
      </c>
      <c r="G159" s="389">
        <v>26098</v>
      </c>
      <c r="H159" s="264">
        <v>52</v>
      </c>
      <c r="I159" s="389">
        <v>34415</v>
      </c>
      <c r="K159" s="390">
        <v>42278</v>
      </c>
      <c r="L159" s="264">
        <v>20</v>
      </c>
      <c r="M159" s="264" t="s">
        <v>1015</v>
      </c>
      <c r="N159" s="264">
        <v>1</v>
      </c>
      <c r="O159" s="264" t="s">
        <v>829</v>
      </c>
      <c r="P159" s="264" t="s">
        <v>994</v>
      </c>
      <c r="Q159" s="264" t="s">
        <v>1009</v>
      </c>
      <c r="R159" s="264" t="s">
        <v>1010</v>
      </c>
      <c r="S159" s="264" t="s">
        <v>996</v>
      </c>
      <c r="T159" s="264" t="s">
        <v>997</v>
      </c>
      <c r="U159" s="264" t="s">
        <v>995</v>
      </c>
      <c r="V159" s="264" t="s">
        <v>995</v>
      </c>
      <c r="W159" s="264" t="s">
        <v>995</v>
      </c>
      <c r="X159" s="264" t="s">
        <v>828</v>
      </c>
      <c r="Y159" s="264" t="s">
        <v>998</v>
      </c>
      <c r="Z159" s="264">
        <v>31</v>
      </c>
      <c r="AA159" s="264" t="s">
        <v>999</v>
      </c>
      <c r="AB159" s="264">
        <v>31</v>
      </c>
      <c r="AC159" s="264" t="s">
        <v>999</v>
      </c>
      <c r="AD159" s="264" t="s">
        <v>1000</v>
      </c>
      <c r="AE159" s="264" t="s">
        <v>1000</v>
      </c>
      <c r="AF159" s="264" t="s">
        <v>1000</v>
      </c>
      <c r="AG159" s="264" t="s">
        <v>1000</v>
      </c>
      <c r="AH159" s="264" t="s">
        <v>1002</v>
      </c>
      <c r="AI159" s="264" t="s">
        <v>1002</v>
      </c>
      <c r="AJ159" s="264" t="s">
        <v>995</v>
      </c>
      <c r="AK159" s="264" t="s">
        <v>995</v>
      </c>
      <c r="AL159" s="264" t="s">
        <v>995</v>
      </c>
    </row>
    <row r="160" spans="1:38">
      <c r="A160" s="264">
        <v>3022</v>
      </c>
      <c r="B160" s="264" t="s">
        <v>154</v>
      </c>
      <c r="C160" s="264" t="s">
        <v>1385</v>
      </c>
      <c r="D160" s="264" t="s">
        <v>1004</v>
      </c>
      <c r="E160" s="264">
        <v>61000</v>
      </c>
      <c r="F160" s="264" t="s">
        <v>147</v>
      </c>
      <c r="G160" s="389">
        <v>26405</v>
      </c>
      <c r="H160" s="264">
        <v>51</v>
      </c>
      <c r="I160" s="389">
        <v>34780</v>
      </c>
      <c r="K160" s="390">
        <v>42278</v>
      </c>
      <c r="L160" s="264">
        <v>20</v>
      </c>
      <c r="M160" s="264" t="s">
        <v>1015</v>
      </c>
      <c r="N160" s="264">
        <v>1</v>
      </c>
      <c r="O160" s="264" t="s">
        <v>829</v>
      </c>
      <c r="P160" s="264" t="s">
        <v>994</v>
      </c>
      <c r="Q160" s="264" t="s">
        <v>1009</v>
      </c>
      <c r="R160" s="264" t="s">
        <v>1010</v>
      </c>
      <c r="S160" s="264" t="s">
        <v>996</v>
      </c>
      <c r="T160" s="264" t="s">
        <v>997</v>
      </c>
      <c r="U160" s="264" t="s">
        <v>995</v>
      </c>
      <c r="V160" s="264" t="s">
        <v>995</v>
      </c>
      <c r="W160" s="264" t="s">
        <v>995</v>
      </c>
      <c r="X160" s="264" t="s">
        <v>828</v>
      </c>
      <c r="Y160" s="264" t="s">
        <v>998</v>
      </c>
      <c r="Z160" s="264">
        <v>31</v>
      </c>
      <c r="AA160" s="264" t="s">
        <v>999</v>
      </c>
      <c r="AB160" s="264">
        <v>31</v>
      </c>
      <c r="AC160" s="264" t="s">
        <v>999</v>
      </c>
      <c r="AD160" s="264" t="s">
        <v>1000</v>
      </c>
      <c r="AE160" s="264" t="s">
        <v>1000</v>
      </c>
      <c r="AF160" s="264" t="s">
        <v>1000</v>
      </c>
      <c r="AG160" s="264" t="s">
        <v>1000</v>
      </c>
      <c r="AH160" s="264" t="s">
        <v>1002</v>
      </c>
      <c r="AI160" s="264" t="s">
        <v>1002</v>
      </c>
      <c r="AJ160" s="264" t="s">
        <v>995</v>
      </c>
      <c r="AK160" s="264" t="s">
        <v>995</v>
      </c>
      <c r="AL160" s="264" t="s">
        <v>995</v>
      </c>
    </row>
    <row r="161" spans="1:38">
      <c r="A161" s="264">
        <v>3228</v>
      </c>
      <c r="B161" s="264" t="s">
        <v>150</v>
      </c>
      <c r="C161" s="264" t="s">
        <v>1386</v>
      </c>
      <c r="D161" s="264" t="s">
        <v>1004</v>
      </c>
      <c r="E161" s="264">
        <v>61000</v>
      </c>
      <c r="F161" s="264" t="s">
        <v>147</v>
      </c>
      <c r="G161" s="389">
        <v>30371</v>
      </c>
      <c r="H161" s="264">
        <v>40</v>
      </c>
      <c r="I161" s="389">
        <v>38432</v>
      </c>
      <c r="K161" s="390">
        <v>42278</v>
      </c>
      <c r="L161" s="264">
        <v>20</v>
      </c>
      <c r="M161" s="264" t="s">
        <v>1015</v>
      </c>
      <c r="N161" s="264">
        <v>1</v>
      </c>
      <c r="O161" s="264" t="s">
        <v>829</v>
      </c>
      <c r="P161" s="264" t="s">
        <v>994</v>
      </c>
      <c r="Q161" s="264" t="s">
        <v>1009</v>
      </c>
      <c r="R161" s="264" t="s">
        <v>1010</v>
      </c>
      <c r="S161" s="264" t="s">
        <v>996</v>
      </c>
      <c r="T161" s="264" t="s">
        <v>997</v>
      </c>
      <c r="U161" s="264" t="s">
        <v>995</v>
      </c>
      <c r="V161" s="264" t="s">
        <v>995</v>
      </c>
      <c r="W161" s="264" t="s">
        <v>995</v>
      </c>
      <c r="X161" s="264" t="s">
        <v>828</v>
      </c>
      <c r="Y161" s="264" t="s">
        <v>998</v>
      </c>
      <c r="Z161" s="264">
        <v>31</v>
      </c>
      <c r="AA161" s="264" t="s">
        <v>999</v>
      </c>
      <c r="AB161" s="264">
        <v>31</v>
      </c>
      <c r="AC161" s="264" t="s">
        <v>999</v>
      </c>
      <c r="AD161" s="264" t="s">
        <v>1000</v>
      </c>
      <c r="AE161" s="264" t="s">
        <v>1000</v>
      </c>
      <c r="AF161" s="264" t="s">
        <v>1000</v>
      </c>
      <c r="AG161" s="264" t="s">
        <v>1000</v>
      </c>
      <c r="AH161" s="264" t="s">
        <v>1002</v>
      </c>
      <c r="AI161" s="264" t="s">
        <v>1002</v>
      </c>
      <c r="AJ161" s="264" t="s">
        <v>995</v>
      </c>
      <c r="AK161" s="264" t="s">
        <v>995</v>
      </c>
      <c r="AL161" s="264" t="s">
        <v>995</v>
      </c>
    </row>
    <row r="162" spans="1:38">
      <c r="A162" s="264">
        <v>3246</v>
      </c>
      <c r="B162" s="264" t="s">
        <v>756</v>
      </c>
      <c r="C162" s="264" t="s">
        <v>1387</v>
      </c>
      <c r="D162" s="264" t="s">
        <v>1004</v>
      </c>
      <c r="E162" s="264">
        <v>61000</v>
      </c>
      <c r="F162" s="264" t="s">
        <v>147</v>
      </c>
      <c r="G162" s="389">
        <v>30436</v>
      </c>
      <c r="H162" s="264">
        <v>40</v>
      </c>
      <c r="I162" s="389">
        <v>38797</v>
      </c>
      <c r="K162" s="390">
        <v>42278</v>
      </c>
      <c r="L162" s="264">
        <v>20</v>
      </c>
      <c r="M162" s="264" t="s">
        <v>1015</v>
      </c>
      <c r="N162" s="264">
        <v>1</v>
      </c>
      <c r="O162" s="264" t="s">
        <v>829</v>
      </c>
      <c r="P162" s="264" t="s">
        <v>994</v>
      </c>
      <c r="Q162" s="264" t="s">
        <v>1009</v>
      </c>
      <c r="R162" s="264" t="s">
        <v>1010</v>
      </c>
      <c r="S162" s="264" t="s">
        <v>996</v>
      </c>
      <c r="T162" s="264" t="s">
        <v>997</v>
      </c>
      <c r="U162" s="264" t="s">
        <v>995</v>
      </c>
      <c r="V162" s="264" t="s">
        <v>995</v>
      </c>
      <c r="W162" s="264" t="s">
        <v>995</v>
      </c>
      <c r="X162" s="264" t="s">
        <v>828</v>
      </c>
      <c r="Y162" s="264" t="s">
        <v>998</v>
      </c>
      <c r="Z162" s="264">
        <v>31</v>
      </c>
      <c r="AA162" s="264" t="s">
        <v>999</v>
      </c>
      <c r="AB162" s="264">
        <v>31</v>
      </c>
      <c r="AC162" s="264" t="s">
        <v>999</v>
      </c>
      <c r="AD162" s="264" t="s">
        <v>1000</v>
      </c>
      <c r="AE162" s="264" t="s">
        <v>1000</v>
      </c>
      <c r="AF162" s="264" t="s">
        <v>1000</v>
      </c>
      <c r="AG162" s="264" t="s">
        <v>1000</v>
      </c>
      <c r="AH162" s="264" t="s">
        <v>1002</v>
      </c>
      <c r="AI162" s="264" t="s">
        <v>1002</v>
      </c>
      <c r="AJ162" s="264" t="s">
        <v>995</v>
      </c>
      <c r="AK162" s="264" t="s">
        <v>995</v>
      </c>
      <c r="AL162" s="264" t="s">
        <v>995</v>
      </c>
    </row>
    <row r="163" spans="1:38">
      <c r="A163" s="264">
        <v>3328</v>
      </c>
      <c r="B163" s="264" t="s">
        <v>151</v>
      </c>
      <c r="C163" s="264" t="s">
        <v>1388</v>
      </c>
      <c r="D163" s="264" t="s">
        <v>1004</v>
      </c>
      <c r="E163" s="264">
        <v>61000</v>
      </c>
      <c r="F163" s="264" t="s">
        <v>147</v>
      </c>
      <c r="G163" s="389">
        <v>32198</v>
      </c>
      <c r="H163" s="264">
        <v>35</v>
      </c>
      <c r="I163" s="389">
        <v>40623</v>
      </c>
      <c r="K163" s="390">
        <v>42278</v>
      </c>
      <c r="L163" s="264">
        <v>20</v>
      </c>
      <c r="M163" s="264" t="s">
        <v>1015</v>
      </c>
      <c r="N163" s="264">
        <v>1</v>
      </c>
      <c r="O163" s="264" t="s">
        <v>829</v>
      </c>
      <c r="P163" s="264" t="s">
        <v>994</v>
      </c>
      <c r="Q163" s="264" t="s">
        <v>1009</v>
      </c>
      <c r="R163" s="264" t="s">
        <v>1010</v>
      </c>
      <c r="S163" s="264" t="s">
        <v>996</v>
      </c>
      <c r="T163" s="264" t="s">
        <v>997</v>
      </c>
      <c r="U163" s="264" t="s">
        <v>995</v>
      </c>
      <c r="V163" s="264" t="s">
        <v>995</v>
      </c>
      <c r="W163" s="264" t="s">
        <v>995</v>
      </c>
      <c r="X163" s="264" t="s">
        <v>828</v>
      </c>
      <c r="Y163" s="264" t="s">
        <v>998</v>
      </c>
      <c r="Z163" s="264">
        <v>31</v>
      </c>
      <c r="AA163" s="264" t="s">
        <v>999</v>
      </c>
      <c r="AB163" s="264">
        <v>31</v>
      </c>
      <c r="AC163" s="264" t="s">
        <v>999</v>
      </c>
      <c r="AD163" s="264" t="s">
        <v>1000</v>
      </c>
      <c r="AE163" s="264" t="s">
        <v>1000</v>
      </c>
      <c r="AF163" s="264" t="s">
        <v>1000</v>
      </c>
      <c r="AG163" s="264" t="s">
        <v>1000</v>
      </c>
      <c r="AH163" s="264" t="s">
        <v>1002</v>
      </c>
      <c r="AI163" s="264" t="s">
        <v>1002</v>
      </c>
      <c r="AJ163" s="264" t="s">
        <v>995</v>
      </c>
      <c r="AK163" s="264" t="s">
        <v>995</v>
      </c>
      <c r="AL163" s="264" t="s">
        <v>995</v>
      </c>
    </row>
    <row r="164" spans="1:38">
      <c r="A164" s="264">
        <v>3414</v>
      </c>
      <c r="B164" s="264" t="s">
        <v>152</v>
      </c>
      <c r="C164" s="264" t="s">
        <v>1389</v>
      </c>
      <c r="D164" s="264" t="s">
        <v>1004</v>
      </c>
      <c r="E164" s="264">
        <v>61000</v>
      </c>
      <c r="F164" s="264" t="s">
        <v>147</v>
      </c>
      <c r="G164" s="389">
        <v>33397</v>
      </c>
      <c r="H164" s="264">
        <v>32</v>
      </c>
      <c r="I164" s="389">
        <v>41719</v>
      </c>
      <c r="K164" s="390">
        <v>44805</v>
      </c>
      <c r="L164" s="264">
        <v>20</v>
      </c>
      <c r="M164" s="264" t="s">
        <v>1015</v>
      </c>
      <c r="N164" s="264">
        <v>1</v>
      </c>
      <c r="O164" s="264" t="s">
        <v>829</v>
      </c>
      <c r="P164" s="264" t="s">
        <v>994</v>
      </c>
      <c r="Q164" s="264" t="s">
        <v>1009</v>
      </c>
      <c r="R164" s="264" t="s">
        <v>1010</v>
      </c>
      <c r="S164" s="264" t="s">
        <v>996</v>
      </c>
      <c r="T164" s="264" t="s">
        <v>997</v>
      </c>
      <c r="U164" s="264" t="s">
        <v>995</v>
      </c>
      <c r="V164" s="264" t="s">
        <v>995</v>
      </c>
      <c r="W164" s="264" t="s">
        <v>995</v>
      </c>
      <c r="X164" s="264" t="s">
        <v>828</v>
      </c>
      <c r="Y164" s="264" t="s">
        <v>998</v>
      </c>
      <c r="Z164" s="264">
        <v>31</v>
      </c>
      <c r="AA164" s="264" t="s">
        <v>999</v>
      </c>
      <c r="AB164" s="264">
        <v>31</v>
      </c>
      <c r="AC164" s="264" t="s">
        <v>999</v>
      </c>
      <c r="AD164" s="264" t="s">
        <v>1000</v>
      </c>
      <c r="AE164" s="264" t="s">
        <v>1000</v>
      </c>
      <c r="AF164" s="264" t="s">
        <v>1000</v>
      </c>
      <c r="AG164" s="264" t="s">
        <v>1000</v>
      </c>
      <c r="AH164" s="264" t="s">
        <v>1002</v>
      </c>
      <c r="AI164" s="264" t="s">
        <v>1002</v>
      </c>
      <c r="AJ164" s="264" t="s">
        <v>995</v>
      </c>
      <c r="AK164" s="264" t="s">
        <v>995</v>
      </c>
      <c r="AL164" s="264" t="s">
        <v>995</v>
      </c>
    </row>
    <row r="165" spans="1:38">
      <c r="A165" s="264">
        <v>3454</v>
      </c>
      <c r="B165" s="264" t="s">
        <v>155</v>
      </c>
      <c r="C165" s="264" t="s">
        <v>1390</v>
      </c>
      <c r="D165" s="264" t="s">
        <v>1004</v>
      </c>
      <c r="E165" s="264">
        <v>61000</v>
      </c>
      <c r="F165" s="264" t="s">
        <v>147</v>
      </c>
      <c r="G165" s="389">
        <v>34150</v>
      </c>
      <c r="H165" s="264">
        <v>30</v>
      </c>
      <c r="I165" s="389">
        <v>42461</v>
      </c>
      <c r="K165" s="390">
        <v>42461</v>
      </c>
      <c r="L165" s="264">
        <v>20</v>
      </c>
      <c r="M165" s="264" t="s">
        <v>1015</v>
      </c>
      <c r="N165" s="264">
        <v>1</v>
      </c>
      <c r="O165" s="264" t="s">
        <v>829</v>
      </c>
      <c r="P165" s="264" t="s">
        <v>994</v>
      </c>
      <c r="Q165" s="264" t="s">
        <v>1009</v>
      </c>
      <c r="R165" s="264" t="s">
        <v>1010</v>
      </c>
      <c r="S165" s="264" t="s">
        <v>996</v>
      </c>
      <c r="T165" s="264" t="s">
        <v>997</v>
      </c>
      <c r="U165" s="264" t="s">
        <v>995</v>
      </c>
      <c r="V165" s="264" t="s">
        <v>995</v>
      </c>
      <c r="W165" s="264" t="s">
        <v>995</v>
      </c>
      <c r="X165" s="264" t="s">
        <v>828</v>
      </c>
      <c r="Y165" s="264" t="s">
        <v>998</v>
      </c>
      <c r="Z165" s="264">
        <v>31</v>
      </c>
      <c r="AA165" s="264" t="s">
        <v>999</v>
      </c>
      <c r="AB165" s="264">
        <v>31</v>
      </c>
      <c r="AC165" s="264" t="s">
        <v>999</v>
      </c>
      <c r="AD165" s="264" t="s">
        <v>1000</v>
      </c>
      <c r="AE165" s="264" t="s">
        <v>1000</v>
      </c>
      <c r="AF165" s="264" t="s">
        <v>1000</v>
      </c>
      <c r="AG165" s="264" t="s">
        <v>1000</v>
      </c>
      <c r="AH165" s="264" t="s">
        <v>1002</v>
      </c>
      <c r="AI165" s="264" t="s">
        <v>1002</v>
      </c>
      <c r="AJ165" s="264" t="s">
        <v>995</v>
      </c>
      <c r="AK165" s="264" t="s">
        <v>995</v>
      </c>
      <c r="AL165" s="264" t="s">
        <v>995</v>
      </c>
    </row>
    <row r="166" spans="1:38">
      <c r="A166" s="264">
        <v>3532</v>
      </c>
      <c r="B166" s="264" t="s">
        <v>766</v>
      </c>
      <c r="C166" s="264" t="s">
        <v>1391</v>
      </c>
      <c r="D166" s="264" t="s">
        <v>1004</v>
      </c>
      <c r="E166" s="264">
        <v>61000</v>
      </c>
      <c r="F166" s="264" t="s">
        <v>147</v>
      </c>
      <c r="G166" s="389">
        <v>36568</v>
      </c>
      <c r="H166" s="264">
        <v>23</v>
      </c>
      <c r="I166" s="389">
        <v>44652</v>
      </c>
      <c r="K166" s="390">
        <v>44652</v>
      </c>
      <c r="L166" s="264">
        <v>20</v>
      </c>
      <c r="M166" s="264" t="s">
        <v>1015</v>
      </c>
      <c r="N166" s="264">
        <v>1</v>
      </c>
      <c r="O166" s="264" t="s">
        <v>829</v>
      </c>
      <c r="P166" s="264" t="s">
        <v>994</v>
      </c>
      <c r="Q166" s="264" t="s">
        <v>1009</v>
      </c>
      <c r="R166" s="264" t="s">
        <v>1010</v>
      </c>
      <c r="S166" s="264" t="s">
        <v>996</v>
      </c>
      <c r="T166" s="264" t="s">
        <v>997</v>
      </c>
      <c r="U166" s="264" t="s">
        <v>995</v>
      </c>
      <c r="V166" s="264" t="s">
        <v>995</v>
      </c>
      <c r="W166" s="264" t="s">
        <v>995</v>
      </c>
      <c r="X166" s="264" t="s">
        <v>828</v>
      </c>
      <c r="Y166" s="264" t="s">
        <v>998</v>
      </c>
      <c r="Z166" s="264">
        <v>31</v>
      </c>
      <c r="AA166" s="264" t="s">
        <v>999</v>
      </c>
      <c r="AB166" s="264">
        <v>31</v>
      </c>
      <c r="AC166" s="264" t="s">
        <v>999</v>
      </c>
      <c r="AD166" s="264" t="s">
        <v>1000</v>
      </c>
      <c r="AE166" s="264" t="s">
        <v>1000</v>
      </c>
      <c r="AF166" s="264" t="s">
        <v>1000</v>
      </c>
      <c r="AG166" s="264" t="s">
        <v>1000</v>
      </c>
      <c r="AH166" s="264" t="s">
        <v>1002</v>
      </c>
      <c r="AI166" s="264" t="s">
        <v>1002</v>
      </c>
      <c r="AJ166" s="264" t="s">
        <v>995</v>
      </c>
      <c r="AK166" s="264" t="s">
        <v>995</v>
      </c>
      <c r="AL166" s="264" t="s">
        <v>995</v>
      </c>
    </row>
    <row r="167" spans="1:38">
      <c r="A167" s="264">
        <v>8205</v>
      </c>
      <c r="B167" s="264" t="s">
        <v>786</v>
      </c>
      <c r="C167" s="264" t="s">
        <v>1392</v>
      </c>
      <c r="D167" s="264" t="s">
        <v>1004</v>
      </c>
      <c r="E167" s="264">
        <v>61020</v>
      </c>
      <c r="F167" s="264" t="s">
        <v>147</v>
      </c>
      <c r="G167" s="389">
        <v>22495</v>
      </c>
      <c r="H167" s="264">
        <v>62</v>
      </c>
      <c r="I167" s="389">
        <v>31131</v>
      </c>
      <c r="K167" s="390">
        <v>44166</v>
      </c>
      <c r="L167" s="264">
        <v>70</v>
      </c>
      <c r="M167" s="264" t="s">
        <v>1024</v>
      </c>
      <c r="N167" s="264">
        <v>1</v>
      </c>
      <c r="O167" s="264" t="s">
        <v>829</v>
      </c>
      <c r="P167" s="264" t="s">
        <v>994</v>
      </c>
      <c r="Q167" s="264" t="s">
        <v>1009</v>
      </c>
      <c r="R167" s="264" t="s">
        <v>1010</v>
      </c>
      <c r="S167" s="264" t="s">
        <v>996</v>
      </c>
      <c r="T167" s="264" t="s">
        <v>997</v>
      </c>
      <c r="U167" s="264" t="s">
        <v>995</v>
      </c>
      <c r="V167" s="264" t="s">
        <v>995</v>
      </c>
      <c r="W167" s="264" t="s">
        <v>995</v>
      </c>
      <c r="X167" s="264" t="s">
        <v>828</v>
      </c>
      <c r="Y167" s="264" t="s">
        <v>998</v>
      </c>
      <c r="Z167" s="264">
        <v>31</v>
      </c>
      <c r="AA167" s="264" t="s">
        <v>999</v>
      </c>
      <c r="AB167" s="264">
        <v>31</v>
      </c>
      <c r="AC167" s="264" t="s">
        <v>999</v>
      </c>
      <c r="AD167" s="264" t="s">
        <v>1000</v>
      </c>
      <c r="AE167" s="264" t="s">
        <v>1000</v>
      </c>
      <c r="AF167" s="264" t="s">
        <v>1000</v>
      </c>
      <c r="AG167" s="264" t="s">
        <v>1000</v>
      </c>
      <c r="AH167" s="264" t="s">
        <v>1002</v>
      </c>
      <c r="AI167" s="264" t="s">
        <v>1002</v>
      </c>
      <c r="AJ167" s="264" t="s">
        <v>995</v>
      </c>
      <c r="AK167" s="264" t="s">
        <v>995</v>
      </c>
      <c r="AL167" s="264" t="s">
        <v>995</v>
      </c>
    </row>
    <row r="168" spans="1:38">
      <c r="A168" s="264">
        <v>1413</v>
      </c>
      <c r="B168" s="264" t="s">
        <v>578</v>
      </c>
      <c r="C168" s="264" t="s">
        <v>1393</v>
      </c>
      <c r="D168" s="264" t="s">
        <v>1004</v>
      </c>
      <c r="E168" s="264">
        <v>61200</v>
      </c>
      <c r="F168" s="264" t="s">
        <v>158</v>
      </c>
      <c r="G168" s="389">
        <v>28557</v>
      </c>
      <c r="H168" s="264">
        <v>45</v>
      </c>
      <c r="I168" s="389">
        <v>44228</v>
      </c>
      <c r="K168" s="390">
        <v>44166</v>
      </c>
      <c r="L168" s="264">
        <v>20</v>
      </c>
      <c r="M168" s="264" t="s">
        <v>1015</v>
      </c>
      <c r="N168" s="264">
        <v>1</v>
      </c>
      <c r="O168" s="264" t="s">
        <v>829</v>
      </c>
      <c r="P168" s="264" t="s">
        <v>994</v>
      </c>
      <c r="Q168" s="264" t="s">
        <v>1009</v>
      </c>
      <c r="R168" s="264" t="s">
        <v>1010</v>
      </c>
      <c r="S168" s="264" t="s">
        <v>996</v>
      </c>
      <c r="T168" s="264" t="s">
        <v>997</v>
      </c>
      <c r="U168" s="264" t="s">
        <v>995</v>
      </c>
      <c r="V168" s="264" t="s">
        <v>995</v>
      </c>
      <c r="W168" s="264" t="s">
        <v>995</v>
      </c>
      <c r="X168" s="264" t="s">
        <v>828</v>
      </c>
      <c r="Y168" s="264" t="s">
        <v>998</v>
      </c>
      <c r="Z168" s="264">
        <v>31</v>
      </c>
      <c r="AA168" s="264" t="s">
        <v>999</v>
      </c>
      <c r="AB168" s="264">
        <v>31</v>
      </c>
      <c r="AC168" s="264" t="s">
        <v>999</v>
      </c>
      <c r="AD168" s="264" t="s">
        <v>1000</v>
      </c>
      <c r="AE168" s="264" t="s">
        <v>1000</v>
      </c>
      <c r="AF168" s="264" t="s">
        <v>1000</v>
      </c>
      <c r="AG168" s="264" t="s">
        <v>1000</v>
      </c>
      <c r="AH168" s="264" t="s">
        <v>1002</v>
      </c>
      <c r="AI168" s="264" t="s">
        <v>1002</v>
      </c>
      <c r="AJ168" s="264" t="s">
        <v>995</v>
      </c>
      <c r="AK168" s="264" t="s">
        <v>995</v>
      </c>
      <c r="AL168" s="264" t="s">
        <v>995</v>
      </c>
    </row>
    <row r="169" spans="1:38">
      <c r="A169" s="264">
        <v>3190</v>
      </c>
      <c r="B169" s="264" t="s">
        <v>157</v>
      </c>
      <c r="C169" s="264" t="s">
        <v>1394</v>
      </c>
      <c r="D169" s="264" t="s">
        <v>1004</v>
      </c>
      <c r="E169" s="264">
        <v>61200</v>
      </c>
      <c r="F169" s="264" t="s">
        <v>158</v>
      </c>
      <c r="G169" s="389">
        <v>30576</v>
      </c>
      <c r="H169" s="264">
        <v>40</v>
      </c>
      <c r="I169" s="389">
        <v>37337</v>
      </c>
      <c r="K169" s="390">
        <v>42278</v>
      </c>
      <c r="L169" s="264">
        <v>20</v>
      </c>
      <c r="M169" s="264" t="s">
        <v>1015</v>
      </c>
      <c r="N169" s="264">
        <v>1</v>
      </c>
      <c r="O169" s="264" t="s">
        <v>829</v>
      </c>
      <c r="P169" s="264" t="s">
        <v>994</v>
      </c>
      <c r="Q169" s="264" t="s">
        <v>1009</v>
      </c>
      <c r="R169" s="264" t="s">
        <v>1010</v>
      </c>
      <c r="S169" s="264" t="s">
        <v>996</v>
      </c>
      <c r="T169" s="264" t="s">
        <v>997</v>
      </c>
      <c r="U169" s="264" t="s">
        <v>995</v>
      </c>
      <c r="V169" s="264" t="s">
        <v>995</v>
      </c>
      <c r="W169" s="264" t="s">
        <v>995</v>
      </c>
      <c r="X169" s="264" t="s">
        <v>828</v>
      </c>
      <c r="Y169" s="264" t="s">
        <v>998</v>
      </c>
      <c r="Z169" s="264">
        <v>31</v>
      </c>
      <c r="AA169" s="264" t="s">
        <v>999</v>
      </c>
      <c r="AB169" s="264">
        <v>31</v>
      </c>
      <c r="AC169" s="264" t="s">
        <v>999</v>
      </c>
      <c r="AD169" s="264" t="s">
        <v>1000</v>
      </c>
      <c r="AE169" s="264" t="s">
        <v>1000</v>
      </c>
      <c r="AF169" s="264" t="s">
        <v>1000</v>
      </c>
      <c r="AG169" s="264" t="s">
        <v>1000</v>
      </c>
      <c r="AH169" s="264" t="s">
        <v>1002</v>
      </c>
      <c r="AI169" s="264" t="s">
        <v>1002</v>
      </c>
      <c r="AJ169" s="264" t="s">
        <v>995</v>
      </c>
      <c r="AK169" s="264" t="s">
        <v>995</v>
      </c>
      <c r="AL169" s="264" t="s">
        <v>995</v>
      </c>
    </row>
    <row r="170" spans="1:38">
      <c r="A170" s="264">
        <v>3254</v>
      </c>
      <c r="B170" s="264" t="s">
        <v>159</v>
      </c>
      <c r="C170" s="264" t="s">
        <v>1395</v>
      </c>
      <c r="D170" s="264" t="s">
        <v>1004</v>
      </c>
      <c r="E170" s="264">
        <v>61200</v>
      </c>
      <c r="F170" s="264" t="s">
        <v>158</v>
      </c>
      <c r="G170" s="389">
        <v>32177</v>
      </c>
      <c r="H170" s="264">
        <v>35</v>
      </c>
      <c r="I170" s="389">
        <v>38797</v>
      </c>
      <c r="K170" s="390">
        <v>42278</v>
      </c>
      <c r="L170" s="264">
        <v>20</v>
      </c>
      <c r="M170" s="264" t="s">
        <v>1015</v>
      </c>
      <c r="N170" s="264">
        <v>1</v>
      </c>
      <c r="O170" s="264" t="s">
        <v>829</v>
      </c>
      <c r="P170" s="264" t="s">
        <v>994</v>
      </c>
      <c r="Q170" s="264" t="s">
        <v>1009</v>
      </c>
      <c r="R170" s="264" t="s">
        <v>1010</v>
      </c>
      <c r="S170" s="264" t="s">
        <v>996</v>
      </c>
      <c r="T170" s="264" t="s">
        <v>997</v>
      </c>
      <c r="U170" s="264" t="s">
        <v>995</v>
      </c>
      <c r="V170" s="264" t="s">
        <v>995</v>
      </c>
      <c r="W170" s="264" t="s">
        <v>995</v>
      </c>
      <c r="X170" s="264" t="s">
        <v>828</v>
      </c>
      <c r="Y170" s="264" t="s">
        <v>998</v>
      </c>
      <c r="Z170" s="264">
        <v>31</v>
      </c>
      <c r="AA170" s="264" t="s">
        <v>999</v>
      </c>
      <c r="AB170" s="264">
        <v>31</v>
      </c>
      <c r="AC170" s="264" t="s">
        <v>999</v>
      </c>
      <c r="AD170" s="264" t="s">
        <v>1000</v>
      </c>
      <c r="AE170" s="264" t="s">
        <v>1000</v>
      </c>
      <c r="AF170" s="264" t="s">
        <v>1000</v>
      </c>
      <c r="AG170" s="264" t="s">
        <v>1000</v>
      </c>
      <c r="AH170" s="264" t="s">
        <v>1002</v>
      </c>
      <c r="AI170" s="264" t="s">
        <v>1002</v>
      </c>
      <c r="AJ170" s="264" t="s">
        <v>995</v>
      </c>
      <c r="AK170" s="264" t="s">
        <v>995</v>
      </c>
      <c r="AL170" s="264" t="s">
        <v>995</v>
      </c>
    </row>
    <row r="171" spans="1:38">
      <c r="A171" s="264">
        <v>3446</v>
      </c>
      <c r="B171" s="264" t="s">
        <v>243</v>
      </c>
      <c r="C171" s="264" t="s">
        <v>1396</v>
      </c>
      <c r="D171" s="264" t="s">
        <v>991</v>
      </c>
      <c r="E171" s="264">
        <v>61200</v>
      </c>
      <c r="F171" s="264" t="s">
        <v>158</v>
      </c>
      <c r="G171" s="389">
        <v>35492</v>
      </c>
      <c r="H171" s="264">
        <v>26</v>
      </c>
      <c r="I171" s="389">
        <v>42095</v>
      </c>
      <c r="K171" s="390">
        <v>43709</v>
      </c>
      <c r="L171" s="264">
        <v>20</v>
      </c>
      <c r="M171" s="264" t="s">
        <v>1015</v>
      </c>
      <c r="N171" s="264">
        <v>1</v>
      </c>
      <c r="O171" s="264" t="s">
        <v>829</v>
      </c>
      <c r="P171" s="264" t="s">
        <v>994</v>
      </c>
      <c r="Q171" s="264" t="s">
        <v>1009</v>
      </c>
      <c r="R171" s="264" t="s">
        <v>1010</v>
      </c>
      <c r="S171" s="264" t="s">
        <v>996</v>
      </c>
      <c r="T171" s="264" t="s">
        <v>997</v>
      </c>
      <c r="U171" s="264" t="s">
        <v>995</v>
      </c>
      <c r="V171" s="264" t="s">
        <v>995</v>
      </c>
      <c r="W171" s="264" t="s">
        <v>995</v>
      </c>
      <c r="X171" s="264" t="s">
        <v>828</v>
      </c>
      <c r="Y171" s="264" t="s">
        <v>998</v>
      </c>
      <c r="Z171" s="264">
        <v>31</v>
      </c>
      <c r="AA171" s="264" t="s">
        <v>999</v>
      </c>
      <c r="AB171" s="264">
        <v>31</v>
      </c>
      <c r="AC171" s="264" t="s">
        <v>999</v>
      </c>
      <c r="AD171" s="264" t="s">
        <v>1000</v>
      </c>
      <c r="AE171" s="264" t="s">
        <v>1000</v>
      </c>
      <c r="AF171" s="264" t="s">
        <v>1000</v>
      </c>
      <c r="AG171" s="264" t="s">
        <v>1000</v>
      </c>
      <c r="AH171" s="264" t="s">
        <v>1002</v>
      </c>
      <c r="AI171" s="264" t="s">
        <v>1002</v>
      </c>
      <c r="AJ171" s="264" t="s">
        <v>995</v>
      </c>
      <c r="AK171" s="264" t="s">
        <v>995</v>
      </c>
      <c r="AL171" s="264" t="s">
        <v>995</v>
      </c>
    </row>
    <row r="172" spans="1:38">
      <c r="A172" s="264">
        <v>3467</v>
      </c>
      <c r="B172" s="264" t="s">
        <v>160</v>
      </c>
      <c r="C172" s="264" t="s">
        <v>1397</v>
      </c>
      <c r="D172" s="264" t="s">
        <v>1004</v>
      </c>
      <c r="E172" s="264">
        <v>61200</v>
      </c>
      <c r="F172" s="264" t="s">
        <v>158</v>
      </c>
      <c r="G172" s="389">
        <v>35608</v>
      </c>
      <c r="H172" s="264">
        <v>26</v>
      </c>
      <c r="I172" s="389">
        <v>42461</v>
      </c>
      <c r="K172" s="390">
        <v>42461</v>
      </c>
      <c r="L172" s="264">
        <v>20</v>
      </c>
      <c r="M172" s="264" t="s">
        <v>1015</v>
      </c>
      <c r="N172" s="264">
        <v>1</v>
      </c>
      <c r="O172" s="264" t="s">
        <v>829</v>
      </c>
      <c r="P172" s="264" t="s">
        <v>994</v>
      </c>
      <c r="Q172" s="264" t="s">
        <v>1009</v>
      </c>
      <c r="R172" s="264" t="s">
        <v>1010</v>
      </c>
      <c r="S172" s="264" t="s">
        <v>996</v>
      </c>
      <c r="T172" s="264" t="s">
        <v>997</v>
      </c>
      <c r="U172" s="264" t="s">
        <v>995</v>
      </c>
      <c r="V172" s="264" t="s">
        <v>995</v>
      </c>
      <c r="W172" s="264" t="s">
        <v>995</v>
      </c>
      <c r="X172" s="264" t="s">
        <v>828</v>
      </c>
      <c r="Y172" s="264" t="s">
        <v>998</v>
      </c>
      <c r="Z172" s="264">
        <v>31</v>
      </c>
      <c r="AA172" s="264" t="s">
        <v>999</v>
      </c>
      <c r="AB172" s="264">
        <v>31</v>
      </c>
      <c r="AC172" s="264" t="s">
        <v>999</v>
      </c>
      <c r="AD172" s="264" t="s">
        <v>1000</v>
      </c>
      <c r="AE172" s="264" t="s">
        <v>1000</v>
      </c>
      <c r="AF172" s="264" t="s">
        <v>1000</v>
      </c>
      <c r="AG172" s="264" t="s">
        <v>1000</v>
      </c>
      <c r="AH172" s="264" t="s">
        <v>1002</v>
      </c>
      <c r="AI172" s="264" t="s">
        <v>1002</v>
      </c>
      <c r="AJ172" s="264" t="s">
        <v>995</v>
      </c>
      <c r="AK172" s="264" t="s">
        <v>995</v>
      </c>
      <c r="AL172" s="264" t="s">
        <v>995</v>
      </c>
    </row>
    <row r="173" spans="1:38">
      <c r="A173" s="264">
        <v>8093</v>
      </c>
      <c r="B173" s="264" t="s">
        <v>599</v>
      </c>
      <c r="C173" s="264" t="s">
        <v>1398</v>
      </c>
      <c r="D173" s="264" t="s">
        <v>991</v>
      </c>
      <c r="E173" s="264">
        <v>61220</v>
      </c>
      <c r="F173" s="264" t="s">
        <v>158</v>
      </c>
      <c r="G173" s="389">
        <v>23787</v>
      </c>
      <c r="H173" s="264">
        <v>58</v>
      </c>
      <c r="I173" s="389">
        <v>40982</v>
      </c>
      <c r="J173" s="264">
        <v>45322</v>
      </c>
      <c r="K173" s="390">
        <v>42675</v>
      </c>
      <c r="L173" s="264">
        <v>70</v>
      </c>
      <c r="M173" s="264" t="s">
        <v>1024</v>
      </c>
      <c r="N173" s="264">
        <v>1</v>
      </c>
      <c r="O173" s="264" t="s">
        <v>829</v>
      </c>
      <c r="P173" s="264" t="s">
        <v>994</v>
      </c>
      <c r="Q173" s="264" t="s">
        <v>1009</v>
      </c>
      <c r="R173" s="264" t="s">
        <v>1010</v>
      </c>
      <c r="S173" s="264" t="s">
        <v>996</v>
      </c>
      <c r="T173" s="264" t="s">
        <v>997</v>
      </c>
      <c r="U173" s="264" t="s">
        <v>995</v>
      </c>
      <c r="V173" s="264" t="s">
        <v>995</v>
      </c>
      <c r="W173" s="264" t="s">
        <v>995</v>
      </c>
      <c r="X173" s="264" t="s">
        <v>828</v>
      </c>
      <c r="Y173" s="264" t="s">
        <v>998</v>
      </c>
      <c r="Z173" s="264">
        <v>31</v>
      </c>
      <c r="AA173" s="264" t="s">
        <v>999</v>
      </c>
      <c r="AB173" s="264">
        <v>31</v>
      </c>
      <c r="AC173" s="264" t="s">
        <v>999</v>
      </c>
      <c r="AD173" s="264" t="s">
        <v>1000</v>
      </c>
      <c r="AE173" s="264" t="s">
        <v>1000</v>
      </c>
      <c r="AF173" s="264" t="s">
        <v>1000</v>
      </c>
      <c r="AG173" s="264" t="s">
        <v>1000</v>
      </c>
      <c r="AH173" s="264" t="s">
        <v>1002</v>
      </c>
      <c r="AI173" s="264" t="s">
        <v>1002</v>
      </c>
      <c r="AJ173" s="264" t="s">
        <v>995</v>
      </c>
      <c r="AK173" s="264" t="s">
        <v>995</v>
      </c>
      <c r="AL173" s="264" t="s">
        <v>995</v>
      </c>
    </row>
    <row r="174" spans="1:38">
      <c r="A174" s="264">
        <v>8187</v>
      </c>
      <c r="B174" s="264" t="s">
        <v>778</v>
      </c>
      <c r="C174" s="264" t="s">
        <v>1399</v>
      </c>
      <c r="D174" s="264" t="s">
        <v>1004</v>
      </c>
      <c r="E174" s="264">
        <v>61220</v>
      </c>
      <c r="F174" s="264" t="s">
        <v>158</v>
      </c>
      <c r="G174" s="389">
        <v>21824</v>
      </c>
      <c r="H174" s="264">
        <v>64</v>
      </c>
      <c r="I174" s="389">
        <v>43740</v>
      </c>
      <c r="K174" s="390">
        <v>43101</v>
      </c>
      <c r="L174" s="264">
        <v>70</v>
      </c>
      <c r="M174" s="264" t="s">
        <v>1024</v>
      </c>
      <c r="N174" s="264">
        <v>1</v>
      </c>
      <c r="O174" s="264" t="s">
        <v>829</v>
      </c>
      <c r="P174" s="264" t="s">
        <v>994</v>
      </c>
      <c r="Q174" s="264" t="s">
        <v>1009</v>
      </c>
      <c r="R174" s="264" t="s">
        <v>1010</v>
      </c>
      <c r="S174" s="264" t="s">
        <v>996</v>
      </c>
      <c r="T174" s="264" t="s">
        <v>997</v>
      </c>
      <c r="U174" s="264" t="s">
        <v>995</v>
      </c>
      <c r="V174" s="264" t="s">
        <v>995</v>
      </c>
      <c r="W174" s="264" t="s">
        <v>995</v>
      </c>
      <c r="X174" s="264" t="s">
        <v>828</v>
      </c>
      <c r="Y174" s="264" t="s">
        <v>998</v>
      </c>
      <c r="Z174" s="264">
        <v>31</v>
      </c>
      <c r="AA174" s="264" t="s">
        <v>999</v>
      </c>
      <c r="AB174" s="264">
        <v>31</v>
      </c>
      <c r="AC174" s="264" t="s">
        <v>999</v>
      </c>
      <c r="AD174" s="264" t="s">
        <v>1000</v>
      </c>
      <c r="AE174" s="264" t="s">
        <v>1000</v>
      </c>
      <c r="AF174" s="264" t="s">
        <v>1000</v>
      </c>
      <c r="AG174" s="264" t="s">
        <v>1000</v>
      </c>
      <c r="AH174" s="264" t="s">
        <v>1002</v>
      </c>
      <c r="AI174" s="264" t="s">
        <v>1002</v>
      </c>
      <c r="AJ174" s="264" t="s">
        <v>995</v>
      </c>
      <c r="AK174" s="264" t="s">
        <v>995</v>
      </c>
      <c r="AL174" s="264" t="s">
        <v>995</v>
      </c>
    </row>
    <row r="175" spans="1:38">
      <c r="A175" s="264">
        <v>8200</v>
      </c>
      <c r="B175" s="264" t="s">
        <v>581</v>
      </c>
      <c r="C175" s="264" t="s">
        <v>1400</v>
      </c>
      <c r="D175" s="264" t="s">
        <v>1004</v>
      </c>
      <c r="E175" s="264">
        <v>61220</v>
      </c>
      <c r="F175" s="264" t="s">
        <v>158</v>
      </c>
      <c r="G175" s="389">
        <v>22375</v>
      </c>
      <c r="H175" s="264">
        <v>62</v>
      </c>
      <c r="I175" s="389">
        <v>29304</v>
      </c>
      <c r="K175" s="390">
        <v>44317</v>
      </c>
      <c r="L175" s="264">
        <v>70</v>
      </c>
      <c r="M175" s="264" t="s">
        <v>1024</v>
      </c>
      <c r="N175" s="264">
        <v>1</v>
      </c>
      <c r="O175" s="264" t="s">
        <v>829</v>
      </c>
      <c r="P175" s="264" t="s">
        <v>994</v>
      </c>
      <c r="Q175" s="264" t="s">
        <v>1009</v>
      </c>
      <c r="R175" s="264" t="s">
        <v>1010</v>
      </c>
      <c r="S175" s="264" t="s">
        <v>996</v>
      </c>
      <c r="T175" s="264" t="s">
        <v>997</v>
      </c>
      <c r="U175" s="264" t="s">
        <v>995</v>
      </c>
      <c r="V175" s="264" t="s">
        <v>995</v>
      </c>
      <c r="W175" s="264" t="s">
        <v>995</v>
      </c>
      <c r="X175" s="264" t="s">
        <v>828</v>
      </c>
      <c r="Y175" s="264" t="s">
        <v>998</v>
      </c>
      <c r="Z175" s="264">
        <v>31</v>
      </c>
      <c r="AA175" s="264" t="s">
        <v>999</v>
      </c>
      <c r="AB175" s="264">
        <v>31</v>
      </c>
      <c r="AC175" s="264" t="s">
        <v>999</v>
      </c>
      <c r="AD175" s="264" t="s">
        <v>1000</v>
      </c>
      <c r="AE175" s="264" t="s">
        <v>1000</v>
      </c>
      <c r="AF175" s="264" t="s">
        <v>1000</v>
      </c>
      <c r="AG175" s="264" t="s">
        <v>1000</v>
      </c>
      <c r="AH175" s="264" t="s">
        <v>1002</v>
      </c>
      <c r="AI175" s="264" t="s">
        <v>1002</v>
      </c>
      <c r="AJ175" s="264" t="s">
        <v>995</v>
      </c>
      <c r="AK175" s="264" t="s">
        <v>995</v>
      </c>
      <c r="AL175" s="264" t="s">
        <v>995</v>
      </c>
    </row>
    <row r="176" spans="1:38">
      <c r="A176" s="264">
        <v>2647</v>
      </c>
      <c r="B176" s="264" t="s">
        <v>752</v>
      </c>
      <c r="C176" s="264" t="s">
        <v>1401</v>
      </c>
      <c r="D176" s="264" t="s">
        <v>1004</v>
      </c>
      <c r="E176" s="264">
        <v>61300</v>
      </c>
      <c r="F176" s="264" t="s">
        <v>162</v>
      </c>
      <c r="G176" s="389">
        <v>23751</v>
      </c>
      <c r="H176" s="264">
        <v>59</v>
      </c>
      <c r="I176" s="389">
        <v>30403</v>
      </c>
      <c r="K176" s="390">
        <v>43556</v>
      </c>
      <c r="L176" s="264">
        <v>20</v>
      </c>
      <c r="M176" s="264" t="s">
        <v>1015</v>
      </c>
      <c r="N176" s="264">
        <v>3</v>
      </c>
      <c r="O176" s="264" t="s">
        <v>1008</v>
      </c>
      <c r="P176" s="264" t="s">
        <v>994</v>
      </c>
      <c r="Q176" s="264" t="s">
        <v>1009</v>
      </c>
      <c r="R176" s="264" t="s">
        <v>1010</v>
      </c>
      <c r="S176" s="264" t="s">
        <v>996</v>
      </c>
      <c r="T176" s="264" t="s">
        <v>997</v>
      </c>
      <c r="U176" s="264" t="s">
        <v>995</v>
      </c>
      <c r="V176" s="264" t="s">
        <v>995</v>
      </c>
      <c r="W176" s="264" t="s">
        <v>995</v>
      </c>
      <c r="X176" s="264" t="s">
        <v>828</v>
      </c>
      <c r="Y176" s="264" t="s">
        <v>998</v>
      </c>
      <c r="Z176" s="264">
        <v>31</v>
      </c>
      <c r="AA176" s="264" t="s">
        <v>999</v>
      </c>
      <c r="AB176" s="264">
        <v>31</v>
      </c>
      <c r="AC176" s="264" t="s">
        <v>999</v>
      </c>
      <c r="AD176" s="264" t="s">
        <v>1001</v>
      </c>
      <c r="AE176" s="264" t="s">
        <v>1001</v>
      </c>
      <c r="AF176" s="264" t="s">
        <v>1001</v>
      </c>
      <c r="AG176" s="264" t="s">
        <v>1001</v>
      </c>
      <c r="AH176" s="264" t="s">
        <v>1002</v>
      </c>
      <c r="AI176" s="264" t="s">
        <v>1002</v>
      </c>
      <c r="AJ176" s="264" t="s">
        <v>995</v>
      </c>
      <c r="AK176" s="264" t="s">
        <v>995</v>
      </c>
      <c r="AL176" s="264" t="s">
        <v>995</v>
      </c>
    </row>
    <row r="177" spans="1:38">
      <c r="A177" s="264">
        <v>2678</v>
      </c>
      <c r="B177" s="264" t="s">
        <v>753</v>
      </c>
      <c r="C177" s="264" t="s">
        <v>1105</v>
      </c>
      <c r="D177" s="264" t="s">
        <v>1004</v>
      </c>
      <c r="E177" s="264">
        <v>34020</v>
      </c>
      <c r="F177" s="264" t="s">
        <v>956</v>
      </c>
      <c r="G177" s="389">
        <v>22416</v>
      </c>
      <c r="H177" s="264">
        <v>62</v>
      </c>
      <c r="I177" s="389">
        <v>30770</v>
      </c>
      <c r="K177" s="390">
        <v>45017</v>
      </c>
      <c r="L177" s="264">
        <v>70</v>
      </c>
      <c r="M177" s="264" t="s">
        <v>1024</v>
      </c>
      <c r="N177" s="264">
        <v>1</v>
      </c>
      <c r="O177" s="264" t="s">
        <v>829</v>
      </c>
      <c r="P177" s="264" t="s">
        <v>994</v>
      </c>
      <c r="Q177" s="264" t="s">
        <v>1009</v>
      </c>
      <c r="R177" s="264" t="s">
        <v>1010</v>
      </c>
      <c r="S177" s="264" t="s">
        <v>996</v>
      </c>
      <c r="T177" s="264" t="s">
        <v>997</v>
      </c>
      <c r="U177" s="264" t="s">
        <v>995</v>
      </c>
      <c r="V177" s="264" t="s">
        <v>995</v>
      </c>
      <c r="W177" s="264" t="s">
        <v>995</v>
      </c>
      <c r="X177" s="264" t="s">
        <v>828</v>
      </c>
      <c r="Y177" s="264" t="s">
        <v>998</v>
      </c>
      <c r="Z177" s="264">
        <v>31</v>
      </c>
      <c r="AA177" s="264" t="s">
        <v>999</v>
      </c>
      <c r="AB177" s="264">
        <v>31</v>
      </c>
      <c r="AC177" s="264" t="s">
        <v>999</v>
      </c>
      <c r="AD177" s="264" t="s">
        <v>1000</v>
      </c>
      <c r="AE177" s="264" t="s">
        <v>1000</v>
      </c>
      <c r="AF177" s="264" t="s">
        <v>1000</v>
      </c>
      <c r="AG177" s="264" t="s">
        <v>1000</v>
      </c>
      <c r="AH177" s="264" t="s">
        <v>1002</v>
      </c>
      <c r="AI177" s="264" t="s">
        <v>1002</v>
      </c>
      <c r="AJ177" s="264" t="s">
        <v>995</v>
      </c>
      <c r="AK177" s="264" t="s">
        <v>995</v>
      </c>
      <c r="AL177" s="264" t="s">
        <v>995</v>
      </c>
    </row>
    <row r="178" spans="1:38">
      <c r="A178" s="264">
        <v>2962</v>
      </c>
      <c r="B178" s="264" t="s">
        <v>217</v>
      </c>
      <c r="C178" s="264" t="s">
        <v>1103</v>
      </c>
      <c r="D178" s="264" t="s">
        <v>1004</v>
      </c>
      <c r="E178" s="264">
        <v>34000</v>
      </c>
      <c r="F178" s="264" t="s">
        <v>956</v>
      </c>
      <c r="G178" s="389">
        <v>25690</v>
      </c>
      <c r="H178" s="264">
        <v>53</v>
      </c>
      <c r="I178" s="389">
        <v>34415</v>
      </c>
      <c r="K178" s="390">
        <v>42278</v>
      </c>
      <c r="L178" s="264">
        <v>20</v>
      </c>
      <c r="M178" s="264" t="s">
        <v>1015</v>
      </c>
      <c r="N178" s="264">
        <v>1</v>
      </c>
      <c r="O178" s="264" t="s">
        <v>829</v>
      </c>
      <c r="P178" s="264" t="s">
        <v>994</v>
      </c>
      <c r="Q178" s="264" t="s">
        <v>1009</v>
      </c>
      <c r="R178" s="264" t="s">
        <v>1010</v>
      </c>
      <c r="S178" s="264" t="s">
        <v>996</v>
      </c>
      <c r="T178" s="264" t="s">
        <v>997</v>
      </c>
      <c r="U178" s="264" t="s">
        <v>995</v>
      </c>
      <c r="V178" s="264" t="s">
        <v>995</v>
      </c>
      <c r="W178" s="264" t="s">
        <v>995</v>
      </c>
      <c r="X178" s="264" t="s">
        <v>828</v>
      </c>
      <c r="Y178" s="264" t="s">
        <v>998</v>
      </c>
      <c r="Z178" s="264">
        <v>31</v>
      </c>
      <c r="AA178" s="264" t="s">
        <v>999</v>
      </c>
      <c r="AB178" s="264">
        <v>31</v>
      </c>
      <c r="AC178" s="264" t="s">
        <v>999</v>
      </c>
      <c r="AD178" s="264" t="s">
        <v>1000</v>
      </c>
      <c r="AE178" s="264" t="s">
        <v>1000</v>
      </c>
      <c r="AF178" s="264" t="s">
        <v>1000</v>
      </c>
      <c r="AG178" s="264" t="s">
        <v>1000</v>
      </c>
      <c r="AH178" s="264" t="s">
        <v>1002</v>
      </c>
      <c r="AI178" s="264" t="s">
        <v>1002</v>
      </c>
      <c r="AJ178" s="264" t="s">
        <v>995</v>
      </c>
      <c r="AK178" s="264" t="s">
        <v>995</v>
      </c>
      <c r="AL178" s="264" t="s">
        <v>995</v>
      </c>
    </row>
    <row r="179" spans="1:38">
      <c r="A179" s="264">
        <v>3174</v>
      </c>
      <c r="B179" s="264" t="s">
        <v>755</v>
      </c>
      <c r="C179" s="264" t="s">
        <v>1104</v>
      </c>
      <c r="D179" s="264" t="s">
        <v>991</v>
      </c>
      <c r="E179" s="264">
        <v>34000</v>
      </c>
      <c r="F179" s="264" t="s">
        <v>956</v>
      </c>
      <c r="G179" s="389">
        <v>30288</v>
      </c>
      <c r="H179" s="264">
        <v>41</v>
      </c>
      <c r="I179" s="389">
        <v>36971</v>
      </c>
      <c r="K179" s="390">
        <v>45047</v>
      </c>
      <c r="L179" s="264">
        <v>20</v>
      </c>
      <c r="M179" s="264" t="s">
        <v>1015</v>
      </c>
      <c r="N179" s="264">
        <v>1</v>
      </c>
      <c r="O179" s="264" t="s">
        <v>829</v>
      </c>
      <c r="P179" s="264" t="s">
        <v>994</v>
      </c>
      <c r="Q179" s="264" t="s">
        <v>1009</v>
      </c>
      <c r="R179" s="264" t="s">
        <v>1010</v>
      </c>
      <c r="S179" s="264" t="s">
        <v>996</v>
      </c>
      <c r="T179" s="264" t="s">
        <v>997</v>
      </c>
      <c r="U179" s="264" t="s">
        <v>995</v>
      </c>
      <c r="V179" s="264" t="s">
        <v>995</v>
      </c>
      <c r="W179" s="264" t="s">
        <v>995</v>
      </c>
      <c r="X179" s="264" t="s">
        <v>828</v>
      </c>
      <c r="Y179" s="264" t="s">
        <v>998</v>
      </c>
      <c r="Z179" s="264">
        <v>31</v>
      </c>
      <c r="AA179" s="264" t="s">
        <v>999</v>
      </c>
      <c r="AB179" s="264">
        <v>31</v>
      </c>
      <c r="AC179" s="264" t="s">
        <v>999</v>
      </c>
      <c r="AD179" s="264" t="s">
        <v>1000</v>
      </c>
      <c r="AE179" s="264" t="s">
        <v>1000</v>
      </c>
      <c r="AF179" s="264" t="s">
        <v>1000</v>
      </c>
      <c r="AG179" s="264" t="s">
        <v>1000</v>
      </c>
      <c r="AH179" s="264" t="s">
        <v>1002</v>
      </c>
      <c r="AI179" s="264" t="s">
        <v>1002</v>
      </c>
      <c r="AJ179" s="264" t="s">
        <v>995</v>
      </c>
      <c r="AK179" s="264" t="s">
        <v>995</v>
      </c>
      <c r="AL179" s="264" t="s">
        <v>995</v>
      </c>
    </row>
    <row r="180" spans="1:38">
      <c r="A180" s="264">
        <v>8193</v>
      </c>
      <c r="B180" s="264" t="s">
        <v>779</v>
      </c>
      <c r="C180" s="264" t="s">
        <v>1106</v>
      </c>
      <c r="D180" s="264" t="s">
        <v>1004</v>
      </c>
      <c r="E180" s="264">
        <v>34020</v>
      </c>
      <c r="F180" s="264" t="s">
        <v>956</v>
      </c>
      <c r="G180" s="389">
        <v>22055</v>
      </c>
      <c r="H180" s="264">
        <v>63</v>
      </c>
      <c r="I180" s="389">
        <v>30762</v>
      </c>
      <c r="K180" s="390">
        <v>44013</v>
      </c>
      <c r="L180" s="264">
        <v>70</v>
      </c>
      <c r="M180" s="264" t="s">
        <v>1024</v>
      </c>
      <c r="N180" s="264">
        <v>1</v>
      </c>
      <c r="O180" s="264" t="s">
        <v>829</v>
      </c>
      <c r="P180" s="264" t="s">
        <v>994</v>
      </c>
      <c r="Q180" s="264" t="s">
        <v>1009</v>
      </c>
      <c r="R180" s="264" t="s">
        <v>1010</v>
      </c>
      <c r="S180" s="264" t="s">
        <v>996</v>
      </c>
      <c r="T180" s="264" t="s">
        <v>997</v>
      </c>
      <c r="U180" s="264" t="s">
        <v>995</v>
      </c>
      <c r="V180" s="264" t="s">
        <v>995</v>
      </c>
      <c r="W180" s="264" t="s">
        <v>995</v>
      </c>
      <c r="X180" s="264" t="s">
        <v>828</v>
      </c>
      <c r="Y180" s="264" t="s">
        <v>998</v>
      </c>
      <c r="Z180" s="264">
        <v>31</v>
      </c>
      <c r="AA180" s="264" t="s">
        <v>999</v>
      </c>
      <c r="AB180" s="264">
        <v>31</v>
      </c>
      <c r="AC180" s="264" t="s">
        <v>999</v>
      </c>
      <c r="AD180" s="264" t="s">
        <v>1000</v>
      </c>
      <c r="AE180" s="264" t="s">
        <v>1000</v>
      </c>
      <c r="AF180" s="264" t="s">
        <v>1000</v>
      </c>
      <c r="AG180" s="264" t="s">
        <v>1000</v>
      </c>
      <c r="AH180" s="264" t="s">
        <v>1002</v>
      </c>
      <c r="AI180" s="264" t="s">
        <v>1002</v>
      </c>
      <c r="AJ180" s="264" t="s">
        <v>995</v>
      </c>
      <c r="AK180" s="264" t="s">
        <v>995</v>
      </c>
      <c r="AL180" s="264" t="s">
        <v>995</v>
      </c>
    </row>
    <row r="181" spans="1:38">
      <c r="A181" s="264">
        <v>2755</v>
      </c>
      <c r="B181" s="264" t="s">
        <v>133</v>
      </c>
      <c r="C181" s="264" t="s">
        <v>1058</v>
      </c>
      <c r="D181" s="264" t="s">
        <v>1004</v>
      </c>
      <c r="E181" s="264">
        <v>22000</v>
      </c>
      <c r="F181" s="264" t="s">
        <v>49</v>
      </c>
      <c r="G181" s="389">
        <v>23380</v>
      </c>
      <c r="H181" s="264">
        <v>60</v>
      </c>
      <c r="I181" s="389">
        <v>31497</v>
      </c>
      <c r="J181" s="264">
        <v>45295</v>
      </c>
      <c r="K181" s="390">
        <v>45323</v>
      </c>
      <c r="L181" s="264">
        <v>20</v>
      </c>
      <c r="M181" s="264" t="s">
        <v>1015</v>
      </c>
      <c r="N181" s="264">
        <v>1</v>
      </c>
      <c r="O181" s="264" t="s">
        <v>829</v>
      </c>
      <c r="P181" s="264" t="s">
        <v>994</v>
      </c>
      <c r="Q181" s="264" t="s">
        <v>1009</v>
      </c>
      <c r="R181" s="264" t="s">
        <v>1010</v>
      </c>
      <c r="S181" s="264" t="s">
        <v>996</v>
      </c>
      <c r="T181" s="264" t="s">
        <v>997</v>
      </c>
      <c r="U181" s="264" t="s">
        <v>995</v>
      </c>
      <c r="V181" s="264" t="s">
        <v>995</v>
      </c>
      <c r="W181" s="264" t="s">
        <v>995</v>
      </c>
      <c r="X181" s="264" t="s">
        <v>828</v>
      </c>
      <c r="Y181" s="264" t="s">
        <v>998</v>
      </c>
      <c r="Z181" s="264">
        <v>31</v>
      </c>
      <c r="AA181" s="264" t="s">
        <v>999</v>
      </c>
      <c r="AB181" s="264">
        <v>31</v>
      </c>
      <c r="AC181" s="264" t="s">
        <v>999</v>
      </c>
      <c r="AD181" s="264" t="s">
        <v>1000</v>
      </c>
      <c r="AE181" s="264" t="s">
        <v>1000</v>
      </c>
      <c r="AF181" s="264" t="s">
        <v>1000</v>
      </c>
      <c r="AG181" s="264" t="s">
        <v>1001</v>
      </c>
      <c r="AH181" s="264" t="s">
        <v>1002</v>
      </c>
      <c r="AI181" s="264" t="s">
        <v>1002</v>
      </c>
      <c r="AJ181" s="264" t="s">
        <v>995</v>
      </c>
      <c r="AK181" s="264" t="s">
        <v>995</v>
      </c>
      <c r="AL181" s="264" t="s">
        <v>995</v>
      </c>
    </row>
    <row r="182" spans="1:38">
      <c r="A182" s="264">
        <v>2984</v>
      </c>
      <c r="B182" s="264" t="s">
        <v>50</v>
      </c>
      <c r="C182" s="264" t="s">
        <v>1059</v>
      </c>
      <c r="D182" s="264" t="s">
        <v>1004</v>
      </c>
      <c r="E182" s="264">
        <v>22000</v>
      </c>
      <c r="F182" s="264" t="s">
        <v>49</v>
      </c>
      <c r="G182" s="389">
        <v>27057</v>
      </c>
      <c r="H182" s="264">
        <v>50</v>
      </c>
      <c r="I182" s="389">
        <v>34415</v>
      </c>
      <c r="K182" s="390">
        <v>42278</v>
      </c>
      <c r="L182" s="264">
        <v>20</v>
      </c>
      <c r="M182" s="264" t="s">
        <v>1015</v>
      </c>
      <c r="N182" s="264">
        <v>1</v>
      </c>
      <c r="O182" s="264" t="s">
        <v>829</v>
      </c>
      <c r="P182" s="264" t="s">
        <v>994</v>
      </c>
      <c r="Q182" s="264" t="s">
        <v>1009</v>
      </c>
      <c r="R182" s="264" t="s">
        <v>1010</v>
      </c>
      <c r="S182" s="264" t="s">
        <v>996</v>
      </c>
      <c r="T182" s="264" t="s">
        <v>997</v>
      </c>
      <c r="U182" s="264" t="s">
        <v>995</v>
      </c>
      <c r="V182" s="264" t="s">
        <v>995</v>
      </c>
      <c r="W182" s="264" t="s">
        <v>995</v>
      </c>
      <c r="X182" s="264" t="s">
        <v>828</v>
      </c>
      <c r="Y182" s="264" t="s">
        <v>998</v>
      </c>
      <c r="Z182" s="264">
        <v>31</v>
      </c>
      <c r="AA182" s="264" t="s">
        <v>999</v>
      </c>
      <c r="AB182" s="264">
        <v>31</v>
      </c>
      <c r="AC182" s="264" t="s">
        <v>999</v>
      </c>
      <c r="AD182" s="264" t="s">
        <v>1000</v>
      </c>
      <c r="AE182" s="264" t="s">
        <v>1000</v>
      </c>
      <c r="AF182" s="264" t="s">
        <v>1000</v>
      </c>
      <c r="AG182" s="264" t="s">
        <v>1000</v>
      </c>
      <c r="AH182" s="264" t="s">
        <v>1002</v>
      </c>
      <c r="AI182" s="264" t="s">
        <v>1002</v>
      </c>
      <c r="AJ182" s="264" t="s">
        <v>995</v>
      </c>
      <c r="AK182" s="264" t="s">
        <v>995</v>
      </c>
      <c r="AL182" s="264" t="s">
        <v>995</v>
      </c>
    </row>
    <row r="183" spans="1:38">
      <c r="A183" s="264">
        <v>3538</v>
      </c>
      <c r="B183" s="264" t="s">
        <v>1053</v>
      </c>
      <c r="C183" s="264" t="s">
        <v>1054</v>
      </c>
      <c r="D183" s="264" t="s">
        <v>991</v>
      </c>
      <c r="E183" s="264">
        <v>21000</v>
      </c>
      <c r="F183" s="264" t="s">
        <v>638</v>
      </c>
      <c r="G183" s="389">
        <v>36776</v>
      </c>
      <c r="H183" s="264">
        <v>23</v>
      </c>
      <c r="I183" s="389">
        <v>45017</v>
      </c>
      <c r="K183" s="390">
        <v>45047</v>
      </c>
      <c r="L183" s="264">
        <v>20</v>
      </c>
      <c r="M183" s="264" t="s">
        <v>1015</v>
      </c>
      <c r="N183" s="264">
        <v>1</v>
      </c>
      <c r="O183" s="264" t="s">
        <v>829</v>
      </c>
      <c r="P183" s="264" t="s">
        <v>994</v>
      </c>
      <c r="Q183" s="264" t="s">
        <v>1009</v>
      </c>
      <c r="R183" s="264" t="s">
        <v>1010</v>
      </c>
      <c r="S183" s="264" t="s">
        <v>996</v>
      </c>
      <c r="T183" s="264" t="s">
        <v>997</v>
      </c>
      <c r="U183" s="264" t="s">
        <v>995</v>
      </c>
      <c r="V183" s="264" t="s">
        <v>995</v>
      </c>
      <c r="W183" s="264" t="s">
        <v>995</v>
      </c>
      <c r="X183" s="264" t="s">
        <v>828</v>
      </c>
      <c r="Y183" s="264" t="s">
        <v>998</v>
      </c>
      <c r="Z183" s="264">
        <v>31</v>
      </c>
      <c r="AA183" s="264" t="s">
        <v>999</v>
      </c>
      <c r="AB183" s="264">
        <v>31</v>
      </c>
      <c r="AC183" s="264" t="s">
        <v>999</v>
      </c>
      <c r="AD183" s="264" t="s">
        <v>1000</v>
      </c>
      <c r="AE183" s="264" t="s">
        <v>1000</v>
      </c>
      <c r="AF183" s="264" t="s">
        <v>1000</v>
      </c>
      <c r="AG183" s="264" t="s">
        <v>1000</v>
      </c>
      <c r="AH183" s="264" t="s">
        <v>1002</v>
      </c>
      <c r="AI183" s="264" t="s">
        <v>1002</v>
      </c>
      <c r="AJ183" s="264" t="s">
        <v>995</v>
      </c>
      <c r="AK183" s="264" t="s">
        <v>995</v>
      </c>
      <c r="AL183" s="264" t="s">
        <v>995</v>
      </c>
    </row>
    <row r="184" spans="1:38">
      <c r="A184" s="264">
        <v>1290</v>
      </c>
      <c r="B184" s="264" t="s">
        <v>44</v>
      </c>
      <c r="C184" s="264" t="s">
        <v>1050</v>
      </c>
      <c r="D184" s="264" t="s">
        <v>1004</v>
      </c>
      <c r="E184" s="264">
        <v>20000</v>
      </c>
      <c r="F184" s="264" t="s">
        <v>45</v>
      </c>
      <c r="G184" s="389">
        <v>23751</v>
      </c>
      <c r="H184" s="264">
        <v>59</v>
      </c>
      <c r="I184" s="389">
        <v>34414</v>
      </c>
      <c r="K184" s="390">
        <v>42278</v>
      </c>
      <c r="L184" s="264">
        <v>20</v>
      </c>
      <c r="M184" s="264" t="s">
        <v>1015</v>
      </c>
      <c r="N184" s="264">
        <v>1</v>
      </c>
      <c r="O184" s="264" t="s">
        <v>829</v>
      </c>
      <c r="P184" s="264" t="s">
        <v>994</v>
      </c>
      <c r="Q184" s="264" t="s">
        <v>1009</v>
      </c>
      <c r="R184" s="264" t="s">
        <v>1010</v>
      </c>
      <c r="S184" s="264" t="s">
        <v>996</v>
      </c>
      <c r="T184" s="264" t="s">
        <v>997</v>
      </c>
      <c r="U184" s="264" t="s">
        <v>995</v>
      </c>
      <c r="V184" s="264" t="s">
        <v>995</v>
      </c>
      <c r="W184" s="264" t="s">
        <v>995</v>
      </c>
      <c r="X184" s="264" t="s">
        <v>828</v>
      </c>
      <c r="Y184" s="264" t="s">
        <v>998</v>
      </c>
      <c r="Z184" s="264">
        <v>31</v>
      </c>
      <c r="AA184" s="264" t="s">
        <v>999</v>
      </c>
      <c r="AB184" s="264">
        <v>31</v>
      </c>
      <c r="AC184" s="264" t="s">
        <v>999</v>
      </c>
      <c r="AD184" s="264" t="s">
        <v>1000</v>
      </c>
      <c r="AE184" s="264" t="s">
        <v>1000</v>
      </c>
      <c r="AF184" s="264" t="s">
        <v>1000</v>
      </c>
      <c r="AG184" s="264" t="s">
        <v>1000</v>
      </c>
      <c r="AH184" s="264" t="s">
        <v>1002</v>
      </c>
      <c r="AI184" s="264" t="s">
        <v>1002</v>
      </c>
      <c r="AJ184" s="264" t="s">
        <v>995</v>
      </c>
      <c r="AK184" s="264" t="s">
        <v>995</v>
      </c>
      <c r="AL184" s="264" t="s">
        <v>995</v>
      </c>
    </row>
    <row r="185" spans="1:38">
      <c r="A185" s="264">
        <v>1340</v>
      </c>
      <c r="B185" s="264" t="s">
        <v>46</v>
      </c>
      <c r="C185" s="264" t="s">
        <v>1051</v>
      </c>
      <c r="D185" s="264" t="s">
        <v>1004</v>
      </c>
      <c r="E185" s="264">
        <v>20000</v>
      </c>
      <c r="F185" s="264" t="s">
        <v>45</v>
      </c>
      <c r="G185" s="389">
        <v>27633</v>
      </c>
      <c r="H185" s="264">
        <v>48</v>
      </c>
      <c r="I185" s="389">
        <v>38782</v>
      </c>
      <c r="K185" s="390">
        <v>42278</v>
      </c>
      <c r="L185" s="264">
        <v>20</v>
      </c>
      <c r="M185" s="264" t="s">
        <v>1015</v>
      </c>
      <c r="N185" s="264">
        <v>1</v>
      </c>
      <c r="O185" s="264" t="s">
        <v>829</v>
      </c>
      <c r="P185" s="264" t="s">
        <v>994</v>
      </c>
      <c r="Q185" s="264" t="s">
        <v>1009</v>
      </c>
      <c r="R185" s="264" t="s">
        <v>1010</v>
      </c>
      <c r="S185" s="264" t="s">
        <v>996</v>
      </c>
      <c r="T185" s="264" t="s">
        <v>997</v>
      </c>
      <c r="U185" s="264" t="s">
        <v>995</v>
      </c>
      <c r="V185" s="264" t="s">
        <v>995</v>
      </c>
      <c r="W185" s="264" t="s">
        <v>995</v>
      </c>
      <c r="X185" s="264" t="s">
        <v>828</v>
      </c>
      <c r="Y185" s="264" t="s">
        <v>998</v>
      </c>
      <c r="Z185" s="264">
        <v>31</v>
      </c>
      <c r="AA185" s="264" t="s">
        <v>999</v>
      </c>
      <c r="AB185" s="264">
        <v>31</v>
      </c>
      <c r="AC185" s="264" t="s">
        <v>999</v>
      </c>
      <c r="AD185" s="264" t="s">
        <v>1000</v>
      </c>
      <c r="AE185" s="264" t="s">
        <v>1000</v>
      </c>
      <c r="AF185" s="264" t="s">
        <v>1000</v>
      </c>
      <c r="AG185" s="264" t="s">
        <v>1000</v>
      </c>
      <c r="AH185" s="264" t="s">
        <v>1002</v>
      </c>
      <c r="AI185" s="264" t="s">
        <v>1002</v>
      </c>
      <c r="AJ185" s="264" t="s">
        <v>995</v>
      </c>
      <c r="AK185" s="264" t="s">
        <v>1010</v>
      </c>
      <c r="AL185" s="264" t="s">
        <v>995</v>
      </c>
    </row>
    <row r="186" spans="1:38">
      <c r="A186" s="264">
        <v>1343</v>
      </c>
      <c r="B186" s="264" t="s">
        <v>230</v>
      </c>
      <c r="C186" s="264" t="s">
        <v>1052</v>
      </c>
      <c r="D186" s="264" t="s">
        <v>991</v>
      </c>
      <c r="E186" s="264">
        <v>20000</v>
      </c>
      <c r="F186" s="264" t="s">
        <v>45</v>
      </c>
      <c r="G186" s="389">
        <v>24290</v>
      </c>
      <c r="H186" s="264">
        <v>57</v>
      </c>
      <c r="I186" s="389">
        <v>36390</v>
      </c>
      <c r="K186" s="390">
        <v>43800</v>
      </c>
      <c r="L186" s="264">
        <v>20</v>
      </c>
      <c r="M186" s="264" t="s">
        <v>1015</v>
      </c>
      <c r="N186" s="264">
        <v>1</v>
      </c>
      <c r="O186" s="264" t="s">
        <v>829</v>
      </c>
      <c r="P186" s="264" t="s">
        <v>994</v>
      </c>
      <c r="Q186" s="264" t="s">
        <v>1009</v>
      </c>
      <c r="R186" s="264" t="s">
        <v>1010</v>
      </c>
      <c r="S186" s="264" t="s">
        <v>996</v>
      </c>
      <c r="T186" s="264" t="s">
        <v>997</v>
      </c>
      <c r="U186" s="264" t="s">
        <v>995</v>
      </c>
      <c r="V186" s="264" t="s">
        <v>995</v>
      </c>
      <c r="W186" s="264" t="s">
        <v>995</v>
      </c>
      <c r="X186" s="264" t="s">
        <v>828</v>
      </c>
      <c r="Y186" s="264" t="s">
        <v>998</v>
      </c>
      <c r="Z186" s="264">
        <v>31</v>
      </c>
      <c r="AA186" s="264" t="s">
        <v>999</v>
      </c>
      <c r="AB186" s="264">
        <v>31</v>
      </c>
      <c r="AC186" s="264" t="s">
        <v>999</v>
      </c>
      <c r="AD186" s="264" t="s">
        <v>1000</v>
      </c>
      <c r="AE186" s="264" t="s">
        <v>1000</v>
      </c>
      <c r="AF186" s="264" t="s">
        <v>1000</v>
      </c>
      <c r="AG186" s="264" t="s">
        <v>1000</v>
      </c>
      <c r="AH186" s="264" t="s">
        <v>1002</v>
      </c>
      <c r="AI186" s="264" t="s">
        <v>1002</v>
      </c>
      <c r="AJ186" s="264" t="s">
        <v>995</v>
      </c>
      <c r="AK186" s="264" t="s">
        <v>995</v>
      </c>
      <c r="AL186" s="264" t="s">
        <v>995</v>
      </c>
    </row>
    <row r="187" spans="1:38">
      <c r="A187" s="264">
        <v>1398</v>
      </c>
      <c r="B187" s="264" t="s">
        <v>95</v>
      </c>
      <c r="C187" s="264" t="s">
        <v>1060</v>
      </c>
      <c r="D187" s="264" t="s">
        <v>1004</v>
      </c>
      <c r="E187" s="264">
        <v>22000</v>
      </c>
      <c r="F187" s="264" t="s">
        <v>49</v>
      </c>
      <c r="G187" s="389">
        <v>32386</v>
      </c>
      <c r="H187" s="264">
        <v>35</v>
      </c>
      <c r="I187" s="389">
        <v>43525</v>
      </c>
      <c r="K187" s="390">
        <v>43525</v>
      </c>
      <c r="L187" s="264">
        <v>20</v>
      </c>
      <c r="M187" s="264" t="s">
        <v>1015</v>
      </c>
      <c r="N187" s="264">
        <v>1</v>
      </c>
      <c r="O187" s="264" t="s">
        <v>829</v>
      </c>
      <c r="P187" s="264" t="s">
        <v>994</v>
      </c>
      <c r="Q187" s="264" t="s">
        <v>1009</v>
      </c>
      <c r="R187" s="264" t="s">
        <v>1010</v>
      </c>
      <c r="S187" s="264" t="s">
        <v>996</v>
      </c>
      <c r="T187" s="264" t="s">
        <v>997</v>
      </c>
      <c r="U187" s="264" t="s">
        <v>995</v>
      </c>
      <c r="V187" s="264" t="s">
        <v>995</v>
      </c>
      <c r="W187" s="264" t="s">
        <v>995</v>
      </c>
      <c r="X187" s="264" t="s">
        <v>828</v>
      </c>
      <c r="Y187" s="264" t="s">
        <v>998</v>
      </c>
      <c r="Z187" s="264">
        <v>31</v>
      </c>
      <c r="AA187" s="264" t="s">
        <v>999</v>
      </c>
      <c r="AB187" s="264">
        <v>31</v>
      </c>
      <c r="AC187" s="264" t="s">
        <v>999</v>
      </c>
      <c r="AD187" s="264" t="s">
        <v>1000</v>
      </c>
      <c r="AE187" s="264" t="s">
        <v>1000</v>
      </c>
      <c r="AF187" s="264" t="s">
        <v>1000</v>
      </c>
      <c r="AG187" s="264" t="s">
        <v>1000</v>
      </c>
      <c r="AH187" s="264" t="s">
        <v>1002</v>
      </c>
      <c r="AI187" s="264" t="s">
        <v>1002</v>
      </c>
      <c r="AJ187" s="264" t="s">
        <v>995</v>
      </c>
      <c r="AK187" s="264" t="s">
        <v>995</v>
      </c>
      <c r="AL187" s="264" t="s">
        <v>995</v>
      </c>
    </row>
    <row r="188" spans="1:38">
      <c r="A188" s="264">
        <v>1416</v>
      </c>
      <c r="B188" s="264" t="s">
        <v>745</v>
      </c>
      <c r="C188" s="264" t="s">
        <v>1061</v>
      </c>
      <c r="D188" s="264" t="s">
        <v>1004</v>
      </c>
      <c r="E188" s="264">
        <v>22000</v>
      </c>
      <c r="F188" s="264" t="s">
        <v>49</v>
      </c>
      <c r="G188" s="389">
        <v>30635</v>
      </c>
      <c r="H188" s="264">
        <v>40</v>
      </c>
      <c r="I188" s="389">
        <v>44470</v>
      </c>
      <c r="K188" s="390">
        <v>44470</v>
      </c>
      <c r="L188" s="264">
        <v>20</v>
      </c>
      <c r="M188" s="264" t="s">
        <v>1015</v>
      </c>
      <c r="N188" s="264">
        <v>1</v>
      </c>
      <c r="O188" s="264" t="s">
        <v>829</v>
      </c>
      <c r="P188" s="264" t="s">
        <v>994</v>
      </c>
      <c r="Q188" s="264" t="s">
        <v>1009</v>
      </c>
      <c r="R188" s="264" t="s">
        <v>1010</v>
      </c>
      <c r="S188" s="264" t="s">
        <v>996</v>
      </c>
      <c r="T188" s="264" t="s">
        <v>997</v>
      </c>
      <c r="U188" s="264" t="s">
        <v>995</v>
      </c>
      <c r="V188" s="264" t="s">
        <v>995</v>
      </c>
      <c r="W188" s="264" t="s">
        <v>995</v>
      </c>
      <c r="X188" s="264" t="s">
        <v>828</v>
      </c>
      <c r="Y188" s="264" t="s">
        <v>998</v>
      </c>
      <c r="Z188" s="264">
        <v>31</v>
      </c>
      <c r="AA188" s="264" t="s">
        <v>999</v>
      </c>
      <c r="AB188" s="264">
        <v>31</v>
      </c>
      <c r="AC188" s="264" t="s">
        <v>999</v>
      </c>
      <c r="AD188" s="264" t="s">
        <v>1000</v>
      </c>
      <c r="AE188" s="264" t="s">
        <v>1000</v>
      </c>
      <c r="AF188" s="264" t="s">
        <v>1000</v>
      </c>
      <c r="AG188" s="264" t="s">
        <v>1000</v>
      </c>
      <c r="AH188" s="264" t="s">
        <v>1002</v>
      </c>
      <c r="AI188" s="264" t="s">
        <v>1002</v>
      </c>
      <c r="AJ188" s="264" t="s">
        <v>995</v>
      </c>
      <c r="AK188" s="264" t="s">
        <v>995</v>
      </c>
      <c r="AL188" s="264" t="s">
        <v>995</v>
      </c>
    </row>
    <row r="189" spans="1:38">
      <c r="A189" s="264">
        <v>1447</v>
      </c>
      <c r="B189" s="264" t="s">
        <v>1062</v>
      </c>
      <c r="C189" s="264" t="s">
        <v>1063</v>
      </c>
      <c r="D189" s="264" t="s">
        <v>991</v>
      </c>
      <c r="E189" s="264">
        <v>22000</v>
      </c>
      <c r="F189" s="264" t="s">
        <v>49</v>
      </c>
      <c r="G189" s="389">
        <v>24691</v>
      </c>
      <c r="H189" s="264">
        <v>56</v>
      </c>
      <c r="I189" s="389">
        <v>45078</v>
      </c>
      <c r="K189" s="390">
        <v>45078</v>
      </c>
      <c r="L189" s="264">
        <v>20</v>
      </c>
      <c r="M189" s="264" t="s">
        <v>1015</v>
      </c>
      <c r="N189" s="264">
        <v>1</v>
      </c>
      <c r="O189" s="264" t="s">
        <v>829</v>
      </c>
      <c r="P189" s="264" t="s">
        <v>994</v>
      </c>
      <c r="Q189" s="264" t="s">
        <v>1009</v>
      </c>
      <c r="R189" s="264" t="s">
        <v>1010</v>
      </c>
      <c r="S189" s="264" t="s">
        <v>996</v>
      </c>
      <c r="T189" s="264" t="s">
        <v>997</v>
      </c>
      <c r="U189" s="264" t="s">
        <v>995</v>
      </c>
      <c r="V189" s="264" t="s">
        <v>995</v>
      </c>
      <c r="W189" s="264" t="s">
        <v>995</v>
      </c>
      <c r="X189" s="264" t="s">
        <v>828</v>
      </c>
      <c r="Y189" s="264" t="s">
        <v>998</v>
      </c>
      <c r="Z189" s="264">
        <v>31</v>
      </c>
      <c r="AA189" s="264" t="s">
        <v>999</v>
      </c>
      <c r="AB189" s="264">
        <v>31</v>
      </c>
      <c r="AC189" s="264" t="s">
        <v>999</v>
      </c>
      <c r="AD189" s="264" t="s">
        <v>1000</v>
      </c>
      <c r="AE189" s="264" t="s">
        <v>1000</v>
      </c>
      <c r="AF189" s="264" t="s">
        <v>1000</v>
      </c>
      <c r="AG189" s="264" t="s">
        <v>1000</v>
      </c>
      <c r="AH189" s="264" t="s">
        <v>1002</v>
      </c>
      <c r="AI189" s="264" t="s">
        <v>1002</v>
      </c>
      <c r="AJ189" s="264" t="s">
        <v>995</v>
      </c>
      <c r="AK189" s="264" t="s">
        <v>995</v>
      </c>
      <c r="AL189" s="264" t="s">
        <v>995</v>
      </c>
    </row>
    <row r="190" spans="1:38">
      <c r="A190" s="264">
        <v>2785</v>
      </c>
      <c r="B190" s="264" t="s">
        <v>231</v>
      </c>
      <c r="C190" s="264" t="s">
        <v>1064</v>
      </c>
      <c r="D190" s="264" t="s">
        <v>991</v>
      </c>
      <c r="E190" s="264">
        <v>22000</v>
      </c>
      <c r="F190" s="264" t="s">
        <v>49</v>
      </c>
      <c r="G190" s="389">
        <v>24822</v>
      </c>
      <c r="H190" s="264">
        <v>56</v>
      </c>
      <c r="I190" s="389">
        <v>31495</v>
      </c>
      <c r="K190" s="390">
        <v>42278</v>
      </c>
      <c r="L190" s="264">
        <v>20</v>
      </c>
      <c r="M190" s="264" t="s">
        <v>1015</v>
      </c>
      <c r="N190" s="264">
        <v>1</v>
      </c>
      <c r="O190" s="264" t="s">
        <v>829</v>
      </c>
      <c r="P190" s="264" t="s">
        <v>994</v>
      </c>
      <c r="Q190" s="264" t="s">
        <v>1009</v>
      </c>
      <c r="R190" s="264" t="s">
        <v>1010</v>
      </c>
      <c r="S190" s="264" t="s">
        <v>996</v>
      </c>
      <c r="T190" s="264" t="s">
        <v>997</v>
      </c>
      <c r="U190" s="264" t="s">
        <v>995</v>
      </c>
      <c r="V190" s="264" t="s">
        <v>995</v>
      </c>
      <c r="W190" s="264" t="s">
        <v>995</v>
      </c>
      <c r="X190" s="264" t="s">
        <v>828</v>
      </c>
      <c r="Y190" s="264" t="s">
        <v>998</v>
      </c>
      <c r="Z190" s="264">
        <v>31</v>
      </c>
      <c r="AA190" s="264" t="s">
        <v>999</v>
      </c>
      <c r="AB190" s="264">
        <v>31</v>
      </c>
      <c r="AC190" s="264" t="s">
        <v>999</v>
      </c>
      <c r="AD190" s="264" t="s">
        <v>1000</v>
      </c>
      <c r="AE190" s="264" t="s">
        <v>1000</v>
      </c>
      <c r="AF190" s="264" t="s">
        <v>1000</v>
      </c>
      <c r="AG190" s="264" t="s">
        <v>1000</v>
      </c>
      <c r="AH190" s="264" t="s">
        <v>1002</v>
      </c>
      <c r="AI190" s="264" t="s">
        <v>1002</v>
      </c>
      <c r="AJ190" s="264" t="s">
        <v>995</v>
      </c>
      <c r="AK190" s="264" t="s">
        <v>995</v>
      </c>
      <c r="AL190" s="264" t="s">
        <v>995</v>
      </c>
    </row>
    <row r="191" spans="1:38">
      <c r="A191" s="264">
        <v>2972</v>
      </c>
      <c r="B191" s="264" t="s">
        <v>51</v>
      </c>
      <c r="C191" s="264" t="s">
        <v>1065</v>
      </c>
      <c r="D191" s="264" t="s">
        <v>1004</v>
      </c>
      <c r="E191" s="264">
        <v>22000</v>
      </c>
      <c r="F191" s="264" t="s">
        <v>49</v>
      </c>
      <c r="G191" s="389">
        <v>26926</v>
      </c>
      <c r="H191" s="264">
        <v>50</v>
      </c>
      <c r="I191" s="389">
        <v>34415</v>
      </c>
      <c r="K191" s="390">
        <v>42278</v>
      </c>
      <c r="L191" s="264">
        <v>20</v>
      </c>
      <c r="M191" s="264" t="s">
        <v>1015</v>
      </c>
      <c r="N191" s="264">
        <v>1</v>
      </c>
      <c r="O191" s="264" t="s">
        <v>829</v>
      </c>
      <c r="P191" s="264" t="s">
        <v>994</v>
      </c>
      <c r="Q191" s="264" t="s">
        <v>1009</v>
      </c>
      <c r="R191" s="264" t="s">
        <v>1010</v>
      </c>
      <c r="S191" s="264" t="s">
        <v>996</v>
      </c>
      <c r="T191" s="264" t="s">
        <v>997</v>
      </c>
      <c r="U191" s="264" t="s">
        <v>995</v>
      </c>
      <c r="V191" s="264" t="s">
        <v>995</v>
      </c>
      <c r="W191" s="264" t="s">
        <v>995</v>
      </c>
      <c r="X191" s="264" t="s">
        <v>828</v>
      </c>
      <c r="Y191" s="264" t="s">
        <v>998</v>
      </c>
      <c r="Z191" s="264">
        <v>31</v>
      </c>
      <c r="AA191" s="264" t="s">
        <v>999</v>
      </c>
      <c r="AB191" s="264">
        <v>31</v>
      </c>
      <c r="AC191" s="264" t="s">
        <v>999</v>
      </c>
      <c r="AD191" s="264" t="s">
        <v>1000</v>
      </c>
      <c r="AE191" s="264" t="s">
        <v>1000</v>
      </c>
      <c r="AF191" s="264" t="s">
        <v>1000</v>
      </c>
      <c r="AG191" s="264" t="s">
        <v>1000</v>
      </c>
      <c r="AH191" s="264" t="s">
        <v>1002</v>
      </c>
      <c r="AI191" s="264" t="s">
        <v>1002</v>
      </c>
      <c r="AJ191" s="264" t="s">
        <v>995</v>
      </c>
      <c r="AK191" s="264" t="s">
        <v>995</v>
      </c>
      <c r="AL191" s="264" t="s">
        <v>995</v>
      </c>
    </row>
    <row r="192" spans="1:38">
      <c r="A192" s="264">
        <v>3161</v>
      </c>
      <c r="B192" s="264" t="s">
        <v>232</v>
      </c>
      <c r="C192" s="264" t="s">
        <v>1066</v>
      </c>
      <c r="D192" s="264" t="s">
        <v>991</v>
      </c>
      <c r="E192" s="264">
        <v>22000</v>
      </c>
      <c r="F192" s="264" t="s">
        <v>49</v>
      </c>
      <c r="G192" s="389">
        <v>29138</v>
      </c>
      <c r="H192" s="264">
        <v>44</v>
      </c>
      <c r="I192" s="389">
        <v>36606</v>
      </c>
      <c r="K192" s="390">
        <v>42278</v>
      </c>
      <c r="L192" s="264">
        <v>20</v>
      </c>
      <c r="M192" s="264" t="s">
        <v>1015</v>
      </c>
      <c r="N192" s="264">
        <v>1</v>
      </c>
      <c r="O192" s="264" t="s">
        <v>829</v>
      </c>
      <c r="P192" s="264" t="s">
        <v>994</v>
      </c>
      <c r="Q192" s="264" t="s">
        <v>1009</v>
      </c>
      <c r="R192" s="264" t="s">
        <v>1010</v>
      </c>
      <c r="S192" s="264" t="s">
        <v>996</v>
      </c>
      <c r="T192" s="264" t="s">
        <v>997</v>
      </c>
      <c r="U192" s="264" t="s">
        <v>995</v>
      </c>
      <c r="V192" s="264" t="s">
        <v>995</v>
      </c>
      <c r="W192" s="264" t="s">
        <v>995</v>
      </c>
      <c r="X192" s="264" t="s">
        <v>828</v>
      </c>
      <c r="Y192" s="264" t="s">
        <v>998</v>
      </c>
      <c r="Z192" s="264">
        <v>31</v>
      </c>
      <c r="AA192" s="264" t="s">
        <v>999</v>
      </c>
      <c r="AB192" s="264">
        <v>31</v>
      </c>
      <c r="AC192" s="264" t="s">
        <v>999</v>
      </c>
      <c r="AD192" s="264" t="s">
        <v>1000</v>
      </c>
      <c r="AE192" s="264" t="s">
        <v>1000</v>
      </c>
      <c r="AF192" s="264" t="s">
        <v>1000</v>
      </c>
      <c r="AG192" s="264" t="s">
        <v>1000</v>
      </c>
      <c r="AH192" s="264" t="s">
        <v>1002</v>
      </c>
      <c r="AI192" s="264" t="s">
        <v>1002</v>
      </c>
      <c r="AJ192" s="264" t="s">
        <v>995</v>
      </c>
      <c r="AK192" s="264" t="s">
        <v>995</v>
      </c>
      <c r="AL192" s="264" t="s">
        <v>995</v>
      </c>
    </row>
    <row r="193" spans="1:38">
      <c r="A193" s="264">
        <v>2809</v>
      </c>
      <c r="B193" s="264" t="s">
        <v>220</v>
      </c>
      <c r="C193" s="264" t="s">
        <v>1055</v>
      </c>
      <c r="D193" s="264" t="s">
        <v>1004</v>
      </c>
      <c r="E193" s="264">
        <v>21000</v>
      </c>
      <c r="F193" s="264" t="s">
        <v>638</v>
      </c>
      <c r="G193" s="389">
        <v>25083</v>
      </c>
      <c r="H193" s="264">
        <v>55</v>
      </c>
      <c r="I193" s="389">
        <v>31862</v>
      </c>
      <c r="K193" s="390">
        <v>42278</v>
      </c>
      <c r="L193" s="264">
        <v>20</v>
      </c>
      <c r="M193" s="264" t="s">
        <v>1015</v>
      </c>
      <c r="N193" s="264">
        <v>1</v>
      </c>
      <c r="O193" s="264" t="s">
        <v>829</v>
      </c>
      <c r="P193" s="264" t="s">
        <v>994</v>
      </c>
      <c r="Q193" s="264" t="s">
        <v>1009</v>
      </c>
      <c r="R193" s="264" t="s">
        <v>1010</v>
      </c>
      <c r="S193" s="264" t="s">
        <v>996</v>
      </c>
      <c r="T193" s="264" t="s">
        <v>997</v>
      </c>
      <c r="U193" s="264" t="s">
        <v>995</v>
      </c>
      <c r="V193" s="264" t="s">
        <v>995</v>
      </c>
      <c r="W193" s="264" t="s">
        <v>995</v>
      </c>
      <c r="X193" s="264" t="s">
        <v>828</v>
      </c>
      <c r="Y193" s="264" t="s">
        <v>998</v>
      </c>
      <c r="Z193" s="264">
        <v>31</v>
      </c>
      <c r="AA193" s="264" t="s">
        <v>999</v>
      </c>
      <c r="AB193" s="264">
        <v>31</v>
      </c>
      <c r="AC193" s="264" t="s">
        <v>999</v>
      </c>
      <c r="AD193" s="264" t="s">
        <v>1000</v>
      </c>
      <c r="AE193" s="264" t="s">
        <v>1000</v>
      </c>
      <c r="AF193" s="264" t="s">
        <v>1000</v>
      </c>
      <c r="AG193" s="264" t="s">
        <v>1000</v>
      </c>
      <c r="AH193" s="264" t="s">
        <v>1002</v>
      </c>
      <c r="AI193" s="264" t="s">
        <v>1002</v>
      </c>
      <c r="AJ193" s="264" t="s">
        <v>995</v>
      </c>
      <c r="AK193" s="264" t="s">
        <v>995</v>
      </c>
      <c r="AL193" s="264" t="s">
        <v>995</v>
      </c>
    </row>
    <row r="194" spans="1:38">
      <c r="A194" s="264">
        <v>3296</v>
      </c>
      <c r="B194" s="264" t="s">
        <v>253</v>
      </c>
      <c r="C194" s="264" t="s">
        <v>1056</v>
      </c>
      <c r="D194" s="264" t="s">
        <v>991</v>
      </c>
      <c r="E194" s="264">
        <v>21000</v>
      </c>
      <c r="F194" s="264" t="s">
        <v>638</v>
      </c>
      <c r="G194" s="389">
        <v>32869</v>
      </c>
      <c r="H194" s="264">
        <v>34</v>
      </c>
      <c r="I194" s="389">
        <v>39528</v>
      </c>
      <c r="K194" s="390">
        <v>42278</v>
      </c>
      <c r="L194" s="264">
        <v>20</v>
      </c>
      <c r="M194" s="264" t="s">
        <v>1015</v>
      </c>
      <c r="N194" s="264">
        <v>1</v>
      </c>
      <c r="O194" s="264" t="s">
        <v>829</v>
      </c>
      <c r="P194" s="264" t="s">
        <v>994</v>
      </c>
      <c r="Q194" s="264" t="s">
        <v>1009</v>
      </c>
      <c r="R194" s="264" t="s">
        <v>1010</v>
      </c>
      <c r="S194" s="264" t="s">
        <v>996</v>
      </c>
      <c r="T194" s="264" t="s">
        <v>997</v>
      </c>
      <c r="U194" s="264" t="s">
        <v>995</v>
      </c>
      <c r="V194" s="264" t="s">
        <v>995</v>
      </c>
      <c r="W194" s="264" t="s">
        <v>995</v>
      </c>
      <c r="X194" s="264" t="s">
        <v>828</v>
      </c>
      <c r="Y194" s="264" t="s">
        <v>998</v>
      </c>
      <c r="Z194" s="264">
        <v>31</v>
      </c>
      <c r="AA194" s="264" t="s">
        <v>999</v>
      </c>
      <c r="AB194" s="264">
        <v>31</v>
      </c>
      <c r="AC194" s="264" t="s">
        <v>999</v>
      </c>
      <c r="AD194" s="264" t="s">
        <v>1000</v>
      </c>
      <c r="AE194" s="264" t="s">
        <v>1000</v>
      </c>
      <c r="AF194" s="264" t="s">
        <v>1000</v>
      </c>
      <c r="AG194" s="264" t="s">
        <v>1000</v>
      </c>
      <c r="AH194" s="264" t="s">
        <v>1002</v>
      </c>
      <c r="AI194" s="264" t="s">
        <v>1002</v>
      </c>
      <c r="AJ194" s="264" t="s">
        <v>995</v>
      </c>
      <c r="AK194" s="264" t="s">
        <v>995</v>
      </c>
      <c r="AL194" s="264" t="s">
        <v>995</v>
      </c>
    </row>
    <row r="195" spans="1:38">
      <c r="A195" s="264">
        <v>3941</v>
      </c>
      <c r="B195" s="264" t="s">
        <v>225</v>
      </c>
      <c r="C195" s="264" t="s">
        <v>1057</v>
      </c>
      <c r="D195" s="264" t="s">
        <v>1004</v>
      </c>
      <c r="E195" s="264">
        <v>21000</v>
      </c>
      <c r="F195" s="264" t="s">
        <v>638</v>
      </c>
      <c r="G195" s="389">
        <v>25435</v>
      </c>
      <c r="H195" s="264">
        <v>54</v>
      </c>
      <c r="I195" s="389">
        <v>38901</v>
      </c>
      <c r="K195" s="390">
        <v>42278</v>
      </c>
      <c r="L195" s="264">
        <v>20</v>
      </c>
      <c r="M195" s="264" t="s">
        <v>1015</v>
      </c>
      <c r="N195" s="264">
        <v>1</v>
      </c>
      <c r="O195" s="264" t="s">
        <v>829</v>
      </c>
      <c r="P195" s="264" t="s">
        <v>994</v>
      </c>
      <c r="Q195" s="264" t="s">
        <v>1009</v>
      </c>
      <c r="R195" s="264" t="s">
        <v>1010</v>
      </c>
      <c r="S195" s="264" t="s">
        <v>996</v>
      </c>
      <c r="T195" s="264" t="s">
        <v>997</v>
      </c>
      <c r="U195" s="264" t="s">
        <v>995</v>
      </c>
      <c r="V195" s="264" t="s">
        <v>995</v>
      </c>
      <c r="W195" s="264" t="s">
        <v>995</v>
      </c>
      <c r="X195" s="264" t="s">
        <v>828</v>
      </c>
      <c r="Y195" s="264" t="s">
        <v>998</v>
      </c>
      <c r="Z195" s="264">
        <v>31</v>
      </c>
      <c r="AA195" s="264" t="s">
        <v>999</v>
      </c>
      <c r="AB195" s="264">
        <v>31</v>
      </c>
      <c r="AC195" s="264" t="s">
        <v>999</v>
      </c>
      <c r="AD195" s="264" t="s">
        <v>1000</v>
      </c>
      <c r="AE195" s="264" t="s">
        <v>1000</v>
      </c>
      <c r="AF195" s="264" t="s">
        <v>1000</v>
      </c>
      <c r="AG195" s="264" t="s">
        <v>1000</v>
      </c>
      <c r="AH195" s="264" t="s">
        <v>1002</v>
      </c>
      <c r="AI195" s="264" t="s">
        <v>1002</v>
      </c>
      <c r="AJ195" s="264" t="s">
        <v>995</v>
      </c>
      <c r="AK195" s="264" t="s">
        <v>995</v>
      </c>
      <c r="AL195" s="264" t="s">
        <v>995</v>
      </c>
    </row>
    <row r="196" spans="1:38">
      <c r="A196" s="264">
        <v>1338</v>
      </c>
      <c r="B196" s="264" t="s">
        <v>132</v>
      </c>
      <c r="C196" s="264" t="s">
        <v>1357</v>
      </c>
      <c r="D196" s="264" t="s">
        <v>1004</v>
      </c>
      <c r="E196" s="264">
        <v>60000</v>
      </c>
      <c r="F196" s="264" t="s">
        <v>131</v>
      </c>
      <c r="G196" s="389">
        <v>25713</v>
      </c>
      <c r="H196" s="264">
        <v>53</v>
      </c>
      <c r="I196" s="389">
        <v>38596</v>
      </c>
      <c r="K196" s="390">
        <v>42278</v>
      </c>
      <c r="L196" s="264">
        <v>20</v>
      </c>
      <c r="M196" s="264" t="s">
        <v>1015</v>
      </c>
      <c r="N196" s="264">
        <v>1</v>
      </c>
      <c r="O196" s="264" t="s">
        <v>829</v>
      </c>
      <c r="P196" s="264" t="s">
        <v>994</v>
      </c>
      <c r="Q196" s="264" t="s">
        <v>1009</v>
      </c>
      <c r="R196" s="264" t="s">
        <v>1010</v>
      </c>
      <c r="S196" s="264" t="s">
        <v>996</v>
      </c>
      <c r="T196" s="264" t="s">
        <v>997</v>
      </c>
      <c r="U196" s="264" t="s">
        <v>995</v>
      </c>
      <c r="V196" s="264" t="s">
        <v>995</v>
      </c>
      <c r="W196" s="264" t="s">
        <v>995</v>
      </c>
      <c r="X196" s="264" t="s">
        <v>828</v>
      </c>
      <c r="Y196" s="264" t="s">
        <v>998</v>
      </c>
      <c r="Z196" s="264">
        <v>31</v>
      </c>
      <c r="AA196" s="264" t="s">
        <v>999</v>
      </c>
      <c r="AB196" s="264">
        <v>31</v>
      </c>
      <c r="AC196" s="264" t="s">
        <v>999</v>
      </c>
      <c r="AD196" s="264" t="s">
        <v>1000</v>
      </c>
      <c r="AE196" s="264" t="s">
        <v>1000</v>
      </c>
      <c r="AF196" s="264" t="s">
        <v>1000</v>
      </c>
      <c r="AG196" s="264" t="s">
        <v>1000</v>
      </c>
      <c r="AH196" s="264" t="s">
        <v>1002</v>
      </c>
      <c r="AI196" s="264" t="s">
        <v>1002</v>
      </c>
      <c r="AJ196" s="264" t="s">
        <v>995</v>
      </c>
      <c r="AK196" s="264" t="s">
        <v>995</v>
      </c>
      <c r="AL196" s="264" t="s">
        <v>995</v>
      </c>
    </row>
    <row r="197" spans="1:38">
      <c r="A197" s="264">
        <v>3455</v>
      </c>
      <c r="B197" s="264" t="s">
        <v>759</v>
      </c>
      <c r="C197" s="264" t="s">
        <v>1358</v>
      </c>
      <c r="D197" s="264" t="s">
        <v>991</v>
      </c>
      <c r="E197" s="264">
        <v>60000</v>
      </c>
      <c r="F197" s="264" t="s">
        <v>131</v>
      </c>
      <c r="G197" s="389">
        <v>34354</v>
      </c>
      <c r="H197" s="264">
        <v>30</v>
      </c>
      <c r="I197" s="389">
        <v>42461</v>
      </c>
      <c r="K197" s="390">
        <v>45078</v>
      </c>
      <c r="L197" s="264">
        <v>20</v>
      </c>
      <c r="M197" s="264" t="s">
        <v>1015</v>
      </c>
      <c r="N197" s="264">
        <v>1</v>
      </c>
      <c r="O197" s="264" t="s">
        <v>829</v>
      </c>
      <c r="P197" s="264" t="s">
        <v>994</v>
      </c>
      <c r="Q197" s="264" t="s">
        <v>1009</v>
      </c>
      <c r="R197" s="264" t="s">
        <v>1010</v>
      </c>
      <c r="S197" s="264" t="s">
        <v>996</v>
      </c>
      <c r="T197" s="264" t="s">
        <v>997</v>
      </c>
      <c r="U197" s="264" t="s">
        <v>995</v>
      </c>
      <c r="V197" s="264" t="s">
        <v>995</v>
      </c>
      <c r="W197" s="264" t="s">
        <v>995</v>
      </c>
      <c r="X197" s="264" t="s">
        <v>828</v>
      </c>
      <c r="Y197" s="264" t="s">
        <v>998</v>
      </c>
      <c r="Z197" s="264">
        <v>31</v>
      </c>
      <c r="AA197" s="264" t="s">
        <v>999</v>
      </c>
      <c r="AB197" s="264">
        <v>31</v>
      </c>
      <c r="AC197" s="264" t="s">
        <v>999</v>
      </c>
      <c r="AD197" s="264" t="s">
        <v>1000</v>
      </c>
      <c r="AE197" s="264" t="s">
        <v>1000</v>
      </c>
      <c r="AF197" s="264" t="s">
        <v>1000</v>
      </c>
      <c r="AG197" s="264" t="s">
        <v>1000</v>
      </c>
      <c r="AH197" s="264" t="s">
        <v>1039</v>
      </c>
      <c r="AI197" s="264" t="s">
        <v>1002</v>
      </c>
      <c r="AJ197" s="264" t="s">
        <v>995</v>
      </c>
      <c r="AK197" s="264" t="s">
        <v>995</v>
      </c>
      <c r="AL197" s="264" t="s">
        <v>995</v>
      </c>
    </row>
    <row r="198" spans="1:38">
      <c r="A198" s="264">
        <v>3992</v>
      </c>
      <c r="B198" s="264" t="s">
        <v>43</v>
      </c>
      <c r="C198" s="264" t="s">
        <v>1359</v>
      </c>
      <c r="D198" s="264" t="s">
        <v>1004</v>
      </c>
      <c r="E198" s="264">
        <v>60000</v>
      </c>
      <c r="F198" s="264" t="s">
        <v>131</v>
      </c>
      <c r="G198" s="389">
        <v>27583</v>
      </c>
      <c r="H198" s="264">
        <v>48</v>
      </c>
      <c r="I198" s="389">
        <v>39427</v>
      </c>
      <c r="K198" s="390">
        <v>42278</v>
      </c>
      <c r="L198" s="264">
        <v>20</v>
      </c>
      <c r="M198" s="264" t="s">
        <v>1015</v>
      </c>
      <c r="N198" s="264">
        <v>1</v>
      </c>
      <c r="O198" s="264" t="s">
        <v>829</v>
      </c>
      <c r="P198" s="264" t="s">
        <v>994</v>
      </c>
      <c r="Q198" s="264" t="s">
        <v>1009</v>
      </c>
      <c r="R198" s="264" t="s">
        <v>1010</v>
      </c>
      <c r="S198" s="264" t="s">
        <v>996</v>
      </c>
      <c r="T198" s="264" t="s">
        <v>997</v>
      </c>
      <c r="U198" s="264" t="s">
        <v>995</v>
      </c>
      <c r="V198" s="264" t="s">
        <v>995</v>
      </c>
      <c r="W198" s="264" t="s">
        <v>995</v>
      </c>
      <c r="X198" s="264" t="s">
        <v>828</v>
      </c>
      <c r="Y198" s="264" t="s">
        <v>998</v>
      </c>
      <c r="Z198" s="264">
        <v>31</v>
      </c>
      <c r="AA198" s="264" t="s">
        <v>999</v>
      </c>
      <c r="AB198" s="264">
        <v>31</v>
      </c>
      <c r="AC198" s="264" t="s">
        <v>999</v>
      </c>
      <c r="AD198" s="264" t="s">
        <v>1000</v>
      </c>
      <c r="AE198" s="264" t="s">
        <v>1000</v>
      </c>
      <c r="AF198" s="264" t="s">
        <v>1000</v>
      </c>
      <c r="AG198" s="264" t="s">
        <v>1000</v>
      </c>
      <c r="AH198" s="264" t="s">
        <v>1002</v>
      </c>
      <c r="AI198" s="264" t="s">
        <v>1002</v>
      </c>
      <c r="AJ198" s="264" t="s">
        <v>995</v>
      </c>
      <c r="AK198" s="264" t="s">
        <v>995</v>
      </c>
      <c r="AL198" s="264" t="s">
        <v>995</v>
      </c>
    </row>
    <row r="199" spans="1:38">
      <c r="A199" s="264">
        <v>8209</v>
      </c>
      <c r="B199" s="264" t="s">
        <v>790</v>
      </c>
      <c r="C199" s="264" t="s">
        <v>1361</v>
      </c>
      <c r="D199" s="264" t="s">
        <v>1004</v>
      </c>
      <c r="E199" s="264">
        <v>60020</v>
      </c>
      <c r="F199" s="264" t="s">
        <v>131</v>
      </c>
      <c r="G199" s="389">
        <v>22659</v>
      </c>
      <c r="H199" s="264">
        <v>62</v>
      </c>
      <c r="I199" s="389">
        <v>32498</v>
      </c>
      <c r="K199" s="390">
        <v>44562</v>
      </c>
      <c r="L199" s="264">
        <v>70</v>
      </c>
      <c r="M199" s="264" t="s">
        <v>1024</v>
      </c>
      <c r="N199" s="264">
        <v>1</v>
      </c>
      <c r="O199" s="264" t="s">
        <v>829</v>
      </c>
      <c r="P199" s="264" t="s">
        <v>994</v>
      </c>
      <c r="Q199" s="264" t="s">
        <v>1009</v>
      </c>
      <c r="R199" s="264" t="s">
        <v>1010</v>
      </c>
      <c r="S199" s="264" t="s">
        <v>996</v>
      </c>
      <c r="T199" s="264" t="s">
        <v>997</v>
      </c>
      <c r="U199" s="264" t="s">
        <v>995</v>
      </c>
      <c r="V199" s="264" t="s">
        <v>995</v>
      </c>
      <c r="W199" s="264" t="s">
        <v>995</v>
      </c>
      <c r="X199" s="264" t="s">
        <v>828</v>
      </c>
      <c r="Y199" s="264" t="s">
        <v>998</v>
      </c>
      <c r="Z199" s="264">
        <v>31</v>
      </c>
      <c r="AA199" s="264" t="s">
        <v>999</v>
      </c>
      <c r="AB199" s="264">
        <v>31</v>
      </c>
      <c r="AC199" s="264" t="s">
        <v>999</v>
      </c>
      <c r="AD199" s="264" t="s">
        <v>1000</v>
      </c>
      <c r="AE199" s="264" t="s">
        <v>1000</v>
      </c>
      <c r="AF199" s="264" t="s">
        <v>1000</v>
      </c>
      <c r="AG199" s="264" t="s">
        <v>1000</v>
      </c>
      <c r="AH199" s="264" t="s">
        <v>1002</v>
      </c>
      <c r="AI199" s="264" t="s">
        <v>1002</v>
      </c>
      <c r="AJ199" s="264" t="s">
        <v>995</v>
      </c>
      <c r="AK199" s="264" t="s">
        <v>995</v>
      </c>
      <c r="AL199" s="264" t="s">
        <v>995</v>
      </c>
    </row>
    <row r="200" spans="1:38">
      <c r="A200" s="264">
        <v>1388</v>
      </c>
      <c r="B200" s="264" t="s">
        <v>241</v>
      </c>
      <c r="C200" s="264" t="s">
        <v>1365</v>
      </c>
      <c r="D200" s="264" t="s">
        <v>991</v>
      </c>
      <c r="E200" s="264">
        <v>60200</v>
      </c>
      <c r="F200" s="264" t="s">
        <v>134</v>
      </c>
      <c r="G200" s="389">
        <v>28496</v>
      </c>
      <c r="H200" s="264">
        <v>46</v>
      </c>
      <c r="I200" s="389">
        <v>41890</v>
      </c>
      <c r="K200" s="390">
        <v>42278</v>
      </c>
      <c r="L200" s="264">
        <v>20</v>
      </c>
      <c r="M200" s="264" t="s">
        <v>1015</v>
      </c>
      <c r="N200" s="264">
        <v>1</v>
      </c>
      <c r="O200" s="264" t="s">
        <v>829</v>
      </c>
      <c r="P200" s="264" t="s">
        <v>994</v>
      </c>
      <c r="Q200" s="264" t="s">
        <v>1009</v>
      </c>
      <c r="R200" s="264" t="s">
        <v>1010</v>
      </c>
      <c r="S200" s="264" t="s">
        <v>996</v>
      </c>
      <c r="T200" s="264" t="s">
        <v>997</v>
      </c>
      <c r="U200" s="264" t="s">
        <v>995</v>
      </c>
      <c r="V200" s="264" t="s">
        <v>995</v>
      </c>
      <c r="W200" s="264" t="s">
        <v>995</v>
      </c>
      <c r="X200" s="264" t="s">
        <v>828</v>
      </c>
      <c r="Y200" s="264" t="s">
        <v>998</v>
      </c>
      <c r="Z200" s="264">
        <v>31</v>
      </c>
      <c r="AA200" s="264" t="s">
        <v>999</v>
      </c>
      <c r="AB200" s="264">
        <v>31</v>
      </c>
      <c r="AC200" s="264" t="s">
        <v>999</v>
      </c>
      <c r="AD200" s="264" t="s">
        <v>1000</v>
      </c>
      <c r="AE200" s="264" t="s">
        <v>1000</v>
      </c>
      <c r="AF200" s="264" t="s">
        <v>1000</v>
      </c>
      <c r="AG200" s="264" t="s">
        <v>1000</v>
      </c>
      <c r="AH200" s="264" t="s">
        <v>1002</v>
      </c>
      <c r="AI200" s="264" t="s">
        <v>1002</v>
      </c>
      <c r="AJ200" s="264" t="s">
        <v>995</v>
      </c>
      <c r="AK200" s="264" t="s">
        <v>995</v>
      </c>
      <c r="AL200" s="264" t="s">
        <v>995</v>
      </c>
    </row>
    <row r="201" spans="1:38">
      <c r="A201" s="264">
        <v>3393</v>
      </c>
      <c r="B201" s="264" t="s">
        <v>136</v>
      </c>
      <c r="C201" s="264" t="s">
        <v>1366</v>
      </c>
      <c r="D201" s="264" t="s">
        <v>1004</v>
      </c>
      <c r="E201" s="264">
        <v>60200</v>
      </c>
      <c r="F201" s="264" t="s">
        <v>134</v>
      </c>
      <c r="G201" s="389">
        <v>33973</v>
      </c>
      <c r="H201" s="264">
        <v>31</v>
      </c>
      <c r="I201" s="389">
        <v>41354</v>
      </c>
      <c r="K201" s="390">
        <v>42278</v>
      </c>
      <c r="L201" s="264">
        <v>20</v>
      </c>
      <c r="M201" s="264" t="s">
        <v>1015</v>
      </c>
      <c r="N201" s="264">
        <v>1</v>
      </c>
      <c r="O201" s="264" t="s">
        <v>829</v>
      </c>
      <c r="P201" s="264" t="s">
        <v>994</v>
      </c>
      <c r="Q201" s="264" t="s">
        <v>1009</v>
      </c>
      <c r="R201" s="264" t="s">
        <v>1010</v>
      </c>
      <c r="S201" s="264" t="s">
        <v>996</v>
      </c>
      <c r="T201" s="264" t="s">
        <v>997</v>
      </c>
      <c r="U201" s="264" t="s">
        <v>995</v>
      </c>
      <c r="V201" s="264" t="s">
        <v>995</v>
      </c>
      <c r="W201" s="264" t="s">
        <v>995</v>
      </c>
      <c r="X201" s="264" t="s">
        <v>828</v>
      </c>
      <c r="Y201" s="264" t="s">
        <v>998</v>
      </c>
      <c r="Z201" s="264">
        <v>31</v>
      </c>
      <c r="AA201" s="264" t="s">
        <v>999</v>
      </c>
      <c r="AB201" s="264">
        <v>31</v>
      </c>
      <c r="AC201" s="264" t="s">
        <v>999</v>
      </c>
      <c r="AD201" s="264" t="s">
        <v>1000</v>
      </c>
      <c r="AE201" s="264" t="s">
        <v>1000</v>
      </c>
      <c r="AF201" s="264" t="s">
        <v>1000</v>
      </c>
      <c r="AG201" s="264" t="s">
        <v>1000</v>
      </c>
      <c r="AH201" s="264" t="s">
        <v>1002</v>
      </c>
      <c r="AI201" s="264" t="s">
        <v>1002</v>
      </c>
      <c r="AJ201" s="264" t="s">
        <v>995</v>
      </c>
      <c r="AK201" s="264" t="s">
        <v>995</v>
      </c>
      <c r="AL201" s="264" t="s">
        <v>995</v>
      </c>
    </row>
    <row r="202" spans="1:38">
      <c r="A202" s="264">
        <v>3014</v>
      </c>
      <c r="B202" s="264" t="s">
        <v>222</v>
      </c>
      <c r="C202" s="264" t="s">
        <v>1362</v>
      </c>
      <c r="D202" s="264" t="s">
        <v>1004</v>
      </c>
      <c r="E202" s="264">
        <v>60100</v>
      </c>
      <c r="F202" s="264" t="s">
        <v>639</v>
      </c>
      <c r="G202" s="389">
        <v>25677</v>
      </c>
      <c r="H202" s="264">
        <v>53</v>
      </c>
      <c r="I202" s="389">
        <v>34780</v>
      </c>
      <c r="K202" s="390">
        <v>42278</v>
      </c>
      <c r="L202" s="264">
        <v>20</v>
      </c>
      <c r="M202" s="264" t="s">
        <v>1015</v>
      </c>
      <c r="N202" s="264">
        <v>1</v>
      </c>
      <c r="O202" s="264" t="s">
        <v>829</v>
      </c>
      <c r="P202" s="264" t="s">
        <v>994</v>
      </c>
      <c r="Q202" s="264" t="s">
        <v>1009</v>
      </c>
      <c r="R202" s="264" t="s">
        <v>1010</v>
      </c>
      <c r="S202" s="264" t="s">
        <v>996</v>
      </c>
      <c r="T202" s="264" t="s">
        <v>997</v>
      </c>
      <c r="U202" s="264" t="s">
        <v>995</v>
      </c>
      <c r="V202" s="264" t="s">
        <v>995</v>
      </c>
      <c r="W202" s="264" t="s">
        <v>995</v>
      </c>
      <c r="X202" s="264" t="s">
        <v>828</v>
      </c>
      <c r="Y202" s="264" t="s">
        <v>998</v>
      </c>
      <c r="Z202" s="264">
        <v>31</v>
      </c>
      <c r="AA202" s="264" t="s">
        <v>999</v>
      </c>
      <c r="AB202" s="264">
        <v>31</v>
      </c>
      <c r="AC202" s="264" t="s">
        <v>999</v>
      </c>
      <c r="AD202" s="264" t="s">
        <v>1000</v>
      </c>
      <c r="AE202" s="264" t="s">
        <v>1000</v>
      </c>
      <c r="AF202" s="264" t="s">
        <v>1000</v>
      </c>
      <c r="AG202" s="264" t="s">
        <v>1000</v>
      </c>
      <c r="AH202" s="264" t="s">
        <v>1002</v>
      </c>
      <c r="AI202" s="264" t="s">
        <v>1002</v>
      </c>
      <c r="AJ202" s="264" t="s">
        <v>995</v>
      </c>
      <c r="AK202" s="264" t="s">
        <v>995</v>
      </c>
      <c r="AL202" s="264" t="s">
        <v>995</v>
      </c>
    </row>
    <row r="203" spans="1:38">
      <c r="A203" s="264">
        <v>3067</v>
      </c>
      <c r="B203" s="264" t="s">
        <v>251</v>
      </c>
      <c r="C203" s="264" t="s">
        <v>1360</v>
      </c>
      <c r="D203" s="264" t="s">
        <v>991</v>
      </c>
      <c r="E203" s="264">
        <v>60000</v>
      </c>
      <c r="F203" s="264" t="s">
        <v>131</v>
      </c>
      <c r="G203" s="389">
        <v>27262</v>
      </c>
      <c r="H203" s="264">
        <v>49</v>
      </c>
      <c r="I203" s="389">
        <v>34780</v>
      </c>
      <c r="K203" s="390">
        <v>42278</v>
      </c>
      <c r="L203" s="264">
        <v>20</v>
      </c>
      <c r="M203" s="264" t="s">
        <v>1015</v>
      </c>
      <c r="N203" s="264">
        <v>1</v>
      </c>
      <c r="O203" s="264" t="s">
        <v>829</v>
      </c>
      <c r="P203" s="264" t="s">
        <v>994</v>
      </c>
      <c r="Q203" s="264" t="s">
        <v>1009</v>
      </c>
      <c r="R203" s="264" t="s">
        <v>1010</v>
      </c>
      <c r="S203" s="264" t="s">
        <v>996</v>
      </c>
      <c r="T203" s="264" t="s">
        <v>997</v>
      </c>
      <c r="U203" s="264" t="s">
        <v>995</v>
      </c>
      <c r="V203" s="264" t="s">
        <v>995</v>
      </c>
      <c r="W203" s="264" t="s">
        <v>995</v>
      </c>
      <c r="X203" s="264" t="s">
        <v>828</v>
      </c>
      <c r="Y203" s="264" t="s">
        <v>998</v>
      </c>
      <c r="Z203" s="264">
        <v>31</v>
      </c>
      <c r="AA203" s="264" t="s">
        <v>999</v>
      </c>
      <c r="AB203" s="264">
        <v>31</v>
      </c>
      <c r="AC203" s="264" t="s">
        <v>999</v>
      </c>
      <c r="AD203" s="264" t="s">
        <v>1000</v>
      </c>
      <c r="AE203" s="264" t="s">
        <v>1000</v>
      </c>
      <c r="AF203" s="264" t="s">
        <v>1000</v>
      </c>
      <c r="AG203" s="264" t="s">
        <v>1000</v>
      </c>
      <c r="AH203" s="264" t="s">
        <v>1002</v>
      </c>
      <c r="AI203" s="264" t="s">
        <v>1002</v>
      </c>
      <c r="AJ203" s="264" t="s">
        <v>995</v>
      </c>
      <c r="AK203" s="264" t="s">
        <v>995</v>
      </c>
      <c r="AL203" s="264" t="s">
        <v>995</v>
      </c>
    </row>
    <row r="204" spans="1:38">
      <c r="A204" s="264">
        <v>3268</v>
      </c>
      <c r="B204" s="264" t="s">
        <v>252</v>
      </c>
      <c r="C204" s="264" t="s">
        <v>1363</v>
      </c>
      <c r="D204" s="264" t="s">
        <v>991</v>
      </c>
      <c r="E204" s="264">
        <v>60100</v>
      </c>
      <c r="F204" s="264" t="s">
        <v>639</v>
      </c>
      <c r="G204" s="389">
        <v>32280</v>
      </c>
      <c r="H204" s="264">
        <v>35</v>
      </c>
      <c r="I204" s="389">
        <v>39162</v>
      </c>
      <c r="K204" s="390">
        <v>43770</v>
      </c>
      <c r="L204" s="264">
        <v>20</v>
      </c>
      <c r="M204" s="264" t="s">
        <v>1015</v>
      </c>
      <c r="N204" s="264">
        <v>1</v>
      </c>
      <c r="O204" s="264" t="s">
        <v>829</v>
      </c>
      <c r="P204" s="264" t="s">
        <v>994</v>
      </c>
      <c r="Q204" s="264" t="s">
        <v>1009</v>
      </c>
      <c r="R204" s="264" t="s">
        <v>1010</v>
      </c>
      <c r="S204" s="264" t="s">
        <v>996</v>
      </c>
      <c r="T204" s="264" t="s">
        <v>997</v>
      </c>
      <c r="U204" s="264" t="s">
        <v>995</v>
      </c>
      <c r="V204" s="264" t="s">
        <v>995</v>
      </c>
      <c r="W204" s="264" t="s">
        <v>995</v>
      </c>
      <c r="X204" s="264" t="s">
        <v>828</v>
      </c>
      <c r="Y204" s="264" t="s">
        <v>998</v>
      </c>
      <c r="Z204" s="264">
        <v>31</v>
      </c>
      <c r="AA204" s="264" t="s">
        <v>999</v>
      </c>
      <c r="AB204" s="264">
        <v>31</v>
      </c>
      <c r="AC204" s="264" t="s">
        <v>999</v>
      </c>
      <c r="AD204" s="264" t="s">
        <v>1000</v>
      </c>
      <c r="AE204" s="264" t="s">
        <v>1000</v>
      </c>
      <c r="AF204" s="264" t="s">
        <v>1000</v>
      </c>
      <c r="AG204" s="264" t="s">
        <v>1000</v>
      </c>
      <c r="AH204" s="264" t="s">
        <v>1002</v>
      </c>
      <c r="AI204" s="264" t="s">
        <v>1002</v>
      </c>
      <c r="AJ204" s="264" t="s">
        <v>995</v>
      </c>
      <c r="AK204" s="264" t="s">
        <v>995</v>
      </c>
      <c r="AL204" s="264" t="s">
        <v>995</v>
      </c>
    </row>
    <row r="205" spans="1:38">
      <c r="A205" s="264">
        <v>3384</v>
      </c>
      <c r="B205" s="264" t="s">
        <v>256</v>
      </c>
      <c r="C205" s="264" t="s">
        <v>1364</v>
      </c>
      <c r="D205" s="264" t="s">
        <v>991</v>
      </c>
      <c r="E205" s="264">
        <v>60100</v>
      </c>
      <c r="F205" s="264" t="s">
        <v>639</v>
      </c>
      <c r="G205" s="389">
        <v>34189</v>
      </c>
      <c r="H205" s="264">
        <v>30</v>
      </c>
      <c r="I205" s="389">
        <v>40989</v>
      </c>
      <c r="K205" s="390">
        <v>42278</v>
      </c>
      <c r="L205" s="264">
        <v>20</v>
      </c>
      <c r="M205" s="264" t="s">
        <v>1015</v>
      </c>
      <c r="N205" s="264">
        <v>1</v>
      </c>
      <c r="O205" s="264" t="s">
        <v>829</v>
      </c>
      <c r="P205" s="264" t="s">
        <v>994</v>
      </c>
      <c r="Q205" s="264" t="s">
        <v>1009</v>
      </c>
      <c r="R205" s="264" t="s">
        <v>1010</v>
      </c>
      <c r="S205" s="264" t="s">
        <v>996</v>
      </c>
      <c r="T205" s="264" t="s">
        <v>997</v>
      </c>
      <c r="U205" s="264" t="s">
        <v>995</v>
      </c>
      <c r="V205" s="264" t="s">
        <v>995</v>
      </c>
      <c r="W205" s="264" t="s">
        <v>995</v>
      </c>
      <c r="X205" s="264" t="s">
        <v>828</v>
      </c>
      <c r="Y205" s="264" t="s">
        <v>998</v>
      </c>
      <c r="Z205" s="264">
        <v>31</v>
      </c>
      <c r="AA205" s="264" t="s">
        <v>999</v>
      </c>
      <c r="AB205" s="264">
        <v>31</v>
      </c>
      <c r="AC205" s="264" t="s">
        <v>999</v>
      </c>
      <c r="AD205" s="264" t="s">
        <v>1000</v>
      </c>
      <c r="AE205" s="264" t="s">
        <v>1000</v>
      </c>
      <c r="AF205" s="264" t="s">
        <v>1000</v>
      </c>
      <c r="AG205" s="264" t="s">
        <v>1000</v>
      </c>
      <c r="AH205" s="264" t="s">
        <v>1002</v>
      </c>
      <c r="AI205" s="264" t="s">
        <v>1002</v>
      </c>
      <c r="AJ205" s="264" t="s">
        <v>995</v>
      </c>
      <c r="AK205" s="264" t="s">
        <v>995</v>
      </c>
      <c r="AL205" s="264" t="s">
        <v>995</v>
      </c>
    </row>
    <row r="206" spans="1:38">
      <c r="A206" s="264">
        <v>2806</v>
      </c>
      <c r="B206" s="264" t="s">
        <v>90</v>
      </c>
      <c r="C206" s="264" t="s">
        <v>1107</v>
      </c>
      <c r="D206" s="264" t="s">
        <v>1004</v>
      </c>
      <c r="E206" s="264">
        <v>40000</v>
      </c>
      <c r="F206" s="264" t="s">
        <v>87</v>
      </c>
      <c r="G206" s="389">
        <v>25087</v>
      </c>
      <c r="H206" s="264">
        <v>55</v>
      </c>
      <c r="I206" s="389">
        <v>31862</v>
      </c>
      <c r="K206" s="390">
        <v>42278</v>
      </c>
      <c r="L206" s="264">
        <v>20</v>
      </c>
      <c r="M206" s="264" t="s">
        <v>1015</v>
      </c>
      <c r="N206" s="264">
        <v>1</v>
      </c>
      <c r="O206" s="264" t="s">
        <v>829</v>
      </c>
      <c r="P206" s="264" t="s">
        <v>994</v>
      </c>
      <c r="Q206" s="264" t="s">
        <v>1009</v>
      </c>
      <c r="R206" s="264" t="s">
        <v>1010</v>
      </c>
      <c r="S206" s="264" t="s">
        <v>996</v>
      </c>
      <c r="T206" s="264" t="s">
        <v>997</v>
      </c>
      <c r="U206" s="264" t="s">
        <v>995</v>
      </c>
      <c r="V206" s="264" t="s">
        <v>995</v>
      </c>
      <c r="W206" s="264" t="s">
        <v>995</v>
      </c>
      <c r="X206" s="264" t="s">
        <v>828</v>
      </c>
      <c r="Y206" s="264" t="s">
        <v>998</v>
      </c>
      <c r="Z206" s="264">
        <v>31</v>
      </c>
      <c r="AA206" s="264" t="s">
        <v>999</v>
      </c>
      <c r="AB206" s="264">
        <v>31</v>
      </c>
      <c r="AC206" s="264" t="s">
        <v>999</v>
      </c>
      <c r="AD206" s="264" t="s">
        <v>1000</v>
      </c>
      <c r="AE206" s="264" t="s">
        <v>1000</v>
      </c>
      <c r="AF206" s="264" t="s">
        <v>1000</v>
      </c>
      <c r="AG206" s="264" t="s">
        <v>1000</v>
      </c>
      <c r="AH206" s="264" t="s">
        <v>1002</v>
      </c>
      <c r="AI206" s="264" t="s">
        <v>1002</v>
      </c>
      <c r="AJ206" s="264" t="s">
        <v>995</v>
      </c>
      <c r="AK206" s="264" t="s">
        <v>995</v>
      </c>
      <c r="AL206" s="264" t="s">
        <v>995</v>
      </c>
    </row>
    <row r="207" spans="1:38">
      <c r="A207" s="264">
        <v>1283</v>
      </c>
      <c r="B207" s="264" t="s">
        <v>737</v>
      </c>
      <c r="C207" s="264" t="s">
        <v>1108</v>
      </c>
      <c r="D207" s="264" t="s">
        <v>1004</v>
      </c>
      <c r="E207" s="264">
        <v>40000</v>
      </c>
      <c r="F207" s="264" t="s">
        <v>87</v>
      </c>
      <c r="G207" s="389">
        <v>23647</v>
      </c>
      <c r="H207" s="264">
        <v>59</v>
      </c>
      <c r="I207" s="389">
        <v>33695</v>
      </c>
      <c r="K207" s="390">
        <v>42979</v>
      </c>
      <c r="L207" s="264">
        <v>95</v>
      </c>
      <c r="M207" s="264" t="s">
        <v>1007</v>
      </c>
      <c r="N207" s="264">
        <v>3</v>
      </c>
      <c r="O207" s="264" t="s">
        <v>1008</v>
      </c>
      <c r="P207" s="264" t="s">
        <v>994</v>
      </c>
      <c r="Q207" s="264" t="s">
        <v>1009</v>
      </c>
      <c r="R207" s="264" t="s">
        <v>1010</v>
      </c>
      <c r="S207" s="264" t="s">
        <v>996</v>
      </c>
      <c r="T207" s="264" t="s">
        <v>997</v>
      </c>
      <c r="U207" s="264" t="s">
        <v>995</v>
      </c>
      <c r="V207" s="264" t="s">
        <v>995</v>
      </c>
      <c r="W207" s="264" t="s">
        <v>995</v>
      </c>
      <c r="X207" s="264" t="s">
        <v>828</v>
      </c>
      <c r="Y207" s="264" t="s">
        <v>998</v>
      </c>
      <c r="Z207" s="264">
        <v>31</v>
      </c>
      <c r="AA207" s="264" t="s">
        <v>999</v>
      </c>
      <c r="AB207" s="264">
        <v>31</v>
      </c>
      <c r="AC207" s="264" t="s">
        <v>999</v>
      </c>
      <c r="AD207" s="264" t="s">
        <v>1001</v>
      </c>
      <c r="AE207" s="264" t="s">
        <v>1001</v>
      </c>
      <c r="AF207" s="264" t="s">
        <v>1001</v>
      </c>
      <c r="AG207" s="264" t="s">
        <v>1001</v>
      </c>
      <c r="AH207" s="264" t="s">
        <v>1002</v>
      </c>
      <c r="AI207" s="264" t="s">
        <v>1002</v>
      </c>
      <c r="AJ207" s="264" t="s">
        <v>995</v>
      </c>
      <c r="AK207" s="264" t="s">
        <v>995</v>
      </c>
      <c r="AL207" s="264" t="s">
        <v>995</v>
      </c>
    </row>
    <row r="208" spans="1:38">
      <c r="A208" s="264">
        <v>2721</v>
      </c>
      <c r="B208" s="264" t="s">
        <v>123</v>
      </c>
      <c r="C208" s="264" t="s">
        <v>1109</v>
      </c>
      <c r="D208" s="264" t="s">
        <v>1004</v>
      </c>
      <c r="E208" s="264">
        <v>40000</v>
      </c>
      <c r="F208" s="264" t="s">
        <v>87</v>
      </c>
      <c r="G208" s="389">
        <v>23016</v>
      </c>
      <c r="H208" s="264">
        <v>61</v>
      </c>
      <c r="I208" s="389">
        <v>31134</v>
      </c>
      <c r="K208" s="390">
        <v>44713</v>
      </c>
      <c r="L208" s="264">
        <v>20</v>
      </c>
      <c r="M208" s="264" t="s">
        <v>1015</v>
      </c>
      <c r="N208" s="264">
        <v>1</v>
      </c>
      <c r="O208" s="264" t="s">
        <v>829</v>
      </c>
      <c r="P208" s="264" t="s">
        <v>994</v>
      </c>
      <c r="Q208" s="264" t="s">
        <v>1009</v>
      </c>
      <c r="R208" s="264" t="s">
        <v>995</v>
      </c>
      <c r="S208" s="264" t="s">
        <v>996</v>
      </c>
      <c r="T208" s="264" t="s">
        <v>997</v>
      </c>
      <c r="U208" s="264" t="s">
        <v>995</v>
      </c>
      <c r="V208" s="264" t="s">
        <v>995</v>
      </c>
      <c r="W208" s="264" t="s">
        <v>995</v>
      </c>
      <c r="X208" s="264" t="s">
        <v>828</v>
      </c>
      <c r="Y208" s="264" t="s">
        <v>998</v>
      </c>
      <c r="Z208" s="264">
        <v>31</v>
      </c>
      <c r="AA208" s="264" t="s">
        <v>999</v>
      </c>
      <c r="AB208" s="264">
        <v>31</v>
      </c>
      <c r="AC208" s="264" t="s">
        <v>999</v>
      </c>
      <c r="AD208" s="264" t="s">
        <v>1001</v>
      </c>
      <c r="AE208" s="264" t="s">
        <v>1000</v>
      </c>
      <c r="AF208" s="264" t="s">
        <v>1000</v>
      </c>
      <c r="AG208" s="264" t="s">
        <v>1001</v>
      </c>
      <c r="AH208" s="264" t="s">
        <v>1002</v>
      </c>
      <c r="AI208" s="264" t="s">
        <v>1002</v>
      </c>
      <c r="AJ208" s="264" t="s">
        <v>995</v>
      </c>
      <c r="AK208" s="264" t="s">
        <v>995</v>
      </c>
      <c r="AL208" s="264" t="s">
        <v>995</v>
      </c>
    </row>
    <row r="209" spans="1:38">
      <c r="A209" s="264">
        <v>3093</v>
      </c>
      <c r="B209" s="264" t="s">
        <v>754</v>
      </c>
      <c r="C209" s="264" t="s">
        <v>1110</v>
      </c>
      <c r="D209" s="264" t="s">
        <v>991</v>
      </c>
      <c r="E209" s="264">
        <v>40000</v>
      </c>
      <c r="F209" s="264" t="s">
        <v>87</v>
      </c>
      <c r="G209" s="389">
        <v>27514</v>
      </c>
      <c r="H209" s="264">
        <v>48</v>
      </c>
      <c r="I209" s="389">
        <v>35145</v>
      </c>
      <c r="K209" s="390">
        <v>42278</v>
      </c>
      <c r="L209" s="264">
        <v>20</v>
      </c>
      <c r="M209" s="264" t="s">
        <v>1015</v>
      </c>
      <c r="N209" s="264">
        <v>1</v>
      </c>
      <c r="O209" s="264" t="s">
        <v>829</v>
      </c>
      <c r="P209" s="264" t="s">
        <v>994</v>
      </c>
      <c r="Q209" s="264" t="s">
        <v>1009</v>
      </c>
      <c r="R209" s="264" t="s">
        <v>1010</v>
      </c>
      <c r="S209" s="264" t="s">
        <v>996</v>
      </c>
      <c r="T209" s="264" t="s">
        <v>997</v>
      </c>
      <c r="U209" s="264" t="s">
        <v>995</v>
      </c>
      <c r="V209" s="264" t="s">
        <v>995</v>
      </c>
      <c r="W209" s="264" t="s">
        <v>995</v>
      </c>
      <c r="X209" s="264" t="s">
        <v>828</v>
      </c>
      <c r="Y209" s="264" t="s">
        <v>998</v>
      </c>
      <c r="Z209" s="264">
        <v>31</v>
      </c>
      <c r="AA209" s="264" t="s">
        <v>999</v>
      </c>
      <c r="AB209" s="264">
        <v>31</v>
      </c>
      <c r="AC209" s="264" t="s">
        <v>999</v>
      </c>
      <c r="AD209" s="264" t="s">
        <v>1000</v>
      </c>
      <c r="AE209" s="264" t="s">
        <v>1000</v>
      </c>
      <c r="AF209" s="264" t="s">
        <v>1000</v>
      </c>
      <c r="AG209" s="264" t="s">
        <v>1000</v>
      </c>
      <c r="AH209" s="264" t="s">
        <v>1002</v>
      </c>
      <c r="AI209" s="264" t="s">
        <v>1002</v>
      </c>
      <c r="AJ209" s="264" t="s">
        <v>995</v>
      </c>
      <c r="AK209" s="264" t="s">
        <v>995</v>
      </c>
      <c r="AL209" s="264" t="s">
        <v>995</v>
      </c>
    </row>
    <row r="210" spans="1:38">
      <c r="A210" s="264">
        <v>3412</v>
      </c>
      <c r="B210" s="264" t="s">
        <v>94</v>
      </c>
      <c r="C210" s="264" t="s">
        <v>1111</v>
      </c>
      <c r="D210" s="264" t="s">
        <v>1004</v>
      </c>
      <c r="E210" s="264">
        <v>40000</v>
      </c>
      <c r="F210" s="264" t="s">
        <v>87</v>
      </c>
      <c r="G210" s="389">
        <v>33287</v>
      </c>
      <c r="H210" s="264">
        <v>32</v>
      </c>
      <c r="I210" s="389">
        <v>41719</v>
      </c>
      <c r="K210" s="390">
        <v>42278</v>
      </c>
      <c r="L210" s="264">
        <v>20</v>
      </c>
      <c r="M210" s="264" t="s">
        <v>1015</v>
      </c>
      <c r="N210" s="264">
        <v>1</v>
      </c>
      <c r="O210" s="264" t="s">
        <v>829</v>
      </c>
      <c r="P210" s="264" t="s">
        <v>994</v>
      </c>
      <c r="Q210" s="264" t="s">
        <v>1009</v>
      </c>
      <c r="R210" s="264" t="s">
        <v>1010</v>
      </c>
      <c r="S210" s="264" t="s">
        <v>996</v>
      </c>
      <c r="T210" s="264" t="s">
        <v>997</v>
      </c>
      <c r="U210" s="264" t="s">
        <v>995</v>
      </c>
      <c r="V210" s="264" t="s">
        <v>995</v>
      </c>
      <c r="W210" s="264" t="s">
        <v>995</v>
      </c>
      <c r="X210" s="264" t="s">
        <v>828</v>
      </c>
      <c r="Y210" s="264" t="s">
        <v>998</v>
      </c>
      <c r="Z210" s="264">
        <v>31</v>
      </c>
      <c r="AA210" s="264" t="s">
        <v>999</v>
      </c>
      <c r="AB210" s="264">
        <v>31</v>
      </c>
      <c r="AC210" s="264" t="s">
        <v>999</v>
      </c>
      <c r="AD210" s="264" t="s">
        <v>1000</v>
      </c>
      <c r="AE210" s="264" t="s">
        <v>1000</v>
      </c>
      <c r="AF210" s="264" t="s">
        <v>1000</v>
      </c>
      <c r="AG210" s="264" t="s">
        <v>1000</v>
      </c>
      <c r="AH210" s="264" t="s">
        <v>1002</v>
      </c>
      <c r="AI210" s="264" t="s">
        <v>1002</v>
      </c>
      <c r="AJ210" s="264" t="s">
        <v>995</v>
      </c>
      <c r="AK210" s="264" t="s">
        <v>995</v>
      </c>
      <c r="AL210" s="264" t="s">
        <v>995</v>
      </c>
    </row>
    <row r="211" spans="1:38">
      <c r="A211" s="264">
        <v>3453</v>
      </c>
      <c r="B211" s="264" t="s">
        <v>96</v>
      </c>
      <c r="C211" s="264" t="s">
        <v>1112</v>
      </c>
      <c r="D211" s="264" t="s">
        <v>1004</v>
      </c>
      <c r="E211" s="264">
        <v>40000</v>
      </c>
      <c r="F211" s="264" t="s">
        <v>87</v>
      </c>
      <c r="G211" s="389">
        <v>33979</v>
      </c>
      <c r="H211" s="264">
        <v>31</v>
      </c>
      <c r="I211" s="389">
        <v>42461</v>
      </c>
      <c r="K211" s="390">
        <v>42461</v>
      </c>
      <c r="L211" s="264">
        <v>20</v>
      </c>
      <c r="M211" s="264" t="s">
        <v>1015</v>
      </c>
      <c r="N211" s="264">
        <v>1</v>
      </c>
      <c r="O211" s="264" t="s">
        <v>829</v>
      </c>
      <c r="P211" s="264" t="s">
        <v>994</v>
      </c>
      <c r="Q211" s="264" t="s">
        <v>1009</v>
      </c>
      <c r="R211" s="264" t="s">
        <v>1010</v>
      </c>
      <c r="S211" s="264" t="s">
        <v>996</v>
      </c>
      <c r="T211" s="264" t="s">
        <v>997</v>
      </c>
      <c r="U211" s="264" t="s">
        <v>995</v>
      </c>
      <c r="V211" s="264" t="s">
        <v>995</v>
      </c>
      <c r="W211" s="264" t="s">
        <v>995</v>
      </c>
      <c r="X211" s="264" t="s">
        <v>828</v>
      </c>
      <c r="Y211" s="264" t="s">
        <v>998</v>
      </c>
      <c r="Z211" s="264">
        <v>31</v>
      </c>
      <c r="AA211" s="264" t="s">
        <v>999</v>
      </c>
      <c r="AB211" s="264">
        <v>31</v>
      </c>
      <c r="AC211" s="264" t="s">
        <v>999</v>
      </c>
      <c r="AD211" s="264" t="s">
        <v>1000</v>
      </c>
      <c r="AE211" s="264" t="s">
        <v>1000</v>
      </c>
      <c r="AF211" s="264" t="s">
        <v>1000</v>
      </c>
      <c r="AG211" s="264" t="s">
        <v>1000</v>
      </c>
      <c r="AH211" s="264" t="s">
        <v>1002</v>
      </c>
      <c r="AI211" s="264" t="s">
        <v>1002</v>
      </c>
      <c r="AJ211" s="264" t="s">
        <v>995</v>
      </c>
      <c r="AK211" s="264" t="s">
        <v>995</v>
      </c>
      <c r="AL211" s="264" t="s">
        <v>995</v>
      </c>
    </row>
    <row r="212" spans="1:38">
      <c r="A212" s="264">
        <v>2834</v>
      </c>
      <c r="B212" s="264" t="s">
        <v>92</v>
      </c>
      <c r="C212" s="264" t="s">
        <v>1113</v>
      </c>
      <c r="D212" s="264" t="s">
        <v>1004</v>
      </c>
      <c r="E212" s="264">
        <v>40000</v>
      </c>
      <c r="F212" s="264" t="s">
        <v>87</v>
      </c>
      <c r="G212" s="389">
        <v>25397</v>
      </c>
      <c r="H212" s="264">
        <v>54</v>
      </c>
      <c r="I212" s="389">
        <v>32226</v>
      </c>
      <c r="K212" s="390">
        <v>42278</v>
      </c>
      <c r="L212" s="264">
        <v>20</v>
      </c>
      <c r="M212" s="264" t="s">
        <v>1015</v>
      </c>
      <c r="N212" s="264">
        <v>1</v>
      </c>
      <c r="O212" s="264" t="s">
        <v>829</v>
      </c>
      <c r="P212" s="264" t="s">
        <v>994</v>
      </c>
      <c r="Q212" s="264" t="s">
        <v>1009</v>
      </c>
      <c r="R212" s="264" t="s">
        <v>1010</v>
      </c>
      <c r="S212" s="264" t="s">
        <v>996</v>
      </c>
      <c r="T212" s="264" t="s">
        <v>997</v>
      </c>
      <c r="U212" s="264" t="s">
        <v>995</v>
      </c>
      <c r="V212" s="264" t="s">
        <v>995</v>
      </c>
      <c r="W212" s="264" t="s">
        <v>995</v>
      </c>
      <c r="X212" s="264" t="s">
        <v>828</v>
      </c>
      <c r="Y212" s="264" t="s">
        <v>998</v>
      </c>
      <c r="Z212" s="264">
        <v>31</v>
      </c>
      <c r="AA212" s="264" t="s">
        <v>999</v>
      </c>
      <c r="AB212" s="264">
        <v>31</v>
      </c>
      <c r="AC212" s="264" t="s">
        <v>999</v>
      </c>
      <c r="AD212" s="264" t="s">
        <v>1000</v>
      </c>
      <c r="AE212" s="264" t="s">
        <v>1000</v>
      </c>
      <c r="AF212" s="264" t="s">
        <v>1000</v>
      </c>
      <c r="AG212" s="264" t="s">
        <v>1000</v>
      </c>
      <c r="AH212" s="264" t="s">
        <v>1002</v>
      </c>
      <c r="AI212" s="264" t="s">
        <v>1002</v>
      </c>
      <c r="AJ212" s="264" t="s">
        <v>995</v>
      </c>
      <c r="AK212" s="264" t="s">
        <v>995</v>
      </c>
      <c r="AL212" s="264" t="s">
        <v>995</v>
      </c>
    </row>
    <row r="213" spans="1:38">
      <c r="A213" s="264">
        <v>2979</v>
      </c>
      <c r="B213" s="264" t="s">
        <v>279</v>
      </c>
      <c r="C213" s="264" t="s">
        <v>1114</v>
      </c>
      <c r="D213" s="264" t="s">
        <v>1004</v>
      </c>
      <c r="E213" s="264">
        <v>40000</v>
      </c>
      <c r="F213" s="264" t="s">
        <v>87</v>
      </c>
      <c r="G213" s="389">
        <v>27579</v>
      </c>
      <c r="H213" s="264">
        <v>48</v>
      </c>
      <c r="I213" s="389">
        <v>34415</v>
      </c>
      <c r="K213" s="390">
        <v>42278</v>
      </c>
      <c r="L213" s="264">
        <v>20</v>
      </c>
      <c r="M213" s="264" t="s">
        <v>1015</v>
      </c>
      <c r="N213" s="264">
        <v>1</v>
      </c>
      <c r="O213" s="264" t="s">
        <v>829</v>
      </c>
      <c r="P213" s="264" t="s">
        <v>994</v>
      </c>
      <c r="Q213" s="264" t="s">
        <v>1009</v>
      </c>
      <c r="R213" s="264" t="s">
        <v>1010</v>
      </c>
      <c r="S213" s="264" t="s">
        <v>996</v>
      </c>
      <c r="T213" s="264" t="s">
        <v>997</v>
      </c>
      <c r="U213" s="264" t="s">
        <v>995</v>
      </c>
      <c r="V213" s="264" t="s">
        <v>995</v>
      </c>
      <c r="W213" s="264" t="s">
        <v>995</v>
      </c>
      <c r="X213" s="264" t="s">
        <v>828</v>
      </c>
      <c r="Y213" s="264" t="s">
        <v>998</v>
      </c>
      <c r="Z213" s="264">
        <v>31</v>
      </c>
      <c r="AA213" s="264" t="s">
        <v>999</v>
      </c>
      <c r="AB213" s="264">
        <v>31</v>
      </c>
      <c r="AC213" s="264" t="s">
        <v>999</v>
      </c>
      <c r="AD213" s="264" t="s">
        <v>1000</v>
      </c>
      <c r="AE213" s="264" t="s">
        <v>1000</v>
      </c>
      <c r="AF213" s="264" t="s">
        <v>1000</v>
      </c>
      <c r="AG213" s="264" t="s">
        <v>1000</v>
      </c>
      <c r="AH213" s="264" t="s">
        <v>1002</v>
      </c>
      <c r="AI213" s="264" t="s">
        <v>1002</v>
      </c>
      <c r="AJ213" s="264" t="s">
        <v>995</v>
      </c>
      <c r="AK213" s="264" t="s">
        <v>995</v>
      </c>
      <c r="AL213" s="264" t="s">
        <v>995</v>
      </c>
    </row>
    <row r="214" spans="1:38">
      <c r="A214" s="264">
        <v>1434</v>
      </c>
      <c r="B214" s="264" t="s">
        <v>837</v>
      </c>
      <c r="C214" s="264" t="s">
        <v>1245</v>
      </c>
      <c r="D214" s="264" t="s">
        <v>1004</v>
      </c>
      <c r="E214" s="264">
        <v>43011</v>
      </c>
      <c r="F214" s="264" t="s">
        <v>349</v>
      </c>
      <c r="G214" s="389">
        <v>25622</v>
      </c>
      <c r="H214" s="264">
        <v>53</v>
      </c>
      <c r="I214" s="389">
        <v>44812</v>
      </c>
      <c r="K214" s="390">
        <v>44531</v>
      </c>
      <c r="L214" s="264">
        <v>20</v>
      </c>
      <c r="M214" s="264" t="s">
        <v>1015</v>
      </c>
      <c r="N214" s="264">
        <v>1</v>
      </c>
      <c r="O214" s="264" t="s">
        <v>829</v>
      </c>
      <c r="P214" s="264" t="s">
        <v>994</v>
      </c>
      <c r="Q214" s="264" t="s">
        <v>1009</v>
      </c>
      <c r="R214" s="264" t="s">
        <v>1010</v>
      </c>
      <c r="S214" s="264" t="s">
        <v>996</v>
      </c>
      <c r="T214" s="264" t="s">
        <v>997</v>
      </c>
      <c r="U214" s="264" t="s">
        <v>995</v>
      </c>
      <c r="V214" s="264" t="s">
        <v>995</v>
      </c>
      <c r="W214" s="264" t="s">
        <v>995</v>
      </c>
      <c r="X214" s="264" t="s">
        <v>828</v>
      </c>
      <c r="Y214" s="264" t="s">
        <v>998</v>
      </c>
      <c r="Z214" s="264">
        <v>31</v>
      </c>
      <c r="AA214" s="264" t="s">
        <v>999</v>
      </c>
      <c r="AB214" s="264">
        <v>31</v>
      </c>
      <c r="AC214" s="264" t="s">
        <v>999</v>
      </c>
      <c r="AD214" s="264" t="s">
        <v>1000</v>
      </c>
      <c r="AE214" s="264" t="s">
        <v>1000</v>
      </c>
      <c r="AF214" s="264" t="s">
        <v>1000</v>
      </c>
      <c r="AG214" s="264" t="s">
        <v>1000</v>
      </c>
      <c r="AH214" s="264" t="s">
        <v>1002</v>
      </c>
      <c r="AI214" s="264" t="s">
        <v>1002</v>
      </c>
      <c r="AJ214" s="264" t="s">
        <v>995</v>
      </c>
      <c r="AK214" s="264" t="s">
        <v>995</v>
      </c>
      <c r="AL214" s="264" t="s">
        <v>995</v>
      </c>
    </row>
    <row r="215" spans="1:38">
      <c r="A215" s="264">
        <v>1445</v>
      </c>
      <c r="B215" s="264" t="s">
        <v>1246</v>
      </c>
      <c r="C215" s="264" t="s">
        <v>1247</v>
      </c>
      <c r="D215" s="264" t="s">
        <v>1004</v>
      </c>
      <c r="E215" s="264">
        <v>43011</v>
      </c>
      <c r="F215" s="264" t="s">
        <v>349</v>
      </c>
      <c r="G215" s="389">
        <v>28232</v>
      </c>
      <c r="H215" s="264">
        <v>46</v>
      </c>
      <c r="I215" s="389">
        <v>44958</v>
      </c>
      <c r="K215" s="390">
        <v>44531</v>
      </c>
      <c r="L215" s="264">
        <v>20</v>
      </c>
      <c r="M215" s="264" t="s">
        <v>1015</v>
      </c>
      <c r="N215" s="264">
        <v>1</v>
      </c>
      <c r="O215" s="264" t="s">
        <v>829</v>
      </c>
      <c r="P215" s="264" t="s">
        <v>994</v>
      </c>
      <c r="Q215" s="264" t="s">
        <v>1009</v>
      </c>
      <c r="R215" s="264" t="s">
        <v>1010</v>
      </c>
      <c r="S215" s="264" t="s">
        <v>996</v>
      </c>
      <c r="T215" s="264" t="s">
        <v>997</v>
      </c>
      <c r="U215" s="264" t="s">
        <v>995</v>
      </c>
      <c r="V215" s="264" t="s">
        <v>995</v>
      </c>
      <c r="W215" s="264" t="s">
        <v>995</v>
      </c>
      <c r="X215" s="264" t="s">
        <v>828</v>
      </c>
      <c r="Y215" s="264" t="s">
        <v>998</v>
      </c>
      <c r="Z215" s="264">
        <v>31</v>
      </c>
      <c r="AA215" s="264" t="s">
        <v>999</v>
      </c>
      <c r="AB215" s="264">
        <v>31</v>
      </c>
      <c r="AC215" s="264" t="s">
        <v>999</v>
      </c>
      <c r="AD215" s="264" t="s">
        <v>1000</v>
      </c>
      <c r="AE215" s="264" t="s">
        <v>1000</v>
      </c>
      <c r="AF215" s="264" t="s">
        <v>1000</v>
      </c>
      <c r="AG215" s="264" t="s">
        <v>1000</v>
      </c>
      <c r="AH215" s="264" t="s">
        <v>1002</v>
      </c>
      <c r="AI215" s="264" t="s">
        <v>1002</v>
      </c>
      <c r="AJ215" s="264" t="s">
        <v>995</v>
      </c>
      <c r="AK215" s="264" t="s">
        <v>995</v>
      </c>
      <c r="AL215" s="264" t="s">
        <v>995</v>
      </c>
    </row>
    <row r="216" spans="1:38">
      <c r="A216" s="264">
        <v>2934</v>
      </c>
      <c r="B216" s="264" t="s">
        <v>353</v>
      </c>
      <c r="C216" s="264" t="s">
        <v>1248</v>
      </c>
      <c r="D216" s="264" t="s">
        <v>1004</v>
      </c>
      <c r="E216" s="264">
        <v>43011</v>
      </c>
      <c r="F216" s="264" t="s">
        <v>349</v>
      </c>
      <c r="G216" s="389">
        <v>27296</v>
      </c>
      <c r="H216" s="264">
        <v>49</v>
      </c>
      <c r="I216" s="389">
        <v>34050</v>
      </c>
      <c r="K216" s="390">
        <v>42278</v>
      </c>
      <c r="L216" s="264">
        <v>20</v>
      </c>
      <c r="M216" s="264" t="s">
        <v>1015</v>
      </c>
      <c r="N216" s="264">
        <v>1</v>
      </c>
      <c r="O216" s="264" t="s">
        <v>829</v>
      </c>
      <c r="P216" s="264" t="s">
        <v>994</v>
      </c>
      <c r="Q216" s="264" t="s">
        <v>1009</v>
      </c>
      <c r="R216" s="264" t="s">
        <v>1010</v>
      </c>
      <c r="S216" s="264" t="s">
        <v>996</v>
      </c>
      <c r="T216" s="264" t="s">
        <v>997</v>
      </c>
      <c r="U216" s="264" t="s">
        <v>995</v>
      </c>
      <c r="V216" s="264" t="s">
        <v>995</v>
      </c>
      <c r="W216" s="264" t="s">
        <v>995</v>
      </c>
      <c r="X216" s="264" t="s">
        <v>828</v>
      </c>
      <c r="Y216" s="264" t="s">
        <v>998</v>
      </c>
      <c r="Z216" s="264">
        <v>31</v>
      </c>
      <c r="AA216" s="264" t="s">
        <v>999</v>
      </c>
      <c r="AB216" s="264">
        <v>31</v>
      </c>
      <c r="AC216" s="264" t="s">
        <v>999</v>
      </c>
      <c r="AD216" s="264" t="s">
        <v>1000</v>
      </c>
      <c r="AE216" s="264" t="s">
        <v>1000</v>
      </c>
      <c r="AF216" s="264" t="s">
        <v>1000</v>
      </c>
      <c r="AG216" s="264" t="s">
        <v>1000</v>
      </c>
      <c r="AH216" s="264" t="s">
        <v>1002</v>
      </c>
      <c r="AI216" s="264" t="s">
        <v>1002</v>
      </c>
      <c r="AJ216" s="264" t="s">
        <v>995</v>
      </c>
      <c r="AK216" s="264" t="s">
        <v>995</v>
      </c>
      <c r="AL216" s="264" t="s">
        <v>995</v>
      </c>
    </row>
    <row r="217" spans="1:38">
      <c r="A217" s="264">
        <v>2936</v>
      </c>
      <c r="B217" s="264" t="s">
        <v>304</v>
      </c>
      <c r="C217" s="264" t="s">
        <v>1249</v>
      </c>
      <c r="D217" s="264" t="s">
        <v>1004</v>
      </c>
      <c r="E217" s="264">
        <v>43011</v>
      </c>
      <c r="F217" s="264" t="s">
        <v>349</v>
      </c>
      <c r="G217" s="389">
        <v>27440</v>
      </c>
      <c r="H217" s="264">
        <v>48</v>
      </c>
      <c r="I217" s="389">
        <v>34050</v>
      </c>
      <c r="K217" s="390">
        <v>42278</v>
      </c>
      <c r="L217" s="264">
        <v>20</v>
      </c>
      <c r="M217" s="264" t="s">
        <v>1015</v>
      </c>
      <c r="N217" s="264">
        <v>1</v>
      </c>
      <c r="O217" s="264" t="s">
        <v>829</v>
      </c>
      <c r="P217" s="264" t="s">
        <v>994</v>
      </c>
      <c r="Q217" s="264" t="s">
        <v>1009</v>
      </c>
      <c r="R217" s="264" t="s">
        <v>1010</v>
      </c>
      <c r="S217" s="264" t="s">
        <v>996</v>
      </c>
      <c r="T217" s="264" t="s">
        <v>997</v>
      </c>
      <c r="U217" s="264" t="s">
        <v>995</v>
      </c>
      <c r="V217" s="264" t="s">
        <v>995</v>
      </c>
      <c r="W217" s="264" t="s">
        <v>995</v>
      </c>
      <c r="X217" s="264" t="s">
        <v>828</v>
      </c>
      <c r="Y217" s="264" t="s">
        <v>998</v>
      </c>
      <c r="Z217" s="264">
        <v>31</v>
      </c>
      <c r="AA217" s="264" t="s">
        <v>999</v>
      </c>
      <c r="AB217" s="264">
        <v>31</v>
      </c>
      <c r="AC217" s="264" t="s">
        <v>999</v>
      </c>
      <c r="AD217" s="264" t="s">
        <v>1000</v>
      </c>
      <c r="AE217" s="264" t="s">
        <v>1000</v>
      </c>
      <c r="AF217" s="264" t="s">
        <v>1000</v>
      </c>
      <c r="AG217" s="264" t="s">
        <v>1000</v>
      </c>
      <c r="AH217" s="264" t="s">
        <v>1002</v>
      </c>
      <c r="AI217" s="264" t="s">
        <v>1002</v>
      </c>
      <c r="AJ217" s="264" t="s">
        <v>995</v>
      </c>
      <c r="AK217" s="264" t="s">
        <v>995</v>
      </c>
      <c r="AL217" s="264" t="s">
        <v>995</v>
      </c>
    </row>
    <row r="218" spans="1:38">
      <c r="A218" s="264">
        <v>3030</v>
      </c>
      <c r="B218" s="264" t="s">
        <v>348</v>
      </c>
      <c r="C218" s="264" t="s">
        <v>1250</v>
      </c>
      <c r="D218" s="264" t="s">
        <v>1004</v>
      </c>
      <c r="E218" s="264">
        <v>43011</v>
      </c>
      <c r="F218" s="264" t="s">
        <v>349</v>
      </c>
      <c r="G218" s="389">
        <v>27199</v>
      </c>
      <c r="H218" s="264">
        <v>49</v>
      </c>
      <c r="I218" s="389">
        <v>34780</v>
      </c>
      <c r="K218" s="390">
        <v>42278</v>
      </c>
      <c r="L218" s="264">
        <v>20</v>
      </c>
      <c r="M218" s="264" t="s">
        <v>1015</v>
      </c>
      <c r="N218" s="264">
        <v>1</v>
      </c>
      <c r="O218" s="264" t="s">
        <v>829</v>
      </c>
      <c r="P218" s="264" t="s">
        <v>994</v>
      </c>
      <c r="Q218" s="264" t="s">
        <v>1009</v>
      </c>
      <c r="R218" s="264" t="s">
        <v>1010</v>
      </c>
      <c r="S218" s="264" t="s">
        <v>996</v>
      </c>
      <c r="T218" s="264" t="s">
        <v>997</v>
      </c>
      <c r="U218" s="264" t="s">
        <v>995</v>
      </c>
      <c r="V218" s="264" t="s">
        <v>995</v>
      </c>
      <c r="W218" s="264" t="s">
        <v>995</v>
      </c>
      <c r="X218" s="264" t="s">
        <v>828</v>
      </c>
      <c r="Y218" s="264" t="s">
        <v>998</v>
      </c>
      <c r="Z218" s="264">
        <v>31</v>
      </c>
      <c r="AA218" s="264" t="s">
        <v>999</v>
      </c>
      <c r="AB218" s="264">
        <v>31</v>
      </c>
      <c r="AC218" s="264" t="s">
        <v>999</v>
      </c>
      <c r="AD218" s="264" t="s">
        <v>1000</v>
      </c>
      <c r="AE218" s="264" t="s">
        <v>1000</v>
      </c>
      <c r="AF218" s="264" t="s">
        <v>1000</v>
      </c>
      <c r="AG218" s="264" t="s">
        <v>1000</v>
      </c>
      <c r="AH218" s="264" t="s">
        <v>1002</v>
      </c>
      <c r="AI218" s="264" t="s">
        <v>1002</v>
      </c>
      <c r="AJ218" s="264" t="s">
        <v>995</v>
      </c>
      <c r="AK218" s="264" t="s">
        <v>995</v>
      </c>
      <c r="AL218" s="264" t="s">
        <v>995</v>
      </c>
    </row>
    <row r="219" spans="1:38">
      <c r="A219" s="264">
        <v>3863</v>
      </c>
      <c r="B219" s="264" t="s">
        <v>354</v>
      </c>
      <c r="C219" s="264" t="s">
        <v>1251</v>
      </c>
      <c r="D219" s="264" t="s">
        <v>1004</v>
      </c>
      <c r="E219" s="264">
        <v>43011</v>
      </c>
      <c r="F219" s="264" t="s">
        <v>349</v>
      </c>
      <c r="G219" s="389">
        <v>27446</v>
      </c>
      <c r="H219" s="264">
        <v>48</v>
      </c>
      <c r="I219" s="389">
        <v>35359</v>
      </c>
      <c r="K219" s="390">
        <v>42278</v>
      </c>
      <c r="L219" s="264">
        <v>20</v>
      </c>
      <c r="M219" s="264" t="s">
        <v>1015</v>
      </c>
      <c r="N219" s="264">
        <v>1</v>
      </c>
      <c r="O219" s="264" t="s">
        <v>829</v>
      </c>
      <c r="P219" s="264" t="s">
        <v>994</v>
      </c>
      <c r="Q219" s="264" t="s">
        <v>1009</v>
      </c>
      <c r="R219" s="264" t="s">
        <v>1010</v>
      </c>
      <c r="S219" s="264" t="s">
        <v>996</v>
      </c>
      <c r="T219" s="264" t="s">
        <v>997</v>
      </c>
      <c r="U219" s="264" t="s">
        <v>995</v>
      </c>
      <c r="V219" s="264" t="s">
        <v>995</v>
      </c>
      <c r="W219" s="264" t="s">
        <v>995</v>
      </c>
      <c r="X219" s="264" t="s">
        <v>828</v>
      </c>
      <c r="Y219" s="264" t="s">
        <v>998</v>
      </c>
      <c r="Z219" s="264">
        <v>31</v>
      </c>
      <c r="AA219" s="264" t="s">
        <v>999</v>
      </c>
      <c r="AB219" s="264">
        <v>31</v>
      </c>
      <c r="AC219" s="264" t="s">
        <v>999</v>
      </c>
      <c r="AD219" s="264" t="s">
        <v>1000</v>
      </c>
      <c r="AE219" s="264" t="s">
        <v>1000</v>
      </c>
      <c r="AF219" s="264" t="s">
        <v>1000</v>
      </c>
      <c r="AG219" s="264" t="s">
        <v>1000</v>
      </c>
      <c r="AH219" s="264" t="s">
        <v>1002</v>
      </c>
      <c r="AI219" s="264" t="s">
        <v>1002</v>
      </c>
      <c r="AJ219" s="264" t="s">
        <v>995</v>
      </c>
      <c r="AK219" s="264" t="s">
        <v>995</v>
      </c>
      <c r="AL219" s="264" t="s">
        <v>995</v>
      </c>
    </row>
    <row r="220" spans="1:38">
      <c r="A220" s="264">
        <v>8246</v>
      </c>
      <c r="B220" s="264" t="s">
        <v>1263</v>
      </c>
      <c r="C220" s="264" t="s">
        <v>1264</v>
      </c>
      <c r="D220" s="264" t="s">
        <v>1004</v>
      </c>
      <c r="E220" s="264">
        <v>43021</v>
      </c>
      <c r="F220" s="264" t="s">
        <v>349</v>
      </c>
      <c r="G220" s="389">
        <v>27164</v>
      </c>
      <c r="H220" s="264">
        <v>49</v>
      </c>
      <c r="I220" s="389">
        <v>45139</v>
      </c>
      <c r="K220" s="390">
        <v>45170</v>
      </c>
      <c r="L220" s="264">
        <v>70</v>
      </c>
      <c r="M220" s="264" t="s">
        <v>1024</v>
      </c>
      <c r="N220" s="264">
        <v>1</v>
      </c>
      <c r="O220" s="264" t="s">
        <v>829</v>
      </c>
      <c r="P220" s="264" t="s">
        <v>994</v>
      </c>
      <c r="Q220" s="264" t="s">
        <v>1009</v>
      </c>
      <c r="R220" s="264" t="s">
        <v>1010</v>
      </c>
      <c r="S220" s="264" t="s">
        <v>996</v>
      </c>
      <c r="T220" s="264" t="s">
        <v>997</v>
      </c>
      <c r="U220" s="264" t="s">
        <v>1021</v>
      </c>
      <c r="V220" s="264" t="s">
        <v>995</v>
      </c>
      <c r="W220" s="264" t="s">
        <v>995</v>
      </c>
      <c r="X220" s="264" t="s">
        <v>828</v>
      </c>
      <c r="Y220" s="264" t="s">
        <v>998</v>
      </c>
      <c r="Z220" s="264">
        <v>31</v>
      </c>
      <c r="AA220" s="264" t="s">
        <v>999</v>
      </c>
      <c r="AB220" s="264">
        <v>31</v>
      </c>
      <c r="AC220" s="264" t="s">
        <v>999</v>
      </c>
      <c r="AD220" s="264" t="s">
        <v>1000</v>
      </c>
      <c r="AE220" s="264" t="s">
        <v>1000</v>
      </c>
      <c r="AF220" s="264" t="s">
        <v>1000</v>
      </c>
      <c r="AG220" s="264" t="s">
        <v>1000</v>
      </c>
      <c r="AH220" s="264" t="s">
        <v>1002</v>
      </c>
      <c r="AI220" s="264" t="s">
        <v>1002</v>
      </c>
      <c r="AJ220" s="264" t="s">
        <v>995</v>
      </c>
      <c r="AK220" s="264" t="s">
        <v>995</v>
      </c>
      <c r="AL220" s="264" t="s">
        <v>995</v>
      </c>
    </row>
    <row r="221" spans="1:38">
      <c r="A221" s="264">
        <v>1453</v>
      </c>
      <c r="B221" s="264" t="s">
        <v>1149</v>
      </c>
      <c r="C221" s="264" t="s">
        <v>1150</v>
      </c>
      <c r="D221" s="264" t="s">
        <v>1004</v>
      </c>
      <c r="E221" s="264">
        <v>41111</v>
      </c>
      <c r="F221" s="264" t="s">
        <v>280</v>
      </c>
      <c r="G221" s="389">
        <v>26516</v>
      </c>
      <c r="H221" s="264">
        <v>51</v>
      </c>
      <c r="I221" s="389">
        <v>45261</v>
      </c>
      <c r="K221" s="390">
        <v>44896</v>
      </c>
      <c r="L221" s="264">
        <v>20</v>
      </c>
      <c r="M221" s="264" t="s">
        <v>1015</v>
      </c>
      <c r="N221" s="264">
        <v>1</v>
      </c>
      <c r="O221" s="264" t="s">
        <v>829</v>
      </c>
      <c r="P221" s="264" t="s">
        <v>994</v>
      </c>
      <c r="Q221" s="264" t="s">
        <v>1009</v>
      </c>
      <c r="R221" s="264" t="s">
        <v>1010</v>
      </c>
      <c r="S221" s="264" t="s">
        <v>996</v>
      </c>
      <c r="T221" s="264" t="s">
        <v>997</v>
      </c>
      <c r="U221" s="264" t="s">
        <v>995</v>
      </c>
      <c r="V221" s="264" t="s">
        <v>995</v>
      </c>
      <c r="W221" s="264" t="s">
        <v>995</v>
      </c>
      <c r="X221" s="264" t="s">
        <v>828</v>
      </c>
      <c r="Y221" s="264" t="s">
        <v>998</v>
      </c>
      <c r="Z221" s="264">
        <v>31</v>
      </c>
      <c r="AA221" s="264" t="s">
        <v>999</v>
      </c>
      <c r="AB221" s="264">
        <v>31</v>
      </c>
      <c r="AC221" s="264" t="s">
        <v>999</v>
      </c>
      <c r="AD221" s="264" t="s">
        <v>1000</v>
      </c>
      <c r="AE221" s="264" t="s">
        <v>1000</v>
      </c>
      <c r="AF221" s="264" t="s">
        <v>1000</v>
      </c>
      <c r="AG221" s="264" t="s">
        <v>1000</v>
      </c>
      <c r="AH221" s="264" t="s">
        <v>1002</v>
      </c>
      <c r="AI221" s="264" t="s">
        <v>1002</v>
      </c>
      <c r="AJ221" s="264" t="s">
        <v>995</v>
      </c>
      <c r="AK221" s="264" t="s">
        <v>995</v>
      </c>
      <c r="AL221" s="264" t="s">
        <v>995</v>
      </c>
    </row>
    <row r="222" spans="1:38">
      <c r="A222" s="264">
        <v>2692</v>
      </c>
      <c r="B222" s="264" t="s">
        <v>283</v>
      </c>
      <c r="C222" s="264" t="s">
        <v>1151</v>
      </c>
      <c r="D222" s="264" t="s">
        <v>1004</v>
      </c>
      <c r="E222" s="264">
        <v>41111</v>
      </c>
      <c r="F222" s="264" t="s">
        <v>280</v>
      </c>
      <c r="G222" s="389">
        <v>23904</v>
      </c>
      <c r="H222" s="264">
        <v>58</v>
      </c>
      <c r="I222" s="389">
        <v>30762</v>
      </c>
      <c r="K222" s="390">
        <v>42278</v>
      </c>
      <c r="L222" s="264">
        <v>20</v>
      </c>
      <c r="M222" s="264" t="s">
        <v>1015</v>
      </c>
      <c r="N222" s="264">
        <v>1</v>
      </c>
      <c r="O222" s="264" t="s">
        <v>829</v>
      </c>
      <c r="P222" s="264" t="s">
        <v>994</v>
      </c>
      <c r="Q222" s="264" t="s">
        <v>1009</v>
      </c>
      <c r="R222" s="264" t="s">
        <v>1010</v>
      </c>
      <c r="S222" s="264" t="s">
        <v>996</v>
      </c>
      <c r="T222" s="264" t="s">
        <v>997</v>
      </c>
      <c r="U222" s="264" t="s">
        <v>995</v>
      </c>
      <c r="V222" s="264" t="s">
        <v>995</v>
      </c>
      <c r="W222" s="264" t="s">
        <v>995</v>
      </c>
      <c r="X222" s="264" t="s">
        <v>828</v>
      </c>
      <c r="Y222" s="264" t="s">
        <v>998</v>
      </c>
      <c r="Z222" s="264">
        <v>31</v>
      </c>
      <c r="AA222" s="264" t="s">
        <v>999</v>
      </c>
      <c r="AB222" s="264">
        <v>31</v>
      </c>
      <c r="AC222" s="264" t="s">
        <v>999</v>
      </c>
      <c r="AD222" s="264" t="s">
        <v>1000</v>
      </c>
      <c r="AE222" s="264" t="s">
        <v>1000</v>
      </c>
      <c r="AF222" s="264" t="s">
        <v>1000</v>
      </c>
      <c r="AG222" s="264" t="s">
        <v>1000</v>
      </c>
      <c r="AH222" s="264" t="s">
        <v>1002</v>
      </c>
      <c r="AI222" s="264" t="s">
        <v>1002</v>
      </c>
      <c r="AJ222" s="264" t="s">
        <v>995</v>
      </c>
      <c r="AK222" s="264" t="s">
        <v>995</v>
      </c>
      <c r="AL222" s="264" t="s">
        <v>995</v>
      </c>
    </row>
    <row r="223" spans="1:38">
      <c r="A223" s="264">
        <v>2852</v>
      </c>
      <c r="B223" s="264" t="s">
        <v>284</v>
      </c>
      <c r="C223" s="264" t="s">
        <v>1152</v>
      </c>
      <c r="D223" s="264" t="s">
        <v>1004</v>
      </c>
      <c r="E223" s="264">
        <v>41111</v>
      </c>
      <c r="F223" s="264" t="s">
        <v>280</v>
      </c>
      <c r="G223" s="389">
        <v>25704</v>
      </c>
      <c r="H223" s="264">
        <v>53</v>
      </c>
      <c r="I223" s="389">
        <v>32589</v>
      </c>
      <c r="K223" s="390">
        <v>42278</v>
      </c>
      <c r="L223" s="264">
        <v>20</v>
      </c>
      <c r="M223" s="264" t="s">
        <v>1015</v>
      </c>
      <c r="N223" s="264">
        <v>1</v>
      </c>
      <c r="O223" s="264" t="s">
        <v>829</v>
      </c>
      <c r="P223" s="264" t="s">
        <v>994</v>
      </c>
      <c r="Q223" s="264" t="s">
        <v>1009</v>
      </c>
      <c r="R223" s="264" t="s">
        <v>1010</v>
      </c>
      <c r="S223" s="264" t="s">
        <v>996</v>
      </c>
      <c r="T223" s="264" t="s">
        <v>997</v>
      </c>
      <c r="U223" s="264" t="s">
        <v>995</v>
      </c>
      <c r="V223" s="264" t="s">
        <v>995</v>
      </c>
      <c r="W223" s="264" t="s">
        <v>995</v>
      </c>
      <c r="X223" s="264" t="s">
        <v>828</v>
      </c>
      <c r="Y223" s="264" t="s">
        <v>998</v>
      </c>
      <c r="Z223" s="264">
        <v>31</v>
      </c>
      <c r="AA223" s="264" t="s">
        <v>999</v>
      </c>
      <c r="AB223" s="264">
        <v>31</v>
      </c>
      <c r="AC223" s="264" t="s">
        <v>999</v>
      </c>
      <c r="AD223" s="264" t="s">
        <v>1000</v>
      </c>
      <c r="AE223" s="264" t="s">
        <v>1000</v>
      </c>
      <c r="AF223" s="264" t="s">
        <v>1000</v>
      </c>
      <c r="AG223" s="264" t="s">
        <v>1000</v>
      </c>
      <c r="AH223" s="264" t="s">
        <v>1002</v>
      </c>
      <c r="AI223" s="264" t="s">
        <v>1002</v>
      </c>
      <c r="AJ223" s="264" t="s">
        <v>995</v>
      </c>
      <c r="AK223" s="264" t="s">
        <v>995</v>
      </c>
      <c r="AL223" s="264" t="s">
        <v>995</v>
      </c>
    </row>
    <row r="224" spans="1:38">
      <c r="A224" s="264">
        <v>3150</v>
      </c>
      <c r="B224" s="264" t="s">
        <v>285</v>
      </c>
      <c r="C224" s="264" t="s">
        <v>1153</v>
      </c>
      <c r="D224" s="264" t="s">
        <v>1004</v>
      </c>
      <c r="E224" s="264">
        <v>41111</v>
      </c>
      <c r="F224" s="264" t="s">
        <v>280</v>
      </c>
      <c r="G224" s="389">
        <v>28521</v>
      </c>
      <c r="H224" s="264">
        <v>46</v>
      </c>
      <c r="I224" s="389">
        <v>35877</v>
      </c>
      <c r="K224" s="390">
        <v>42278</v>
      </c>
      <c r="L224" s="264">
        <v>20</v>
      </c>
      <c r="M224" s="264" t="s">
        <v>1015</v>
      </c>
      <c r="N224" s="264">
        <v>1</v>
      </c>
      <c r="O224" s="264" t="s">
        <v>829</v>
      </c>
      <c r="P224" s="264" t="s">
        <v>994</v>
      </c>
      <c r="Q224" s="264" t="s">
        <v>1009</v>
      </c>
      <c r="R224" s="264" t="s">
        <v>1010</v>
      </c>
      <c r="S224" s="264" t="s">
        <v>996</v>
      </c>
      <c r="T224" s="264" t="s">
        <v>997</v>
      </c>
      <c r="U224" s="264" t="s">
        <v>995</v>
      </c>
      <c r="V224" s="264" t="s">
        <v>995</v>
      </c>
      <c r="W224" s="264" t="s">
        <v>995</v>
      </c>
      <c r="X224" s="264" t="s">
        <v>828</v>
      </c>
      <c r="Y224" s="264" t="s">
        <v>998</v>
      </c>
      <c r="Z224" s="264">
        <v>31</v>
      </c>
      <c r="AA224" s="264" t="s">
        <v>999</v>
      </c>
      <c r="AB224" s="264">
        <v>31</v>
      </c>
      <c r="AC224" s="264" t="s">
        <v>999</v>
      </c>
      <c r="AD224" s="264" t="s">
        <v>1000</v>
      </c>
      <c r="AE224" s="264" t="s">
        <v>1000</v>
      </c>
      <c r="AF224" s="264" t="s">
        <v>1000</v>
      </c>
      <c r="AG224" s="264" t="s">
        <v>1000</v>
      </c>
      <c r="AH224" s="264" t="s">
        <v>1002</v>
      </c>
      <c r="AI224" s="264" t="s">
        <v>1002</v>
      </c>
      <c r="AJ224" s="264" t="s">
        <v>995</v>
      </c>
      <c r="AK224" s="264" t="s">
        <v>995</v>
      </c>
      <c r="AL224" s="264" t="s">
        <v>995</v>
      </c>
    </row>
    <row r="225" spans="1:38">
      <c r="A225" s="264">
        <v>3264</v>
      </c>
      <c r="B225" s="264" t="s">
        <v>287</v>
      </c>
      <c r="C225" s="264" t="s">
        <v>1154</v>
      </c>
      <c r="D225" s="264" t="s">
        <v>1004</v>
      </c>
      <c r="E225" s="264">
        <v>41111</v>
      </c>
      <c r="F225" s="264" t="s">
        <v>280</v>
      </c>
      <c r="G225" s="389">
        <v>32282</v>
      </c>
      <c r="H225" s="264">
        <v>35</v>
      </c>
      <c r="I225" s="389">
        <v>39162</v>
      </c>
      <c r="K225" s="390">
        <v>42278</v>
      </c>
      <c r="L225" s="264">
        <v>20</v>
      </c>
      <c r="M225" s="264" t="s">
        <v>1015</v>
      </c>
      <c r="N225" s="264">
        <v>1</v>
      </c>
      <c r="O225" s="264" t="s">
        <v>829</v>
      </c>
      <c r="P225" s="264" t="s">
        <v>994</v>
      </c>
      <c r="Q225" s="264" t="s">
        <v>1009</v>
      </c>
      <c r="R225" s="264" t="s">
        <v>1010</v>
      </c>
      <c r="S225" s="264" t="s">
        <v>996</v>
      </c>
      <c r="T225" s="264" t="s">
        <v>997</v>
      </c>
      <c r="U225" s="264" t="s">
        <v>995</v>
      </c>
      <c r="V225" s="264" t="s">
        <v>995</v>
      </c>
      <c r="W225" s="264" t="s">
        <v>995</v>
      </c>
      <c r="X225" s="264" t="s">
        <v>828</v>
      </c>
      <c r="Y225" s="264" t="s">
        <v>998</v>
      </c>
      <c r="Z225" s="264">
        <v>31</v>
      </c>
      <c r="AA225" s="264" t="s">
        <v>999</v>
      </c>
      <c r="AB225" s="264">
        <v>31</v>
      </c>
      <c r="AC225" s="264" t="s">
        <v>999</v>
      </c>
      <c r="AD225" s="264" t="s">
        <v>1000</v>
      </c>
      <c r="AE225" s="264" t="s">
        <v>1000</v>
      </c>
      <c r="AF225" s="264" t="s">
        <v>1000</v>
      </c>
      <c r="AG225" s="264" t="s">
        <v>1000</v>
      </c>
      <c r="AH225" s="264" t="s">
        <v>1002</v>
      </c>
      <c r="AI225" s="264" t="s">
        <v>1002</v>
      </c>
      <c r="AJ225" s="264" t="s">
        <v>995</v>
      </c>
      <c r="AK225" s="264" t="s">
        <v>995</v>
      </c>
      <c r="AL225" s="264" t="s">
        <v>995</v>
      </c>
    </row>
    <row r="226" spans="1:38">
      <c r="A226" s="264">
        <v>3365</v>
      </c>
      <c r="B226" s="264" t="s">
        <v>282</v>
      </c>
      <c r="C226" s="264" t="s">
        <v>1155</v>
      </c>
      <c r="D226" s="264" t="s">
        <v>1004</v>
      </c>
      <c r="E226" s="264">
        <v>41111</v>
      </c>
      <c r="F226" s="264" t="s">
        <v>280</v>
      </c>
      <c r="G226" s="389">
        <v>34224</v>
      </c>
      <c r="H226" s="264">
        <v>30</v>
      </c>
      <c r="I226" s="389">
        <v>40989</v>
      </c>
      <c r="K226" s="390">
        <v>42278</v>
      </c>
      <c r="L226" s="264">
        <v>20</v>
      </c>
      <c r="M226" s="264" t="s">
        <v>1015</v>
      </c>
      <c r="N226" s="264">
        <v>1</v>
      </c>
      <c r="O226" s="264" t="s">
        <v>829</v>
      </c>
      <c r="P226" s="264" t="s">
        <v>994</v>
      </c>
      <c r="Q226" s="264" t="s">
        <v>1009</v>
      </c>
      <c r="R226" s="264" t="s">
        <v>1010</v>
      </c>
      <c r="S226" s="264" t="s">
        <v>996</v>
      </c>
      <c r="T226" s="264" t="s">
        <v>997</v>
      </c>
      <c r="U226" s="264" t="s">
        <v>995</v>
      </c>
      <c r="V226" s="264" t="s">
        <v>995</v>
      </c>
      <c r="W226" s="264" t="s">
        <v>995</v>
      </c>
      <c r="X226" s="264" t="s">
        <v>828</v>
      </c>
      <c r="Y226" s="264" t="s">
        <v>998</v>
      </c>
      <c r="Z226" s="264">
        <v>31</v>
      </c>
      <c r="AA226" s="264" t="s">
        <v>999</v>
      </c>
      <c r="AB226" s="264">
        <v>31</v>
      </c>
      <c r="AC226" s="264" t="s">
        <v>999</v>
      </c>
      <c r="AD226" s="264" t="s">
        <v>1000</v>
      </c>
      <c r="AE226" s="264" t="s">
        <v>1000</v>
      </c>
      <c r="AF226" s="264" t="s">
        <v>1000</v>
      </c>
      <c r="AG226" s="264" t="s">
        <v>1000</v>
      </c>
      <c r="AH226" s="264" t="s">
        <v>1002</v>
      </c>
      <c r="AI226" s="264" t="s">
        <v>1002</v>
      </c>
      <c r="AJ226" s="264" t="s">
        <v>995</v>
      </c>
      <c r="AK226" s="264" t="s">
        <v>995</v>
      </c>
      <c r="AL226" s="264" t="s">
        <v>995</v>
      </c>
    </row>
    <row r="227" spans="1:38">
      <c r="A227" s="264">
        <v>3519</v>
      </c>
      <c r="B227" s="264" t="s">
        <v>288</v>
      </c>
      <c r="C227" s="264" t="s">
        <v>1156</v>
      </c>
      <c r="D227" s="264" t="s">
        <v>1004</v>
      </c>
      <c r="E227" s="264">
        <v>41111</v>
      </c>
      <c r="F227" s="264" t="s">
        <v>280</v>
      </c>
      <c r="G227" s="389">
        <v>37213</v>
      </c>
      <c r="H227" s="264">
        <v>22</v>
      </c>
      <c r="I227" s="389">
        <v>43922</v>
      </c>
      <c r="K227" s="390">
        <v>43952</v>
      </c>
      <c r="L227" s="264">
        <v>20</v>
      </c>
      <c r="M227" s="264" t="s">
        <v>1015</v>
      </c>
      <c r="N227" s="264">
        <v>1</v>
      </c>
      <c r="O227" s="264" t="s">
        <v>829</v>
      </c>
      <c r="P227" s="264" t="s">
        <v>994</v>
      </c>
      <c r="Q227" s="264" t="s">
        <v>1009</v>
      </c>
      <c r="R227" s="264" t="s">
        <v>1010</v>
      </c>
      <c r="S227" s="264" t="s">
        <v>996</v>
      </c>
      <c r="T227" s="264" t="s">
        <v>997</v>
      </c>
      <c r="U227" s="264" t="s">
        <v>995</v>
      </c>
      <c r="V227" s="264" t="s">
        <v>995</v>
      </c>
      <c r="W227" s="264" t="s">
        <v>995</v>
      </c>
      <c r="X227" s="264" t="s">
        <v>828</v>
      </c>
      <c r="Y227" s="264" t="s">
        <v>998</v>
      </c>
      <c r="Z227" s="264">
        <v>31</v>
      </c>
      <c r="AA227" s="264" t="s">
        <v>999</v>
      </c>
      <c r="AB227" s="264">
        <v>31</v>
      </c>
      <c r="AC227" s="264" t="s">
        <v>999</v>
      </c>
      <c r="AD227" s="264" t="s">
        <v>1000</v>
      </c>
      <c r="AE227" s="264" t="s">
        <v>1000</v>
      </c>
      <c r="AF227" s="264" t="s">
        <v>1000</v>
      </c>
      <c r="AG227" s="264" t="s">
        <v>1000</v>
      </c>
      <c r="AH227" s="264" t="s">
        <v>1002</v>
      </c>
      <c r="AI227" s="264" t="s">
        <v>1002</v>
      </c>
      <c r="AJ227" s="264" t="s">
        <v>995</v>
      </c>
      <c r="AK227" s="264" t="s">
        <v>995</v>
      </c>
      <c r="AL227" s="264" t="s">
        <v>995</v>
      </c>
    </row>
    <row r="228" spans="1:38">
      <c r="A228" s="264">
        <v>3989</v>
      </c>
      <c r="B228" s="264" t="s">
        <v>286</v>
      </c>
      <c r="C228" s="264" t="s">
        <v>1157</v>
      </c>
      <c r="D228" s="264" t="s">
        <v>1004</v>
      </c>
      <c r="E228" s="264">
        <v>41111</v>
      </c>
      <c r="F228" s="264" t="s">
        <v>280</v>
      </c>
      <c r="G228" s="389">
        <v>27496</v>
      </c>
      <c r="H228" s="264">
        <v>48</v>
      </c>
      <c r="I228" s="389">
        <v>39387</v>
      </c>
      <c r="K228" s="390">
        <v>42278</v>
      </c>
      <c r="L228" s="264">
        <v>20</v>
      </c>
      <c r="M228" s="264" t="s">
        <v>1015</v>
      </c>
      <c r="N228" s="264">
        <v>1</v>
      </c>
      <c r="O228" s="264" t="s">
        <v>829</v>
      </c>
      <c r="P228" s="264" t="s">
        <v>994</v>
      </c>
      <c r="Q228" s="264" t="s">
        <v>1009</v>
      </c>
      <c r="R228" s="264" t="s">
        <v>1010</v>
      </c>
      <c r="S228" s="264" t="s">
        <v>996</v>
      </c>
      <c r="T228" s="264" t="s">
        <v>997</v>
      </c>
      <c r="U228" s="264" t="s">
        <v>995</v>
      </c>
      <c r="V228" s="264" t="s">
        <v>995</v>
      </c>
      <c r="W228" s="264" t="s">
        <v>995</v>
      </c>
      <c r="X228" s="264" t="s">
        <v>828</v>
      </c>
      <c r="Y228" s="264" t="s">
        <v>998</v>
      </c>
      <c r="Z228" s="264">
        <v>31</v>
      </c>
      <c r="AA228" s="264" t="s">
        <v>999</v>
      </c>
      <c r="AB228" s="264">
        <v>31</v>
      </c>
      <c r="AC228" s="264" t="s">
        <v>999</v>
      </c>
      <c r="AD228" s="264" t="s">
        <v>1000</v>
      </c>
      <c r="AE228" s="264" t="s">
        <v>1000</v>
      </c>
      <c r="AF228" s="264" t="s">
        <v>1000</v>
      </c>
      <c r="AG228" s="264" t="s">
        <v>1000</v>
      </c>
      <c r="AH228" s="264" t="s">
        <v>1002</v>
      </c>
      <c r="AI228" s="264" t="s">
        <v>1002</v>
      </c>
      <c r="AJ228" s="264" t="s">
        <v>995</v>
      </c>
      <c r="AK228" s="264" t="s">
        <v>995</v>
      </c>
      <c r="AL228" s="264" t="s">
        <v>995</v>
      </c>
    </row>
    <row r="229" spans="1:38">
      <c r="A229" s="264">
        <v>8041</v>
      </c>
      <c r="B229" s="264" t="s">
        <v>541</v>
      </c>
      <c r="C229" s="264" t="s">
        <v>1158</v>
      </c>
      <c r="D229" s="264" t="s">
        <v>1004</v>
      </c>
      <c r="E229" s="264">
        <v>41121</v>
      </c>
      <c r="F229" s="264" t="s">
        <v>280</v>
      </c>
      <c r="G229" s="389">
        <v>21650</v>
      </c>
      <c r="H229" s="264">
        <v>64</v>
      </c>
      <c r="I229" s="389">
        <v>40380</v>
      </c>
      <c r="K229" s="390">
        <v>42278</v>
      </c>
      <c r="L229" s="264">
        <v>70</v>
      </c>
      <c r="M229" s="264" t="s">
        <v>1024</v>
      </c>
      <c r="N229" s="264">
        <v>1</v>
      </c>
      <c r="O229" s="264" t="s">
        <v>829</v>
      </c>
      <c r="P229" s="264" t="s">
        <v>994</v>
      </c>
      <c r="Q229" s="264" t="s">
        <v>1009</v>
      </c>
      <c r="R229" s="264" t="s">
        <v>1010</v>
      </c>
      <c r="S229" s="264" t="s">
        <v>996</v>
      </c>
      <c r="T229" s="264" t="s">
        <v>997</v>
      </c>
      <c r="U229" s="264" t="s">
        <v>995</v>
      </c>
      <c r="V229" s="264" t="s">
        <v>995</v>
      </c>
      <c r="W229" s="264" t="s">
        <v>995</v>
      </c>
      <c r="X229" s="264" t="s">
        <v>828</v>
      </c>
      <c r="Y229" s="264" t="s">
        <v>998</v>
      </c>
      <c r="Z229" s="264">
        <v>31</v>
      </c>
      <c r="AA229" s="264" t="s">
        <v>999</v>
      </c>
      <c r="AB229" s="264">
        <v>31</v>
      </c>
      <c r="AC229" s="264" t="s">
        <v>999</v>
      </c>
      <c r="AD229" s="264" t="s">
        <v>1000</v>
      </c>
      <c r="AE229" s="264" t="s">
        <v>1000</v>
      </c>
      <c r="AF229" s="264" t="s">
        <v>1000</v>
      </c>
      <c r="AG229" s="264" t="s">
        <v>1000</v>
      </c>
      <c r="AH229" s="264" t="s">
        <v>1002</v>
      </c>
      <c r="AI229" s="264" t="s">
        <v>1002</v>
      </c>
      <c r="AJ229" s="264" t="s">
        <v>995</v>
      </c>
      <c r="AK229" s="264" t="s">
        <v>995</v>
      </c>
      <c r="AL229" s="264" t="s">
        <v>995</v>
      </c>
    </row>
    <row r="230" spans="1:38">
      <c r="A230" s="264">
        <v>8062</v>
      </c>
      <c r="B230" s="264" t="s">
        <v>544</v>
      </c>
      <c r="C230" s="264" t="s">
        <v>1159</v>
      </c>
      <c r="D230" s="264" t="s">
        <v>1004</v>
      </c>
      <c r="E230" s="264">
        <v>41121</v>
      </c>
      <c r="F230" s="264" t="s">
        <v>280</v>
      </c>
      <c r="G230" s="389">
        <v>23145</v>
      </c>
      <c r="H230" s="264">
        <v>60</v>
      </c>
      <c r="I230" s="389">
        <v>40582</v>
      </c>
      <c r="K230" s="390">
        <v>42278</v>
      </c>
      <c r="L230" s="264">
        <v>70</v>
      </c>
      <c r="M230" s="264" t="s">
        <v>1024</v>
      </c>
      <c r="N230" s="264">
        <v>1</v>
      </c>
      <c r="O230" s="264" t="s">
        <v>829</v>
      </c>
      <c r="P230" s="264" t="s">
        <v>994</v>
      </c>
      <c r="Q230" s="264" t="s">
        <v>1009</v>
      </c>
      <c r="R230" s="264" t="s">
        <v>1010</v>
      </c>
      <c r="S230" s="264" t="s">
        <v>996</v>
      </c>
      <c r="T230" s="264" t="s">
        <v>997</v>
      </c>
      <c r="U230" s="264" t="s">
        <v>995</v>
      </c>
      <c r="V230" s="264" t="s">
        <v>995</v>
      </c>
      <c r="W230" s="264" t="s">
        <v>995</v>
      </c>
      <c r="X230" s="264" t="s">
        <v>828</v>
      </c>
      <c r="Y230" s="264" t="s">
        <v>998</v>
      </c>
      <c r="Z230" s="264">
        <v>31</v>
      </c>
      <c r="AA230" s="264" t="s">
        <v>999</v>
      </c>
      <c r="AB230" s="264">
        <v>31</v>
      </c>
      <c r="AC230" s="264" t="s">
        <v>999</v>
      </c>
      <c r="AD230" s="264" t="s">
        <v>1000</v>
      </c>
      <c r="AE230" s="264" t="s">
        <v>1000</v>
      </c>
      <c r="AF230" s="264" t="s">
        <v>1000</v>
      </c>
      <c r="AG230" s="264" t="s">
        <v>1000</v>
      </c>
      <c r="AH230" s="264" t="s">
        <v>1002</v>
      </c>
      <c r="AI230" s="264" t="s">
        <v>1002</v>
      </c>
      <c r="AJ230" s="264" t="s">
        <v>995</v>
      </c>
      <c r="AK230" s="264" t="s">
        <v>995</v>
      </c>
      <c r="AL230" s="264" t="s">
        <v>995</v>
      </c>
    </row>
    <row r="231" spans="1:38">
      <c r="A231" s="264">
        <v>8203</v>
      </c>
      <c r="B231" s="264" t="s">
        <v>784</v>
      </c>
      <c r="C231" s="264" t="s">
        <v>1160</v>
      </c>
      <c r="D231" s="264" t="s">
        <v>1004</v>
      </c>
      <c r="E231" s="264">
        <v>41121</v>
      </c>
      <c r="F231" s="264" t="s">
        <v>280</v>
      </c>
      <c r="G231" s="389">
        <v>22439</v>
      </c>
      <c r="H231" s="264">
        <v>62</v>
      </c>
      <c r="I231" s="389">
        <v>28937</v>
      </c>
      <c r="K231" s="390">
        <v>44378</v>
      </c>
      <c r="L231" s="264">
        <v>70</v>
      </c>
      <c r="M231" s="264" t="s">
        <v>1024</v>
      </c>
      <c r="N231" s="264">
        <v>1</v>
      </c>
      <c r="O231" s="264" t="s">
        <v>829</v>
      </c>
      <c r="P231" s="264" t="s">
        <v>994</v>
      </c>
      <c r="Q231" s="264" t="s">
        <v>1009</v>
      </c>
      <c r="R231" s="264" t="s">
        <v>1010</v>
      </c>
      <c r="S231" s="264" t="s">
        <v>996</v>
      </c>
      <c r="T231" s="264" t="s">
        <v>997</v>
      </c>
      <c r="U231" s="264" t="s">
        <v>995</v>
      </c>
      <c r="V231" s="264" t="s">
        <v>995</v>
      </c>
      <c r="W231" s="264" t="s">
        <v>995</v>
      </c>
      <c r="X231" s="264" t="s">
        <v>828</v>
      </c>
      <c r="Y231" s="264" t="s">
        <v>998</v>
      </c>
      <c r="Z231" s="264">
        <v>31</v>
      </c>
      <c r="AA231" s="264" t="s">
        <v>999</v>
      </c>
      <c r="AB231" s="264">
        <v>31</v>
      </c>
      <c r="AC231" s="264" t="s">
        <v>999</v>
      </c>
      <c r="AD231" s="264" t="s">
        <v>1000</v>
      </c>
      <c r="AE231" s="264" t="s">
        <v>1000</v>
      </c>
      <c r="AF231" s="264" t="s">
        <v>1000</v>
      </c>
      <c r="AG231" s="264" t="s">
        <v>1000</v>
      </c>
      <c r="AH231" s="264" t="s">
        <v>1002</v>
      </c>
      <c r="AI231" s="264" t="s">
        <v>1002</v>
      </c>
      <c r="AJ231" s="264" t="s">
        <v>995</v>
      </c>
      <c r="AK231" s="264" t="s">
        <v>995</v>
      </c>
      <c r="AL231" s="264" t="s">
        <v>995</v>
      </c>
    </row>
    <row r="232" spans="1:38">
      <c r="A232" s="264">
        <v>8248</v>
      </c>
      <c r="B232" s="264" t="s">
        <v>1161</v>
      </c>
      <c r="C232" s="264" t="s">
        <v>1162</v>
      </c>
      <c r="D232" s="264" t="s">
        <v>1004</v>
      </c>
      <c r="E232" s="264">
        <v>41121</v>
      </c>
      <c r="F232" s="264" t="s">
        <v>280</v>
      </c>
      <c r="G232" s="389">
        <v>26435</v>
      </c>
      <c r="H232" s="264">
        <v>51</v>
      </c>
      <c r="I232" s="389">
        <v>45148</v>
      </c>
      <c r="K232" s="390">
        <v>45170</v>
      </c>
      <c r="L232" s="264">
        <v>70</v>
      </c>
      <c r="M232" s="264" t="s">
        <v>1024</v>
      </c>
      <c r="N232" s="264">
        <v>1</v>
      </c>
      <c r="O232" s="264" t="s">
        <v>829</v>
      </c>
      <c r="P232" s="264" t="s">
        <v>994</v>
      </c>
      <c r="Q232" s="264" t="s">
        <v>1009</v>
      </c>
      <c r="R232" s="264" t="s">
        <v>1010</v>
      </c>
      <c r="S232" s="264" t="s">
        <v>996</v>
      </c>
      <c r="T232" s="264" t="s">
        <v>997</v>
      </c>
      <c r="U232" s="264" t="s">
        <v>995</v>
      </c>
      <c r="V232" s="264" t="s">
        <v>995</v>
      </c>
      <c r="W232" s="264" t="s">
        <v>995</v>
      </c>
      <c r="X232" s="264" t="s">
        <v>828</v>
      </c>
      <c r="Y232" s="264" t="s">
        <v>998</v>
      </c>
      <c r="Z232" s="264">
        <v>31</v>
      </c>
      <c r="AA232" s="264" t="s">
        <v>999</v>
      </c>
      <c r="AB232" s="264">
        <v>31</v>
      </c>
      <c r="AC232" s="264" t="s">
        <v>999</v>
      </c>
      <c r="AD232" s="264" t="s">
        <v>1000</v>
      </c>
      <c r="AE232" s="264" t="s">
        <v>1000</v>
      </c>
      <c r="AF232" s="264" t="s">
        <v>1000</v>
      </c>
      <c r="AG232" s="264" t="s">
        <v>1000</v>
      </c>
      <c r="AH232" s="264" t="s">
        <v>1002</v>
      </c>
      <c r="AI232" s="264" t="s">
        <v>1002</v>
      </c>
      <c r="AJ232" s="264" t="s">
        <v>995</v>
      </c>
      <c r="AK232" s="264" t="s">
        <v>995</v>
      </c>
      <c r="AL232" s="264" t="s">
        <v>995</v>
      </c>
    </row>
    <row r="233" spans="1:38">
      <c r="A233" s="264">
        <v>2731</v>
      </c>
      <c r="B233" s="264" t="s">
        <v>264</v>
      </c>
      <c r="C233" s="264" t="s">
        <v>1123</v>
      </c>
      <c r="D233" s="264" t="s">
        <v>1004</v>
      </c>
      <c r="E233" s="264">
        <v>41011</v>
      </c>
      <c r="F233" s="264" t="s">
        <v>258</v>
      </c>
      <c r="G233" s="389">
        <v>24199</v>
      </c>
      <c r="H233" s="264">
        <v>57</v>
      </c>
      <c r="I233" s="389">
        <v>31134</v>
      </c>
      <c r="K233" s="390">
        <v>42278</v>
      </c>
      <c r="L233" s="264">
        <v>20</v>
      </c>
      <c r="M233" s="264" t="s">
        <v>1015</v>
      </c>
      <c r="N233" s="264">
        <v>1</v>
      </c>
      <c r="O233" s="264" t="s">
        <v>829</v>
      </c>
      <c r="P233" s="264" t="s">
        <v>994</v>
      </c>
      <c r="Q233" s="264" t="s">
        <v>1009</v>
      </c>
      <c r="R233" s="264" t="s">
        <v>1010</v>
      </c>
      <c r="S233" s="264" t="s">
        <v>996</v>
      </c>
      <c r="T233" s="264" t="s">
        <v>997</v>
      </c>
      <c r="U233" s="264" t="s">
        <v>995</v>
      </c>
      <c r="V233" s="264" t="s">
        <v>995</v>
      </c>
      <c r="W233" s="264" t="s">
        <v>995</v>
      </c>
      <c r="X233" s="264" t="s">
        <v>828</v>
      </c>
      <c r="Y233" s="264" t="s">
        <v>998</v>
      </c>
      <c r="Z233" s="264">
        <v>31</v>
      </c>
      <c r="AA233" s="264" t="s">
        <v>999</v>
      </c>
      <c r="AB233" s="264">
        <v>31</v>
      </c>
      <c r="AC233" s="264" t="s">
        <v>999</v>
      </c>
      <c r="AD233" s="264" t="s">
        <v>1000</v>
      </c>
      <c r="AE233" s="264" t="s">
        <v>1000</v>
      </c>
      <c r="AF233" s="264" t="s">
        <v>1000</v>
      </c>
      <c r="AG233" s="264" t="s">
        <v>1000</v>
      </c>
      <c r="AH233" s="264" t="s">
        <v>1002</v>
      </c>
      <c r="AI233" s="264" t="s">
        <v>1002</v>
      </c>
      <c r="AJ233" s="264" t="s">
        <v>995</v>
      </c>
      <c r="AK233" s="264" t="s">
        <v>995</v>
      </c>
      <c r="AL233" s="264" t="s">
        <v>995</v>
      </c>
    </row>
    <row r="234" spans="1:38">
      <c r="A234" s="264">
        <v>2894</v>
      </c>
      <c r="B234" s="264" t="s">
        <v>257</v>
      </c>
      <c r="C234" s="264" t="s">
        <v>1124</v>
      </c>
      <c r="D234" s="264" t="s">
        <v>1004</v>
      </c>
      <c r="E234" s="264">
        <v>41011</v>
      </c>
      <c r="F234" s="264" t="s">
        <v>258</v>
      </c>
      <c r="G234" s="389">
        <v>26648</v>
      </c>
      <c r="H234" s="264">
        <v>51</v>
      </c>
      <c r="I234" s="389">
        <v>33322</v>
      </c>
      <c r="K234" s="390">
        <v>42278</v>
      </c>
      <c r="L234" s="264">
        <v>20</v>
      </c>
      <c r="M234" s="264" t="s">
        <v>1015</v>
      </c>
      <c r="N234" s="264">
        <v>1</v>
      </c>
      <c r="O234" s="264" t="s">
        <v>829</v>
      </c>
      <c r="P234" s="264" t="s">
        <v>994</v>
      </c>
      <c r="Q234" s="264" t="s">
        <v>1009</v>
      </c>
      <c r="R234" s="264" t="s">
        <v>1010</v>
      </c>
      <c r="S234" s="264" t="s">
        <v>996</v>
      </c>
      <c r="T234" s="264" t="s">
        <v>997</v>
      </c>
      <c r="U234" s="264" t="s">
        <v>995</v>
      </c>
      <c r="V234" s="264" t="s">
        <v>995</v>
      </c>
      <c r="W234" s="264" t="s">
        <v>995</v>
      </c>
      <c r="X234" s="264" t="s">
        <v>828</v>
      </c>
      <c r="Y234" s="264" t="s">
        <v>998</v>
      </c>
      <c r="Z234" s="264">
        <v>31</v>
      </c>
      <c r="AA234" s="264" t="s">
        <v>999</v>
      </c>
      <c r="AB234" s="264">
        <v>31</v>
      </c>
      <c r="AC234" s="264" t="s">
        <v>999</v>
      </c>
      <c r="AD234" s="264" t="s">
        <v>1000</v>
      </c>
      <c r="AE234" s="264" t="s">
        <v>1000</v>
      </c>
      <c r="AF234" s="264" t="s">
        <v>1000</v>
      </c>
      <c r="AG234" s="264" t="s">
        <v>1000</v>
      </c>
      <c r="AH234" s="264" t="s">
        <v>1002</v>
      </c>
      <c r="AI234" s="264" t="s">
        <v>1002</v>
      </c>
      <c r="AJ234" s="264" t="s">
        <v>995</v>
      </c>
      <c r="AK234" s="264" t="s">
        <v>995</v>
      </c>
      <c r="AL234" s="264" t="s">
        <v>995</v>
      </c>
    </row>
    <row r="235" spans="1:38">
      <c r="A235" s="264">
        <v>2973</v>
      </c>
      <c r="B235" s="264" t="s">
        <v>269</v>
      </c>
      <c r="C235" s="264" t="s">
        <v>1125</v>
      </c>
      <c r="D235" s="264" t="s">
        <v>1004</v>
      </c>
      <c r="E235" s="264">
        <v>41011</v>
      </c>
      <c r="F235" s="264" t="s">
        <v>258</v>
      </c>
      <c r="G235" s="389">
        <v>27115</v>
      </c>
      <c r="H235" s="264">
        <v>49</v>
      </c>
      <c r="I235" s="389">
        <v>34415</v>
      </c>
      <c r="K235" s="390">
        <v>42278</v>
      </c>
      <c r="L235" s="264">
        <v>20</v>
      </c>
      <c r="M235" s="264" t="s">
        <v>1015</v>
      </c>
      <c r="N235" s="264">
        <v>1</v>
      </c>
      <c r="O235" s="264" t="s">
        <v>829</v>
      </c>
      <c r="P235" s="264" t="s">
        <v>994</v>
      </c>
      <c r="Q235" s="264" t="s">
        <v>1009</v>
      </c>
      <c r="R235" s="264" t="s">
        <v>1010</v>
      </c>
      <c r="S235" s="264" t="s">
        <v>996</v>
      </c>
      <c r="T235" s="264" t="s">
        <v>997</v>
      </c>
      <c r="U235" s="264" t="s">
        <v>995</v>
      </c>
      <c r="V235" s="264" t="s">
        <v>995</v>
      </c>
      <c r="W235" s="264" t="s">
        <v>995</v>
      </c>
      <c r="X235" s="264" t="s">
        <v>828</v>
      </c>
      <c r="Y235" s="264" t="s">
        <v>998</v>
      </c>
      <c r="Z235" s="264">
        <v>31</v>
      </c>
      <c r="AA235" s="264" t="s">
        <v>999</v>
      </c>
      <c r="AB235" s="264">
        <v>31</v>
      </c>
      <c r="AC235" s="264" t="s">
        <v>999</v>
      </c>
      <c r="AD235" s="264" t="s">
        <v>1000</v>
      </c>
      <c r="AE235" s="264" t="s">
        <v>1000</v>
      </c>
      <c r="AF235" s="264" t="s">
        <v>1000</v>
      </c>
      <c r="AG235" s="264" t="s">
        <v>1000</v>
      </c>
      <c r="AH235" s="264" t="s">
        <v>1002</v>
      </c>
      <c r="AI235" s="264" t="s">
        <v>1002</v>
      </c>
      <c r="AJ235" s="264" t="s">
        <v>995</v>
      </c>
      <c r="AK235" s="264" t="s">
        <v>995</v>
      </c>
      <c r="AL235" s="264" t="s">
        <v>995</v>
      </c>
    </row>
    <row r="236" spans="1:38">
      <c r="A236" s="264">
        <v>3163</v>
      </c>
      <c r="B236" s="264" t="s">
        <v>260</v>
      </c>
      <c r="C236" s="264" t="s">
        <v>1126</v>
      </c>
      <c r="D236" s="264" t="s">
        <v>1004</v>
      </c>
      <c r="E236" s="264">
        <v>41011</v>
      </c>
      <c r="F236" s="264" t="s">
        <v>258</v>
      </c>
      <c r="G236" s="389">
        <v>30012</v>
      </c>
      <c r="H236" s="264">
        <v>41</v>
      </c>
      <c r="I236" s="389">
        <v>36606</v>
      </c>
      <c r="K236" s="390">
        <v>42278</v>
      </c>
      <c r="L236" s="264">
        <v>20</v>
      </c>
      <c r="M236" s="264" t="s">
        <v>1015</v>
      </c>
      <c r="N236" s="264">
        <v>1</v>
      </c>
      <c r="O236" s="264" t="s">
        <v>829</v>
      </c>
      <c r="P236" s="264" t="s">
        <v>994</v>
      </c>
      <c r="Q236" s="264" t="s">
        <v>1009</v>
      </c>
      <c r="R236" s="264" t="s">
        <v>1010</v>
      </c>
      <c r="S236" s="264" t="s">
        <v>996</v>
      </c>
      <c r="T236" s="264" t="s">
        <v>997</v>
      </c>
      <c r="U236" s="264" t="s">
        <v>995</v>
      </c>
      <c r="V236" s="264" t="s">
        <v>995</v>
      </c>
      <c r="W236" s="264" t="s">
        <v>995</v>
      </c>
      <c r="X236" s="264" t="s">
        <v>828</v>
      </c>
      <c r="Y236" s="264" t="s">
        <v>998</v>
      </c>
      <c r="Z236" s="264">
        <v>31</v>
      </c>
      <c r="AA236" s="264" t="s">
        <v>999</v>
      </c>
      <c r="AB236" s="264">
        <v>31</v>
      </c>
      <c r="AC236" s="264" t="s">
        <v>999</v>
      </c>
      <c r="AD236" s="264" t="s">
        <v>1000</v>
      </c>
      <c r="AE236" s="264" t="s">
        <v>1000</v>
      </c>
      <c r="AF236" s="264" t="s">
        <v>1000</v>
      </c>
      <c r="AG236" s="264" t="s">
        <v>1000</v>
      </c>
      <c r="AH236" s="264" t="s">
        <v>1002</v>
      </c>
      <c r="AI236" s="264" t="s">
        <v>1002</v>
      </c>
      <c r="AJ236" s="264" t="s">
        <v>995</v>
      </c>
      <c r="AK236" s="264" t="s">
        <v>1010</v>
      </c>
      <c r="AL236" s="264" t="s">
        <v>995</v>
      </c>
    </row>
    <row r="237" spans="1:38">
      <c r="A237" s="264">
        <v>3251</v>
      </c>
      <c r="B237" s="264" t="s">
        <v>262</v>
      </c>
      <c r="C237" s="264" t="s">
        <v>1127</v>
      </c>
      <c r="D237" s="264" t="s">
        <v>1004</v>
      </c>
      <c r="E237" s="264">
        <v>41011</v>
      </c>
      <c r="F237" s="264" t="s">
        <v>258</v>
      </c>
      <c r="G237" s="389">
        <v>32030</v>
      </c>
      <c r="H237" s="264">
        <v>36</v>
      </c>
      <c r="I237" s="389">
        <v>38797</v>
      </c>
      <c r="K237" s="390">
        <v>42278</v>
      </c>
      <c r="L237" s="264">
        <v>20</v>
      </c>
      <c r="M237" s="264" t="s">
        <v>1015</v>
      </c>
      <c r="N237" s="264">
        <v>1</v>
      </c>
      <c r="O237" s="264" t="s">
        <v>829</v>
      </c>
      <c r="P237" s="264" t="s">
        <v>994</v>
      </c>
      <c r="Q237" s="264" t="s">
        <v>1009</v>
      </c>
      <c r="R237" s="264" t="s">
        <v>1010</v>
      </c>
      <c r="S237" s="264" t="s">
        <v>996</v>
      </c>
      <c r="T237" s="264" t="s">
        <v>997</v>
      </c>
      <c r="U237" s="264" t="s">
        <v>995</v>
      </c>
      <c r="V237" s="264" t="s">
        <v>995</v>
      </c>
      <c r="W237" s="264" t="s">
        <v>995</v>
      </c>
      <c r="X237" s="264" t="s">
        <v>828</v>
      </c>
      <c r="Y237" s="264" t="s">
        <v>998</v>
      </c>
      <c r="Z237" s="264">
        <v>31</v>
      </c>
      <c r="AA237" s="264" t="s">
        <v>999</v>
      </c>
      <c r="AB237" s="264">
        <v>31</v>
      </c>
      <c r="AC237" s="264" t="s">
        <v>999</v>
      </c>
      <c r="AD237" s="264" t="s">
        <v>1000</v>
      </c>
      <c r="AE237" s="264" t="s">
        <v>1000</v>
      </c>
      <c r="AF237" s="264" t="s">
        <v>1000</v>
      </c>
      <c r="AG237" s="264" t="s">
        <v>1000</v>
      </c>
      <c r="AH237" s="264" t="s">
        <v>1002</v>
      </c>
      <c r="AI237" s="264" t="s">
        <v>1002</v>
      </c>
      <c r="AJ237" s="264" t="s">
        <v>995</v>
      </c>
      <c r="AK237" s="264" t="s">
        <v>995</v>
      </c>
      <c r="AL237" s="264" t="s">
        <v>995</v>
      </c>
    </row>
    <row r="238" spans="1:38">
      <c r="A238" s="264">
        <v>3253</v>
      </c>
      <c r="B238" s="264" t="s">
        <v>271</v>
      </c>
      <c r="C238" s="264" t="s">
        <v>1128</v>
      </c>
      <c r="D238" s="264" t="s">
        <v>1004</v>
      </c>
      <c r="E238" s="264">
        <v>41011</v>
      </c>
      <c r="F238" s="264" t="s">
        <v>258</v>
      </c>
      <c r="G238" s="389">
        <v>31319</v>
      </c>
      <c r="H238" s="264">
        <v>38</v>
      </c>
      <c r="I238" s="389">
        <v>38797</v>
      </c>
      <c r="K238" s="390">
        <v>42278</v>
      </c>
      <c r="L238" s="264">
        <v>20</v>
      </c>
      <c r="M238" s="264" t="s">
        <v>1015</v>
      </c>
      <c r="N238" s="264">
        <v>1</v>
      </c>
      <c r="O238" s="264" t="s">
        <v>829</v>
      </c>
      <c r="P238" s="264" t="s">
        <v>994</v>
      </c>
      <c r="Q238" s="264" t="s">
        <v>1009</v>
      </c>
      <c r="R238" s="264" t="s">
        <v>1010</v>
      </c>
      <c r="S238" s="264" t="s">
        <v>996</v>
      </c>
      <c r="T238" s="264" t="s">
        <v>997</v>
      </c>
      <c r="U238" s="264" t="s">
        <v>1021</v>
      </c>
      <c r="V238" s="264" t="s">
        <v>995</v>
      </c>
      <c r="W238" s="264" t="s">
        <v>995</v>
      </c>
      <c r="X238" s="264" t="s">
        <v>828</v>
      </c>
      <c r="Y238" s="264" t="s">
        <v>998</v>
      </c>
      <c r="Z238" s="264">
        <v>31</v>
      </c>
      <c r="AA238" s="264" t="s">
        <v>999</v>
      </c>
      <c r="AB238" s="264">
        <v>31</v>
      </c>
      <c r="AC238" s="264" t="s">
        <v>999</v>
      </c>
      <c r="AD238" s="264" t="s">
        <v>1000</v>
      </c>
      <c r="AE238" s="264" t="s">
        <v>1000</v>
      </c>
      <c r="AF238" s="264" t="s">
        <v>1000</v>
      </c>
      <c r="AG238" s="264" t="s">
        <v>1000</v>
      </c>
      <c r="AH238" s="264" t="s">
        <v>1002</v>
      </c>
      <c r="AI238" s="264" t="s">
        <v>1002</v>
      </c>
      <c r="AJ238" s="264" t="s">
        <v>995</v>
      </c>
      <c r="AK238" s="264" t="s">
        <v>995</v>
      </c>
      <c r="AL238" s="264" t="s">
        <v>995</v>
      </c>
    </row>
    <row r="239" spans="1:38">
      <c r="A239" s="264">
        <v>3367</v>
      </c>
      <c r="B239" s="264" t="s">
        <v>272</v>
      </c>
      <c r="C239" s="264" t="s">
        <v>1129</v>
      </c>
      <c r="D239" s="264" t="s">
        <v>1004</v>
      </c>
      <c r="E239" s="264">
        <v>41011</v>
      </c>
      <c r="F239" s="264" t="s">
        <v>258</v>
      </c>
      <c r="G239" s="389">
        <v>34286</v>
      </c>
      <c r="H239" s="264">
        <v>30</v>
      </c>
      <c r="I239" s="389">
        <v>40989</v>
      </c>
      <c r="K239" s="390">
        <v>42278</v>
      </c>
      <c r="L239" s="264">
        <v>20</v>
      </c>
      <c r="M239" s="264" t="s">
        <v>1015</v>
      </c>
      <c r="N239" s="264">
        <v>1</v>
      </c>
      <c r="O239" s="264" t="s">
        <v>829</v>
      </c>
      <c r="P239" s="264" t="s">
        <v>994</v>
      </c>
      <c r="Q239" s="264" t="s">
        <v>1009</v>
      </c>
      <c r="R239" s="264" t="s">
        <v>1010</v>
      </c>
      <c r="S239" s="264" t="s">
        <v>996</v>
      </c>
      <c r="T239" s="264" t="s">
        <v>997</v>
      </c>
      <c r="U239" s="264" t="s">
        <v>995</v>
      </c>
      <c r="V239" s="264" t="s">
        <v>995</v>
      </c>
      <c r="W239" s="264" t="s">
        <v>995</v>
      </c>
      <c r="X239" s="264" t="s">
        <v>828</v>
      </c>
      <c r="Y239" s="264" t="s">
        <v>998</v>
      </c>
      <c r="Z239" s="264">
        <v>31</v>
      </c>
      <c r="AA239" s="264" t="s">
        <v>999</v>
      </c>
      <c r="AB239" s="264">
        <v>31</v>
      </c>
      <c r="AC239" s="264" t="s">
        <v>999</v>
      </c>
      <c r="AD239" s="264" t="s">
        <v>1000</v>
      </c>
      <c r="AE239" s="264" t="s">
        <v>1000</v>
      </c>
      <c r="AF239" s="264" t="s">
        <v>1000</v>
      </c>
      <c r="AG239" s="264" t="s">
        <v>1000</v>
      </c>
      <c r="AH239" s="264" t="s">
        <v>1002</v>
      </c>
      <c r="AI239" s="264" t="s">
        <v>1002</v>
      </c>
      <c r="AJ239" s="264" t="s">
        <v>995</v>
      </c>
      <c r="AK239" s="264" t="s">
        <v>995</v>
      </c>
      <c r="AL239" s="264" t="s">
        <v>995</v>
      </c>
    </row>
    <row r="240" spans="1:38">
      <c r="A240" s="264">
        <v>3476</v>
      </c>
      <c r="B240" s="264" t="s">
        <v>275</v>
      </c>
      <c r="C240" s="264" t="s">
        <v>1130</v>
      </c>
      <c r="D240" s="264" t="s">
        <v>1004</v>
      </c>
      <c r="E240" s="264">
        <v>41011</v>
      </c>
      <c r="F240" s="264" t="s">
        <v>258</v>
      </c>
      <c r="G240" s="389">
        <v>35889</v>
      </c>
      <c r="H240" s="264">
        <v>25</v>
      </c>
      <c r="I240" s="389">
        <v>42826</v>
      </c>
      <c r="K240" s="390">
        <v>42856</v>
      </c>
      <c r="L240" s="264">
        <v>20</v>
      </c>
      <c r="M240" s="264" t="s">
        <v>1015</v>
      </c>
      <c r="N240" s="264">
        <v>1</v>
      </c>
      <c r="O240" s="264" t="s">
        <v>829</v>
      </c>
      <c r="P240" s="264" t="s">
        <v>994</v>
      </c>
      <c r="Q240" s="264" t="s">
        <v>1009</v>
      </c>
      <c r="R240" s="264" t="s">
        <v>1010</v>
      </c>
      <c r="S240" s="264" t="s">
        <v>996</v>
      </c>
      <c r="T240" s="264" t="s">
        <v>997</v>
      </c>
      <c r="U240" s="264" t="s">
        <v>995</v>
      </c>
      <c r="V240" s="264" t="s">
        <v>995</v>
      </c>
      <c r="W240" s="264" t="s">
        <v>995</v>
      </c>
      <c r="X240" s="264" t="s">
        <v>828</v>
      </c>
      <c r="Y240" s="264" t="s">
        <v>998</v>
      </c>
      <c r="Z240" s="264">
        <v>31</v>
      </c>
      <c r="AA240" s="264" t="s">
        <v>999</v>
      </c>
      <c r="AB240" s="264">
        <v>31</v>
      </c>
      <c r="AC240" s="264" t="s">
        <v>999</v>
      </c>
      <c r="AD240" s="264" t="s">
        <v>1000</v>
      </c>
      <c r="AE240" s="264" t="s">
        <v>1000</v>
      </c>
      <c r="AF240" s="264" t="s">
        <v>1000</v>
      </c>
      <c r="AG240" s="264" t="s">
        <v>1000</v>
      </c>
      <c r="AH240" s="264" t="s">
        <v>1002</v>
      </c>
      <c r="AI240" s="264" t="s">
        <v>1002</v>
      </c>
      <c r="AJ240" s="264" t="s">
        <v>995</v>
      </c>
      <c r="AK240" s="264" t="s">
        <v>995</v>
      </c>
      <c r="AL240" s="264" t="s">
        <v>995</v>
      </c>
    </row>
    <row r="241" spans="1:38">
      <c r="A241" s="264">
        <v>3510</v>
      </c>
      <c r="B241" s="264" t="s">
        <v>276</v>
      </c>
      <c r="C241" s="264" t="s">
        <v>1131</v>
      </c>
      <c r="D241" s="264" t="s">
        <v>1004</v>
      </c>
      <c r="E241" s="264">
        <v>41011</v>
      </c>
      <c r="F241" s="264" t="s">
        <v>258</v>
      </c>
      <c r="G241" s="389">
        <v>36729</v>
      </c>
      <c r="H241" s="264">
        <v>23</v>
      </c>
      <c r="I241" s="389">
        <v>43556</v>
      </c>
      <c r="K241" s="390">
        <v>43586</v>
      </c>
      <c r="L241" s="264">
        <v>20</v>
      </c>
      <c r="M241" s="264" t="s">
        <v>1015</v>
      </c>
      <c r="N241" s="264">
        <v>1</v>
      </c>
      <c r="O241" s="264" t="s">
        <v>829</v>
      </c>
      <c r="P241" s="264" t="s">
        <v>994</v>
      </c>
      <c r="Q241" s="264" t="s">
        <v>1009</v>
      </c>
      <c r="R241" s="264" t="s">
        <v>1010</v>
      </c>
      <c r="S241" s="264" t="s">
        <v>996</v>
      </c>
      <c r="T241" s="264" t="s">
        <v>997</v>
      </c>
      <c r="U241" s="264" t="s">
        <v>995</v>
      </c>
      <c r="V241" s="264" t="s">
        <v>995</v>
      </c>
      <c r="W241" s="264" t="s">
        <v>995</v>
      </c>
      <c r="X241" s="264" t="s">
        <v>828</v>
      </c>
      <c r="Y241" s="264" t="s">
        <v>998</v>
      </c>
      <c r="Z241" s="264">
        <v>31</v>
      </c>
      <c r="AA241" s="264" t="s">
        <v>999</v>
      </c>
      <c r="AB241" s="264">
        <v>31</v>
      </c>
      <c r="AC241" s="264" t="s">
        <v>999</v>
      </c>
      <c r="AD241" s="264" t="s">
        <v>1000</v>
      </c>
      <c r="AE241" s="264" t="s">
        <v>1000</v>
      </c>
      <c r="AF241" s="264" t="s">
        <v>1000</v>
      </c>
      <c r="AG241" s="264" t="s">
        <v>1000</v>
      </c>
      <c r="AH241" s="264" t="s">
        <v>1002</v>
      </c>
      <c r="AI241" s="264" t="s">
        <v>1002</v>
      </c>
      <c r="AJ241" s="264" t="s">
        <v>995</v>
      </c>
      <c r="AK241" s="264" t="s">
        <v>995</v>
      </c>
      <c r="AL241" s="264" t="s">
        <v>995</v>
      </c>
    </row>
    <row r="242" spans="1:38">
      <c r="A242" s="264">
        <v>5122</v>
      </c>
      <c r="B242" s="264" t="s">
        <v>265</v>
      </c>
      <c r="C242" s="264" t="s">
        <v>1132</v>
      </c>
      <c r="D242" s="264" t="s">
        <v>1004</v>
      </c>
      <c r="E242" s="264">
        <v>41011</v>
      </c>
      <c r="F242" s="264" t="s">
        <v>258</v>
      </c>
      <c r="G242" s="389">
        <v>24721</v>
      </c>
      <c r="H242" s="264">
        <v>56</v>
      </c>
      <c r="I242" s="389">
        <v>31132</v>
      </c>
      <c r="K242" s="390">
        <v>42278</v>
      </c>
      <c r="L242" s="264">
        <v>20</v>
      </c>
      <c r="M242" s="264" t="s">
        <v>1015</v>
      </c>
      <c r="N242" s="264">
        <v>1</v>
      </c>
      <c r="O242" s="264" t="s">
        <v>829</v>
      </c>
      <c r="P242" s="264" t="s">
        <v>994</v>
      </c>
      <c r="Q242" s="264" t="s">
        <v>1009</v>
      </c>
      <c r="R242" s="264" t="s">
        <v>1010</v>
      </c>
      <c r="S242" s="264" t="s">
        <v>996</v>
      </c>
      <c r="T242" s="264" t="s">
        <v>997</v>
      </c>
      <c r="U242" s="264" t="s">
        <v>995</v>
      </c>
      <c r="V242" s="264" t="s">
        <v>995</v>
      </c>
      <c r="W242" s="264" t="s">
        <v>995</v>
      </c>
      <c r="X242" s="264" t="s">
        <v>828</v>
      </c>
      <c r="Y242" s="264" t="s">
        <v>998</v>
      </c>
      <c r="Z242" s="264">
        <v>31</v>
      </c>
      <c r="AA242" s="264" t="s">
        <v>999</v>
      </c>
      <c r="AB242" s="264">
        <v>31</v>
      </c>
      <c r="AC242" s="264" t="s">
        <v>999</v>
      </c>
      <c r="AD242" s="264" t="s">
        <v>1000</v>
      </c>
      <c r="AE242" s="264" t="s">
        <v>1000</v>
      </c>
      <c r="AF242" s="264" t="s">
        <v>1000</v>
      </c>
      <c r="AG242" s="264" t="s">
        <v>1000</v>
      </c>
      <c r="AH242" s="264" t="s">
        <v>1002</v>
      </c>
      <c r="AI242" s="264" t="s">
        <v>1002</v>
      </c>
      <c r="AJ242" s="264" t="s">
        <v>995</v>
      </c>
      <c r="AK242" s="264" t="s">
        <v>995</v>
      </c>
      <c r="AL242" s="264" t="s">
        <v>995</v>
      </c>
    </row>
    <row r="243" spans="1:38">
      <c r="A243" s="264">
        <v>5153</v>
      </c>
      <c r="B243" s="264" t="s">
        <v>266</v>
      </c>
      <c r="C243" s="264" t="s">
        <v>1133</v>
      </c>
      <c r="D243" s="264" t="s">
        <v>1004</v>
      </c>
      <c r="E243" s="264">
        <v>41011</v>
      </c>
      <c r="F243" s="264" t="s">
        <v>258</v>
      </c>
      <c r="G243" s="389">
        <v>25698</v>
      </c>
      <c r="H243" s="264">
        <v>53</v>
      </c>
      <c r="I243" s="389">
        <v>31861</v>
      </c>
      <c r="K243" s="390">
        <v>42278</v>
      </c>
      <c r="L243" s="264">
        <v>20</v>
      </c>
      <c r="M243" s="264" t="s">
        <v>1015</v>
      </c>
      <c r="N243" s="264">
        <v>1</v>
      </c>
      <c r="O243" s="264" t="s">
        <v>829</v>
      </c>
      <c r="P243" s="264" t="s">
        <v>994</v>
      </c>
      <c r="Q243" s="264" t="s">
        <v>1009</v>
      </c>
      <c r="R243" s="264" t="s">
        <v>1010</v>
      </c>
      <c r="S243" s="264" t="s">
        <v>996</v>
      </c>
      <c r="T243" s="264" t="s">
        <v>997</v>
      </c>
      <c r="U243" s="264" t="s">
        <v>995</v>
      </c>
      <c r="V243" s="264" t="s">
        <v>995</v>
      </c>
      <c r="W243" s="264" t="s">
        <v>995</v>
      </c>
      <c r="X243" s="264" t="s">
        <v>828</v>
      </c>
      <c r="Y243" s="264" t="s">
        <v>998</v>
      </c>
      <c r="Z243" s="264">
        <v>31</v>
      </c>
      <c r="AA243" s="264" t="s">
        <v>999</v>
      </c>
      <c r="AB243" s="264">
        <v>31</v>
      </c>
      <c r="AC243" s="264" t="s">
        <v>999</v>
      </c>
      <c r="AD243" s="264" t="s">
        <v>1000</v>
      </c>
      <c r="AE243" s="264" t="s">
        <v>1000</v>
      </c>
      <c r="AF243" s="264" t="s">
        <v>1000</v>
      </c>
      <c r="AG243" s="264" t="s">
        <v>1000</v>
      </c>
      <c r="AH243" s="264" t="s">
        <v>1002</v>
      </c>
      <c r="AI243" s="264" t="s">
        <v>1002</v>
      </c>
      <c r="AJ243" s="264" t="s">
        <v>995</v>
      </c>
      <c r="AK243" s="264" t="s">
        <v>995</v>
      </c>
      <c r="AL243" s="264" t="s">
        <v>995</v>
      </c>
    </row>
    <row r="244" spans="1:38">
      <c r="A244" s="264">
        <v>8190</v>
      </c>
      <c r="B244" s="264" t="s">
        <v>572</v>
      </c>
      <c r="C244" s="264" t="s">
        <v>1143</v>
      </c>
      <c r="D244" s="264" t="s">
        <v>1004</v>
      </c>
      <c r="E244" s="264">
        <v>41021</v>
      </c>
      <c r="F244" s="264" t="s">
        <v>258</v>
      </c>
      <c r="G244" s="389">
        <v>21858</v>
      </c>
      <c r="H244" s="264">
        <v>64</v>
      </c>
      <c r="I244" s="389">
        <v>27842</v>
      </c>
      <c r="K244" s="390">
        <v>43770</v>
      </c>
      <c r="L244" s="264">
        <v>70</v>
      </c>
      <c r="M244" s="264" t="s">
        <v>1024</v>
      </c>
      <c r="N244" s="264">
        <v>1</v>
      </c>
      <c r="O244" s="264" t="s">
        <v>829</v>
      </c>
      <c r="P244" s="264" t="s">
        <v>994</v>
      </c>
      <c r="Q244" s="264" t="s">
        <v>1009</v>
      </c>
      <c r="R244" s="264" t="s">
        <v>995</v>
      </c>
      <c r="S244" s="264" t="s">
        <v>996</v>
      </c>
      <c r="T244" s="264" t="s">
        <v>997</v>
      </c>
      <c r="U244" s="264" t="s">
        <v>995</v>
      </c>
      <c r="V244" s="264" t="s">
        <v>995</v>
      </c>
      <c r="W244" s="264" t="s">
        <v>995</v>
      </c>
      <c r="X244" s="264" t="s">
        <v>828</v>
      </c>
      <c r="Y244" s="264" t="s">
        <v>998</v>
      </c>
      <c r="Z244" s="264">
        <v>31</v>
      </c>
      <c r="AA244" s="264" t="s">
        <v>999</v>
      </c>
      <c r="AB244" s="264">
        <v>31</v>
      </c>
      <c r="AC244" s="264" t="s">
        <v>999</v>
      </c>
      <c r="AD244" s="264" t="s">
        <v>1000</v>
      </c>
      <c r="AE244" s="264" t="s">
        <v>1000</v>
      </c>
      <c r="AF244" s="264" t="s">
        <v>1000</v>
      </c>
      <c r="AG244" s="264" t="s">
        <v>1000</v>
      </c>
      <c r="AH244" s="264" t="s">
        <v>1002</v>
      </c>
      <c r="AI244" s="264" t="s">
        <v>1002</v>
      </c>
      <c r="AJ244" s="264" t="s">
        <v>995</v>
      </c>
      <c r="AK244" s="264" t="s">
        <v>995</v>
      </c>
      <c r="AL244" s="264" t="s">
        <v>995</v>
      </c>
    </row>
    <row r="245" spans="1:38">
      <c r="A245" s="264">
        <v>1441</v>
      </c>
      <c r="B245" s="264" t="s">
        <v>1221</v>
      </c>
      <c r="C245" s="264" t="s">
        <v>1222</v>
      </c>
      <c r="D245" s="264" t="s">
        <v>1004</v>
      </c>
      <c r="E245" s="264">
        <v>42211</v>
      </c>
      <c r="F245" s="264" t="s">
        <v>318</v>
      </c>
      <c r="G245" s="389">
        <v>26375</v>
      </c>
      <c r="H245" s="264">
        <v>51</v>
      </c>
      <c r="I245" s="389">
        <v>44901</v>
      </c>
      <c r="K245" s="390">
        <v>44927</v>
      </c>
      <c r="L245" s="264">
        <v>20</v>
      </c>
      <c r="M245" s="264" t="s">
        <v>1015</v>
      </c>
      <c r="N245" s="264">
        <v>1</v>
      </c>
      <c r="O245" s="264" t="s">
        <v>829</v>
      </c>
      <c r="P245" s="264" t="s">
        <v>994</v>
      </c>
      <c r="Q245" s="264" t="s">
        <v>1009</v>
      </c>
      <c r="R245" s="264" t="s">
        <v>1010</v>
      </c>
      <c r="S245" s="264" t="s">
        <v>996</v>
      </c>
      <c r="T245" s="264" t="s">
        <v>997</v>
      </c>
      <c r="U245" s="264" t="s">
        <v>995</v>
      </c>
      <c r="V245" s="264" t="s">
        <v>995</v>
      </c>
      <c r="W245" s="264" t="s">
        <v>995</v>
      </c>
      <c r="X245" s="264" t="s">
        <v>828</v>
      </c>
      <c r="Y245" s="264" t="s">
        <v>998</v>
      </c>
      <c r="Z245" s="264">
        <v>31</v>
      </c>
      <c r="AA245" s="264" t="s">
        <v>999</v>
      </c>
      <c r="AB245" s="264">
        <v>31</v>
      </c>
      <c r="AC245" s="264" t="s">
        <v>999</v>
      </c>
      <c r="AD245" s="264" t="s">
        <v>1000</v>
      </c>
      <c r="AE245" s="264" t="s">
        <v>1000</v>
      </c>
      <c r="AF245" s="264" t="s">
        <v>1000</v>
      </c>
      <c r="AG245" s="264" t="s">
        <v>1000</v>
      </c>
      <c r="AH245" s="264" t="s">
        <v>1002</v>
      </c>
      <c r="AI245" s="264" t="s">
        <v>1002</v>
      </c>
      <c r="AJ245" s="264" t="s">
        <v>995</v>
      </c>
      <c r="AK245" s="264" t="s">
        <v>995</v>
      </c>
      <c r="AL245" s="264" t="s">
        <v>995</v>
      </c>
    </row>
    <row r="246" spans="1:38">
      <c r="A246" s="264">
        <v>1454</v>
      </c>
      <c r="B246" s="264" t="s">
        <v>1223</v>
      </c>
      <c r="C246" s="264" t="s">
        <v>1224</v>
      </c>
      <c r="D246" s="264" t="s">
        <v>1004</v>
      </c>
      <c r="E246" s="264">
        <v>42211</v>
      </c>
      <c r="F246" s="264" t="s">
        <v>318</v>
      </c>
      <c r="G246" s="389">
        <v>30554</v>
      </c>
      <c r="H246" s="264">
        <v>40</v>
      </c>
      <c r="I246" s="389">
        <v>45261</v>
      </c>
      <c r="K246" s="390">
        <v>45261</v>
      </c>
      <c r="L246" s="264">
        <v>20</v>
      </c>
      <c r="M246" s="264" t="s">
        <v>1015</v>
      </c>
      <c r="N246" s="264">
        <v>1</v>
      </c>
      <c r="O246" s="264" t="s">
        <v>829</v>
      </c>
      <c r="P246" s="264" t="s">
        <v>994</v>
      </c>
      <c r="Q246" s="264" t="s">
        <v>1009</v>
      </c>
      <c r="R246" s="264" t="s">
        <v>1010</v>
      </c>
      <c r="S246" s="264" t="s">
        <v>996</v>
      </c>
      <c r="T246" s="264" t="s">
        <v>997</v>
      </c>
      <c r="U246" s="264" t="s">
        <v>995</v>
      </c>
      <c r="V246" s="264" t="s">
        <v>995</v>
      </c>
      <c r="W246" s="264" t="s">
        <v>995</v>
      </c>
      <c r="X246" s="264" t="s">
        <v>828</v>
      </c>
      <c r="Y246" s="264" t="s">
        <v>998</v>
      </c>
      <c r="Z246" s="264">
        <v>31</v>
      </c>
      <c r="AA246" s="264" t="s">
        <v>999</v>
      </c>
      <c r="AB246" s="264">
        <v>31</v>
      </c>
      <c r="AC246" s="264" t="s">
        <v>999</v>
      </c>
      <c r="AD246" s="264" t="s">
        <v>1000</v>
      </c>
      <c r="AE246" s="264" t="s">
        <v>1000</v>
      </c>
      <c r="AF246" s="264" t="s">
        <v>1000</v>
      </c>
      <c r="AG246" s="264" t="s">
        <v>1000</v>
      </c>
      <c r="AH246" s="264" t="s">
        <v>1002</v>
      </c>
      <c r="AI246" s="264" t="s">
        <v>1002</v>
      </c>
      <c r="AJ246" s="264" t="s">
        <v>995</v>
      </c>
      <c r="AK246" s="264" t="s">
        <v>995</v>
      </c>
      <c r="AL246" s="264" t="s">
        <v>995</v>
      </c>
    </row>
    <row r="247" spans="1:38">
      <c r="A247" s="264">
        <v>2654</v>
      </c>
      <c r="B247" s="264" t="s">
        <v>321</v>
      </c>
      <c r="C247" s="264" t="s">
        <v>1225</v>
      </c>
      <c r="D247" s="264" t="s">
        <v>1004</v>
      </c>
      <c r="E247" s="264">
        <v>42211</v>
      </c>
      <c r="F247" s="264" t="s">
        <v>318</v>
      </c>
      <c r="G247" s="389">
        <v>23479</v>
      </c>
      <c r="H247" s="264">
        <v>59</v>
      </c>
      <c r="I247" s="389">
        <v>30397</v>
      </c>
      <c r="K247" s="390">
        <v>42278</v>
      </c>
      <c r="L247" s="264">
        <v>20</v>
      </c>
      <c r="M247" s="264" t="s">
        <v>1015</v>
      </c>
      <c r="N247" s="264">
        <v>1</v>
      </c>
      <c r="O247" s="264" t="s">
        <v>829</v>
      </c>
      <c r="P247" s="264" t="s">
        <v>994</v>
      </c>
      <c r="Q247" s="264" t="s">
        <v>1009</v>
      </c>
      <c r="R247" s="264" t="s">
        <v>1010</v>
      </c>
      <c r="S247" s="264" t="s">
        <v>996</v>
      </c>
      <c r="T247" s="264" t="s">
        <v>997</v>
      </c>
      <c r="U247" s="264" t="s">
        <v>995</v>
      </c>
      <c r="V247" s="264" t="s">
        <v>995</v>
      </c>
      <c r="W247" s="264" t="s">
        <v>995</v>
      </c>
      <c r="X247" s="264" t="s">
        <v>828</v>
      </c>
      <c r="Y247" s="264" t="s">
        <v>998</v>
      </c>
      <c r="Z247" s="264">
        <v>31</v>
      </c>
      <c r="AA247" s="264" t="s">
        <v>999</v>
      </c>
      <c r="AB247" s="264">
        <v>31</v>
      </c>
      <c r="AC247" s="264" t="s">
        <v>999</v>
      </c>
      <c r="AD247" s="264" t="s">
        <v>1000</v>
      </c>
      <c r="AE247" s="264" t="s">
        <v>1000</v>
      </c>
      <c r="AF247" s="264" t="s">
        <v>1000</v>
      </c>
      <c r="AG247" s="264" t="s">
        <v>1000</v>
      </c>
      <c r="AH247" s="264" t="s">
        <v>1002</v>
      </c>
      <c r="AI247" s="264" t="s">
        <v>1002</v>
      </c>
      <c r="AJ247" s="264" t="s">
        <v>995</v>
      </c>
      <c r="AK247" s="264" t="s">
        <v>995</v>
      </c>
      <c r="AL247" s="264" t="s">
        <v>995</v>
      </c>
    </row>
    <row r="248" spans="1:38">
      <c r="A248" s="264">
        <v>3184</v>
      </c>
      <c r="B248" s="264" t="s">
        <v>317</v>
      </c>
      <c r="C248" s="264" t="s">
        <v>1226</v>
      </c>
      <c r="D248" s="264" t="s">
        <v>1004</v>
      </c>
      <c r="E248" s="264">
        <v>42211</v>
      </c>
      <c r="F248" s="264" t="s">
        <v>318</v>
      </c>
      <c r="G248" s="389">
        <v>30752</v>
      </c>
      <c r="H248" s="264">
        <v>39</v>
      </c>
      <c r="I248" s="389">
        <v>37337</v>
      </c>
      <c r="K248" s="390">
        <v>42278</v>
      </c>
      <c r="L248" s="264">
        <v>20</v>
      </c>
      <c r="M248" s="264" t="s">
        <v>1015</v>
      </c>
      <c r="N248" s="264">
        <v>1</v>
      </c>
      <c r="O248" s="264" t="s">
        <v>829</v>
      </c>
      <c r="P248" s="264" t="s">
        <v>994</v>
      </c>
      <c r="Q248" s="264" t="s">
        <v>1009</v>
      </c>
      <c r="R248" s="264" t="s">
        <v>1010</v>
      </c>
      <c r="S248" s="264" t="s">
        <v>996</v>
      </c>
      <c r="T248" s="264" t="s">
        <v>997</v>
      </c>
      <c r="U248" s="264" t="s">
        <v>995</v>
      </c>
      <c r="V248" s="264" t="s">
        <v>995</v>
      </c>
      <c r="W248" s="264" t="s">
        <v>995</v>
      </c>
      <c r="X248" s="264" t="s">
        <v>828</v>
      </c>
      <c r="Y248" s="264" t="s">
        <v>998</v>
      </c>
      <c r="Z248" s="264">
        <v>31</v>
      </c>
      <c r="AA248" s="264" t="s">
        <v>999</v>
      </c>
      <c r="AB248" s="264">
        <v>31</v>
      </c>
      <c r="AC248" s="264" t="s">
        <v>999</v>
      </c>
      <c r="AD248" s="264" t="s">
        <v>1000</v>
      </c>
      <c r="AE248" s="264" t="s">
        <v>1000</v>
      </c>
      <c r="AF248" s="264" t="s">
        <v>1000</v>
      </c>
      <c r="AG248" s="264" t="s">
        <v>1000</v>
      </c>
      <c r="AH248" s="264" t="s">
        <v>1002</v>
      </c>
      <c r="AI248" s="264" t="s">
        <v>1002</v>
      </c>
      <c r="AJ248" s="264" t="s">
        <v>995</v>
      </c>
      <c r="AK248" s="264" t="s">
        <v>995</v>
      </c>
      <c r="AL248" s="264" t="s">
        <v>995</v>
      </c>
    </row>
    <row r="249" spans="1:38">
      <c r="A249" s="264">
        <v>3219</v>
      </c>
      <c r="B249" s="264" t="s">
        <v>326</v>
      </c>
      <c r="C249" s="264" t="s">
        <v>1227</v>
      </c>
      <c r="D249" s="264" t="s">
        <v>1004</v>
      </c>
      <c r="E249" s="264">
        <v>42211</v>
      </c>
      <c r="F249" s="264" t="s">
        <v>318</v>
      </c>
      <c r="G249" s="389">
        <v>31349</v>
      </c>
      <c r="H249" s="264">
        <v>38</v>
      </c>
      <c r="I249" s="389">
        <v>38068</v>
      </c>
      <c r="K249" s="390">
        <v>42278</v>
      </c>
      <c r="L249" s="264">
        <v>20</v>
      </c>
      <c r="M249" s="264" t="s">
        <v>1015</v>
      </c>
      <c r="N249" s="264">
        <v>1</v>
      </c>
      <c r="O249" s="264" t="s">
        <v>829</v>
      </c>
      <c r="P249" s="264" t="s">
        <v>994</v>
      </c>
      <c r="Q249" s="264" t="s">
        <v>1009</v>
      </c>
      <c r="R249" s="264" t="s">
        <v>1010</v>
      </c>
      <c r="S249" s="264" t="s">
        <v>996</v>
      </c>
      <c r="T249" s="264" t="s">
        <v>997</v>
      </c>
      <c r="U249" s="264" t="s">
        <v>995</v>
      </c>
      <c r="V249" s="264" t="s">
        <v>995</v>
      </c>
      <c r="W249" s="264" t="s">
        <v>995</v>
      </c>
      <c r="X249" s="264" t="s">
        <v>828</v>
      </c>
      <c r="Y249" s="264" t="s">
        <v>998</v>
      </c>
      <c r="Z249" s="264">
        <v>31</v>
      </c>
      <c r="AA249" s="264" t="s">
        <v>999</v>
      </c>
      <c r="AB249" s="264">
        <v>31</v>
      </c>
      <c r="AC249" s="264" t="s">
        <v>999</v>
      </c>
      <c r="AD249" s="264" t="s">
        <v>1000</v>
      </c>
      <c r="AE249" s="264" t="s">
        <v>1000</v>
      </c>
      <c r="AF249" s="264" t="s">
        <v>1000</v>
      </c>
      <c r="AG249" s="264" t="s">
        <v>1000</v>
      </c>
      <c r="AH249" s="264" t="s">
        <v>1002</v>
      </c>
      <c r="AI249" s="264" t="s">
        <v>1002</v>
      </c>
      <c r="AJ249" s="264" t="s">
        <v>995</v>
      </c>
      <c r="AK249" s="264" t="s">
        <v>995</v>
      </c>
      <c r="AL249" s="264" t="s">
        <v>995</v>
      </c>
    </row>
    <row r="250" spans="1:38">
      <c r="A250" s="264">
        <v>3350</v>
      </c>
      <c r="B250" s="264" t="s">
        <v>319</v>
      </c>
      <c r="C250" s="264" t="s">
        <v>1228</v>
      </c>
      <c r="D250" s="264" t="s">
        <v>1004</v>
      </c>
      <c r="E250" s="264">
        <v>42211</v>
      </c>
      <c r="F250" s="264" t="s">
        <v>318</v>
      </c>
      <c r="G250" s="389">
        <v>33484</v>
      </c>
      <c r="H250" s="264">
        <v>32</v>
      </c>
      <c r="I250" s="389">
        <v>40623</v>
      </c>
      <c r="K250" s="390">
        <v>42278</v>
      </c>
      <c r="L250" s="264">
        <v>20</v>
      </c>
      <c r="M250" s="264" t="s">
        <v>1015</v>
      </c>
      <c r="N250" s="264">
        <v>1</v>
      </c>
      <c r="O250" s="264" t="s">
        <v>829</v>
      </c>
      <c r="P250" s="264" t="s">
        <v>994</v>
      </c>
      <c r="Q250" s="264" t="s">
        <v>1009</v>
      </c>
      <c r="R250" s="264" t="s">
        <v>1010</v>
      </c>
      <c r="S250" s="264" t="s">
        <v>996</v>
      </c>
      <c r="T250" s="264" t="s">
        <v>997</v>
      </c>
      <c r="U250" s="264" t="s">
        <v>995</v>
      </c>
      <c r="V250" s="264" t="s">
        <v>995</v>
      </c>
      <c r="W250" s="264" t="s">
        <v>995</v>
      </c>
      <c r="X250" s="264" t="s">
        <v>828</v>
      </c>
      <c r="Y250" s="264" t="s">
        <v>998</v>
      </c>
      <c r="Z250" s="264">
        <v>31</v>
      </c>
      <c r="AA250" s="264" t="s">
        <v>999</v>
      </c>
      <c r="AB250" s="264">
        <v>31</v>
      </c>
      <c r="AC250" s="264" t="s">
        <v>999</v>
      </c>
      <c r="AD250" s="264" t="s">
        <v>1000</v>
      </c>
      <c r="AE250" s="264" t="s">
        <v>1000</v>
      </c>
      <c r="AF250" s="264" t="s">
        <v>1000</v>
      </c>
      <c r="AG250" s="264" t="s">
        <v>1000</v>
      </c>
      <c r="AH250" s="264" t="s">
        <v>1002</v>
      </c>
      <c r="AI250" s="264" t="s">
        <v>1002</v>
      </c>
      <c r="AJ250" s="264" t="s">
        <v>995</v>
      </c>
      <c r="AK250" s="264" t="s">
        <v>995</v>
      </c>
      <c r="AL250" s="264" t="s">
        <v>995</v>
      </c>
    </row>
    <row r="251" spans="1:38">
      <c r="A251" s="264">
        <v>3398</v>
      </c>
      <c r="B251" s="264" t="s">
        <v>327</v>
      </c>
      <c r="C251" s="264" t="s">
        <v>1229</v>
      </c>
      <c r="D251" s="264" t="s">
        <v>1004</v>
      </c>
      <c r="E251" s="264">
        <v>42211</v>
      </c>
      <c r="F251" s="264" t="s">
        <v>318</v>
      </c>
      <c r="G251" s="389">
        <v>34741</v>
      </c>
      <c r="H251" s="264">
        <v>28</v>
      </c>
      <c r="I251" s="389">
        <v>41354</v>
      </c>
      <c r="K251" s="390">
        <v>42278</v>
      </c>
      <c r="L251" s="264">
        <v>20</v>
      </c>
      <c r="M251" s="264" t="s">
        <v>1015</v>
      </c>
      <c r="N251" s="264">
        <v>1</v>
      </c>
      <c r="O251" s="264" t="s">
        <v>829</v>
      </c>
      <c r="P251" s="264" t="s">
        <v>994</v>
      </c>
      <c r="Q251" s="264" t="s">
        <v>1009</v>
      </c>
      <c r="R251" s="264" t="s">
        <v>1010</v>
      </c>
      <c r="S251" s="264" t="s">
        <v>996</v>
      </c>
      <c r="T251" s="264" t="s">
        <v>997</v>
      </c>
      <c r="U251" s="264" t="s">
        <v>995</v>
      </c>
      <c r="V251" s="264" t="s">
        <v>995</v>
      </c>
      <c r="W251" s="264" t="s">
        <v>995</v>
      </c>
      <c r="X251" s="264" t="s">
        <v>828</v>
      </c>
      <c r="Y251" s="264" t="s">
        <v>998</v>
      </c>
      <c r="Z251" s="264">
        <v>31</v>
      </c>
      <c r="AA251" s="264" t="s">
        <v>999</v>
      </c>
      <c r="AB251" s="264">
        <v>31</v>
      </c>
      <c r="AC251" s="264" t="s">
        <v>999</v>
      </c>
      <c r="AD251" s="264" t="s">
        <v>1000</v>
      </c>
      <c r="AE251" s="264" t="s">
        <v>1000</v>
      </c>
      <c r="AF251" s="264" t="s">
        <v>1000</v>
      </c>
      <c r="AG251" s="264" t="s">
        <v>1000</v>
      </c>
      <c r="AH251" s="264" t="s">
        <v>1002</v>
      </c>
      <c r="AI251" s="264" t="s">
        <v>1002</v>
      </c>
      <c r="AJ251" s="264" t="s">
        <v>995</v>
      </c>
      <c r="AK251" s="264" t="s">
        <v>995</v>
      </c>
      <c r="AL251" s="264" t="s">
        <v>995</v>
      </c>
    </row>
    <row r="252" spans="1:38">
      <c r="A252" s="264">
        <v>3457</v>
      </c>
      <c r="B252" s="264" t="s">
        <v>841</v>
      </c>
      <c r="C252" s="264" t="s">
        <v>1230</v>
      </c>
      <c r="D252" s="264" t="s">
        <v>1004</v>
      </c>
      <c r="E252" s="264">
        <v>42211</v>
      </c>
      <c r="F252" s="264" t="s">
        <v>318</v>
      </c>
      <c r="G252" s="389">
        <v>35759</v>
      </c>
      <c r="H252" s="264">
        <v>26</v>
      </c>
      <c r="I252" s="389">
        <v>42461</v>
      </c>
      <c r="K252" s="390">
        <v>44593</v>
      </c>
      <c r="L252" s="264">
        <v>20</v>
      </c>
      <c r="M252" s="264" t="s">
        <v>1015</v>
      </c>
      <c r="N252" s="264">
        <v>1</v>
      </c>
      <c r="O252" s="264" t="s">
        <v>829</v>
      </c>
      <c r="P252" s="264" t="s">
        <v>994</v>
      </c>
      <c r="Q252" s="264" t="s">
        <v>1009</v>
      </c>
      <c r="R252" s="264" t="s">
        <v>1010</v>
      </c>
      <c r="S252" s="264" t="s">
        <v>996</v>
      </c>
      <c r="T252" s="264" t="s">
        <v>997</v>
      </c>
      <c r="U252" s="264" t="s">
        <v>995</v>
      </c>
      <c r="V252" s="264" t="s">
        <v>995</v>
      </c>
      <c r="W252" s="264" t="s">
        <v>995</v>
      </c>
      <c r="X252" s="264" t="s">
        <v>828</v>
      </c>
      <c r="Y252" s="264" t="s">
        <v>998</v>
      </c>
      <c r="Z252" s="264">
        <v>31</v>
      </c>
      <c r="AA252" s="264" t="s">
        <v>999</v>
      </c>
      <c r="AB252" s="264">
        <v>31</v>
      </c>
      <c r="AC252" s="264" t="s">
        <v>999</v>
      </c>
      <c r="AD252" s="264" t="s">
        <v>1000</v>
      </c>
      <c r="AE252" s="264" t="s">
        <v>1000</v>
      </c>
      <c r="AF252" s="264" t="s">
        <v>1000</v>
      </c>
      <c r="AG252" s="264" t="s">
        <v>1000</v>
      </c>
      <c r="AH252" s="264" t="s">
        <v>1002</v>
      </c>
      <c r="AI252" s="264" t="s">
        <v>1002</v>
      </c>
      <c r="AJ252" s="264" t="s">
        <v>995</v>
      </c>
      <c r="AK252" s="264" t="s">
        <v>995</v>
      </c>
      <c r="AL252" s="264" t="s">
        <v>995</v>
      </c>
    </row>
    <row r="253" spans="1:38">
      <c r="A253" s="264">
        <v>3541</v>
      </c>
      <c r="B253" s="264" t="s">
        <v>1231</v>
      </c>
      <c r="C253" s="264" t="s">
        <v>1232</v>
      </c>
      <c r="D253" s="264" t="s">
        <v>1004</v>
      </c>
      <c r="E253" s="264">
        <v>42211</v>
      </c>
      <c r="F253" s="264" t="s">
        <v>318</v>
      </c>
      <c r="G253" s="389">
        <v>38218</v>
      </c>
      <c r="H253" s="264">
        <v>19</v>
      </c>
      <c r="I253" s="389">
        <v>45017</v>
      </c>
      <c r="K253" s="390">
        <v>45047</v>
      </c>
      <c r="L253" s="264">
        <v>20</v>
      </c>
      <c r="M253" s="264" t="s">
        <v>1015</v>
      </c>
      <c r="N253" s="264">
        <v>1</v>
      </c>
      <c r="O253" s="264" t="s">
        <v>829</v>
      </c>
      <c r="P253" s="264" t="s">
        <v>994</v>
      </c>
      <c r="Q253" s="264" t="s">
        <v>1009</v>
      </c>
      <c r="R253" s="264" t="s">
        <v>1010</v>
      </c>
      <c r="S253" s="264" t="s">
        <v>996</v>
      </c>
      <c r="T253" s="264" t="s">
        <v>997</v>
      </c>
      <c r="U253" s="264" t="s">
        <v>995</v>
      </c>
      <c r="V253" s="264" t="s">
        <v>995</v>
      </c>
      <c r="W253" s="264" t="s">
        <v>995</v>
      </c>
      <c r="X253" s="264" t="s">
        <v>828</v>
      </c>
      <c r="Y253" s="264" t="s">
        <v>998</v>
      </c>
      <c r="Z253" s="264">
        <v>31</v>
      </c>
      <c r="AA253" s="264" t="s">
        <v>999</v>
      </c>
      <c r="AB253" s="264">
        <v>31</v>
      </c>
      <c r="AC253" s="264" t="s">
        <v>999</v>
      </c>
      <c r="AD253" s="264" t="s">
        <v>1000</v>
      </c>
      <c r="AE253" s="264" t="s">
        <v>1000</v>
      </c>
      <c r="AF253" s="264" t="s">
        <v>1000</v>
      </c>
      <c r="AG253" s="264" t="s">
        <v>1000</v>
      </c>
      <c r="AH253" s="264" t="s">
        <v>1002</v>
      </c>
      <c r="AI253" s="264" t="s">
        <v>1002</v>
      </c>
      <c r="AJ253" s="264" t="s">
        <v>995</v>
      </c>
      <c r="AK253" s="264" t="s">
        <v>995</v>
      </c>
      <c r="AL253" s="264" t="s">
        <v>995</v>
      </c>
    </row>
    <row r="254" spans="1:38">
      <c r="A254" s="264">
        <v>3988</v>
      </c>
      <c r="B254" s="264" t="s">
        <v>325</v>
      </c>
      <c r="C254" s="264" t="s">
        <v>1233</v>
      </c>
      <c r="D254" s="264" t="s">
        <v>1004</v>
      </c>
      <c r="E254" s="264">
        <v>42211</v>
      </c>
      <c r="F254" s="264" t="s">
        <v>318</v>
      </c>
      <c r="G254" s="389">
        <v>26824</v>
      </c>
      <c r="H254" s="264">
        <v>50</v>
      </c>
      <c r="I254" s="389">
        <v>39376</v>
      </c>
      <c r="K254" s="390">
        <v>42278</v>
      </c>
      <c r="L254" s="264">
        <v>20</v>
      </c>
      <c r="M254" s="264" t="s">
        <v>1015</v>
      </c>
      <c r="N254" s="264">
        <v>1</v>
      </c>
      <c r="O254" s="264" t="s">
        <v>829</v>
      </c>
      <c r="P254" s="264" t="s">
        <v>994</v>
      </c>
      <c r="Q254" s="264" t="s">
        <v>1009</v>
      </c>
      <c r="R254" s="264" t="s">
        <v>1010</v>
      </c>
      <c r="S254" s="264" t="s">
        <v>996</v>
      </c>
      <c r="T254" s="264" t="s">
        <v>997</v>
      </c>
      <c r="U254" s="264" t="s">
        <v>995</v>
      </c>
      <c r="V254" s="264" t="s">
        <v>995</v>
      </c>
      <c r="W254" s="264" t="s">
        <v>995</v>
      </c>
      <c r="X254" s="264" t="s">
        <v>828</v>
      </c>
      <c r="Y254" s="264" t="s">
        <v>998</v>
      </c>
      <c r="Z254" s="264">
        <v>31</v>
      </c>
      <c r="AA254" s="264" t="s">
        <v>999</v>
      </c>
      <c r="AB254" s="264">
        <v>31</v>
      </c>
      <c r="AC254" s="264" t="s">
        <v>999</v>
      </c>
      <c r="AD254" s="264" t="s">
        <v>1000</v>
      </c>
      <c r="AE254" s="264" t="s">
        <v>1000</v>
      </c>
      <c r="AF254" s="264" t="s">
        <v>1000</v>
      </c>
      <c r="AG254" s="264" t="s">
        <v>1000</v>
      </c>
      <c r="AH254" s="264" t="s">
        <v>1002</v>
      </c>
      <c r="AI254" s="264" t="s">
        <v>1002</v>
      </c>
      <c r="AJ254" s="264" t="s">
        <v>995</v>
      </c>
      <c r="AK254" s="264" t="s">
        <v>995</v>
      </c>
      <c r="AL254" s="264" t="s">
        <v>995</v>
      </c>
    </row>
    <row r="255" spans="1:38">
      <c r="A255" s="264">
        <v>5111</v>
      </c>
      <c r="B255" s="264" t="s">
        <v>322</v>
      </c>
      <c r="C255" s="264" t="s">
        <v>1234</v>
      </c>
      <c r="D255" s="264" t="s">
        <v>1004</v>
      </c>
      <c r="E255" s="264">
        <v>42211</v>
      </c>
      <c r="F255" s="264" t="s">
        <v>318</v>
      </c>
      <c r="G255" s="389">
        <v>25082</v>
      </c>
      <c r="H255" s="264">
        <v>55</v>
      </c>
      <c r="I255" s="389">
        <v>30768</v>
      </c>
      <c r="K255" s="390">
        <v>42278</v>
      </c>
      <c r="L255" s="264">
        <v>20</v>
      </c>
      <c r="M255" s="264" t="s">
        <v>1015</v>
      </c>
      <c r="N255" s="264">
        <v>1</v>
      </c>
      <c r="O255" s="264" t="s">
        <v>829</v>
      </c>
      <c r="P255" s="264" t="s">
        <v>994</v>
      </c>
      <c r="Q255" s="264" t="s">
        <v>1009</v>
      </c>
      <c r="R255" s="264" t="s">
        <v>1010</v>
      </c>
      <c r="S255" s="264" t="s">
        <v>996</v>
      </c>
      <c r="T255" s="264" t="s">
        <v>997</v>
      </c>
      <c r="U255" s="264" t="s">
        <v>995</v>
      </c>
      <c r="V255" s="264" t="s">
        <v>995</v>
      </c>
      <c r="W255" s="264" t="s">
        <v>995</v>
      </c>
      <c r="X255" s="264" t="s">
        <v>828</v>
      </c>
      <c r="Y255" s="264" t="s">
        <v>998</v>
      </c>
      <c r="Z255" s="264">
        <v>31</v>
      </c>
      <c r="AA255" s="264" t="s">
        <v>999</v>
      </c>
      <c r="AB255" s="264">
        <v>31</v>
      </c>
      <c r="AC255" s="264" t="s">
        <v>999</v>
      </c>
      <c r="AD255" s="264" t="s">
        <v>1000</v>
      </c>
      <c r="AE255" s="264" t="s">
        <v>1000</v>
      </c>
      <c r="AF255" s="264" t="s">
        <v>1000</v>
      </c>
      <c r="AG255" s="264" t="s">
        <v>1000</v>
      </c>
      <c r="AH255" s="264" t="s">
        <v>1002</v>
      </c>
      <c r="AI255" s="264" t="s">
        <v>1002</v>
      </c>
      <c r="AJ255" s="264" t="s">
        <v>995</v>
      </c>
      <c r="AK255" s="264" t="s">
        <v>995</v>
      </c>
      <c r="AL255" s="264" t="s">
        <v>995</v>
      </c>
    </row>
    <row r="256" spans="1:38">
      <c r="A256" s="264">
        <v>5132</v>
      </c>
      <c r="B256" s="264" t="s">
        <v>323</v>
      </c>
      <c r="C256" s="264" t="s">
        <v>1235</v>
      </c>
      <c r="D256" s="264" t="s">
        <v>1004</v>
      </c>
      <c r="E256" s="264">
        <v>42211</v>
      </c>
      <c r="F256" s="264" t="s">
        <v>318</v>
      </c>
      <c r="G256" s="389">
        <v>25543</v>
      </c>
      <c r="H256" s="264">
        <v>54</v>
      </c>
      <c r="I256" s="389">
        <v>31132</v>
      </c>
      <c r="K256" s="390">
        <v>42278</v>
      </c>
      <c r="L256" s="264">
        <v>20</v>
      </c>
      <c r="M256" s="264" t="s">
        <v>1015</v>
      </c>
      <c r="N256" s="264">
        <v>1</v>
      </c>
      <c r="O256" s="264" t="s">
        <v>829</v>
      </c>
      <c r="P256" s="264" t="s">
        <v>994</v>
      </c>
      <c r="Q256" s="264" t="s">
        <v>1009</v>
      </c>
      <c r="R256" s="264" t="s">
        <v>1010</v>
      </c>
      <c r="S256" s="264" t="s">
        <v>996</v>
      </c>
      <c r="T256" s="264" t="s">
        <v>997</v>
      </c>
      <c r="U256" s="264" t="s">
        <v>995</v>
      </c>
      <c r="V256" s="264" t="s">
        <v>995</v>
      </c>
      <c r="W256" s="264" t="s">
        <v>995</v>
      </c>
      <c r="X256" s="264" t="s">
        <v>828</v>
      </c>
      <c r="Y256" s="264" t="s">
        <v>998</v>
      </c>
      <c r="Z256" s="264">
        <v>31</v>
      </c>
      <c r="AA256" s="264" t="s">
        <v>999</v>
      </c>
      <c r="AB256" s="264">
        <v>31</v>
      </c>
      <c r="AC256" s="264" t="s">
        <v>999</v>
      </c>
      <c r="AD256" s="264" t="s">
        <v>1000</v>
      </c>
      <c r="AE256" s="264" t="s">
        <v>1000</v>
      </c>
      <c r="AF256" s="264" t="s">
        <v>1000</v>
      </c>
      <c r="AG256" s="264" t="s">
        <v>1000</v>
      </c>
      <c r="AH256" s="264" t="s">
        <v>1002</v>
      </c>
      <c r="AI256" s="264" t="s">
        <v>1002</v>
      </c>
      <c r="AJ256" s="264" t="s">
        <v>995</v>
      </c>
      <c r="AK256" s="264" t="s">
        <v>995</v>
      </c>
      <c r="AL256" s="264" t="s">
        <v>995</v>
      </c>
    </row>
    <row r="257" spans="1:38">
      <c r="A257" s="264">
        <v>8219</v>
      </c>
      <c r="B257" s="264" t="s">
        <v>1236</v>
      </c>
      <c r="C257" s="264" t="s">
        <v>1237</v>
      </c>
      <c r="D257" s="264" t="s">
        <v>1004</v>
      </c>
      <c r="E257" s="264">
        <v>42221</v>
      </c>
      <c r="F257" s="264" t="s">
        <v>318</v>
      </c>
      <c r="G257" s="389">
        <v>23000</v>
      </c>
      <c r="H257" s="264">
        <v>61</v>
      </c>
      <c r="I257" s="389">
        <v>29665</v>
      </c>
      <c r="K257" s="390">
        <v>44531</v>
      </c>
      <c r="L257" s="264">
        <v>70</v>
      </c>
      <c r="M257" s="264" t="s">
        <v>1024</v>
      </c>
      <c r="N257" s="264">
        <v>1</v>
      </c>
      <c r="O257" s="264" t="s">
        <v>829</v>
      </c>
      <c r="P257" s="264" t="s">
        <v>994</v>
      </c>
      <c r="Q257" s="264" t="s">
        <v>1009</v>
      </c>
      <c r="R257" s="264" t="s">
        <v>1010</v>
      </c>
      <c r="S257" s="264" t="s">
        <v>996</v>
      </c>
      <c r="T257" s="264" t="s">
        <v>997</v>
      </c>
      <c r="U257" s="264" t="s">
        <v>995</v>
      </c>
      <c r="V257" s="264" t="s">
        <v>995</v>
      </c>
      <c r="W257" s="264" t="s">
        <v>995</v>
      </c>
      <c r="X257" s="264" t="s">
        <v>828</v>
      </c>
      <c r="Y257" s="264" t="s">
        <v>998</v>
      </c>
      <c r="Z257" s="264">
        <v>31</v>
      </c>
      <c r="AA257" s="264" t="s">
        <v>999</v>
      </c>
      <c r="AB257" s="264">
        <v>31</v>
      </c>
      <c r="AC257" s="264" t="s">
        <v>999</v>
      </c>
      <c r="AD257" s="264" t="s">
        <v>1000</v>
      </c>
      <c r="AE257" s="264" t="s">
        <v>1000</v>
      </c>
      <c r="AF257" s="264" t="s">
        <v>1000</v>
      </c>
      <c r="AG257" s="264" t="s">
        <v>1000</v>
      </c>
      <c r="AH257" s="264" t="s">
        <v>1002</v>
      </c>
      <c r="AI257" s="264" t="s">
        <v>1002</v>
      </c>
      <c r="AJ257" s="264" t="s">
        <v>995</v>
      </c>
      <c r="AK257" s="264" t="s">
        <v>995</v>
      </c>
      <c r="AL257" s="264" t="s">
        <v>995</v>
      </c>
    </row>
    <row r="258" spans="1:38">
      <c r="A258" s="264">
        <v>8247</v>
      </c>
      <c r="B258" s="264" t="s">
        <v>1238</v>
      </c>
      <c r="C258" s="264" t="s">
        <v>1239</v>
      </c>
      <c r="D258" s="264" t="s">
        <v>1004</v>
      </c>
      <c r="E258" s="264">
        <v>42221</v>
      </c>
      <c r="F258" s="264" t="s">
        <v>318</v>
      </c>
      <c r="G258" s="389">
        <v>26440</v>
      </c>
      <c r="H258" s="264">
        <v>51</v>
      </c>
      <c r="I258" s="389">
        <v>45125</v>
      </c>
      <c r="K258" s="390">
        <v>45139</v>
      </c>
      <c r="L258" s="264">
        <v>70</v>
      </c>
      <c r="M258" s="264" t="s">
        <v>1024</v>
      </c>
      <c r="N258" s="264">
        <v>1</v>
      </c>
      <c r="O258" s="264" t="s">
        <v>829</v>
      </c>
      <c r="P258" s="264" t="s">
        <v>994</v>
      </c>
      <c r="Q258" s="264" t="s">
        <v>1009</v>
      </c>
      <c r="R258" s="264" t="s">
        <v>1010</v>
      </c>
      <c r="S258" s="264" t="s">
        <v>996</v>
      </c>
      <c r="T258" s="264" t="s">
        <v>997</v>
      </c>
      <c r="U258" s="264" t="s">
        <v>995</v>
      </c>
      <c r="V258" s="264" t="s">
        <v>995</v>
      </c>
      <c r="W258" s="264" t="s">
        <v>995</v>
      </c>
      <c r="X258" s="264" t="s">
        <v>828</v>
      </c>
      <c r="Y258" s="264" t="s">
        <v>998</v>
      </c>
      <c r="Z258" s="264">
        <v>31</v>
      </c>
      <c r="AA258" s="264" t="s">
        <v>999</v>
      </c>
      <c r="AB258" s="264">
        <v>31</v>
      </c>
      <c r="AC258" s="264" t="s">
        <v>999</v>
      </c>
      <c r="AD258" s="264" t="s">
        <v>1000</v>
      </c>
      <c r="AE258" s="264" t="s">
        <v>1000</v>
      </c>
      <c r="AF258" s="264" t="s">
        <v>1000</v>
      </c>
      <c r="AG258" s="264" t="s">
        <v>1000</v>
      </c>
      <c r="AH258" s="264" t="s">
        <v>1002</v>
      </c>
      <c r="AI258" s="264" t="s">
        <v>1002</v>
      </c>
      <c r="AJ258" s="264" t="s">
        <v>995</v>
      </c>
      <c r="AK258" s="264" t="s">
        <v>995</v>
      </c>
      <c r="AL258" s="264" t="s">
        <v>995</v>
      </c>
    </row>
    <row r="259" spans="1:38">
      <c r="A259" s="264">
        <v>1428</v>
      </c>
      <c r="B259" s="264" t="s">
        <v>833</v>
      </c>
      <c r="C259" s="264" t="s">
        <v>1182</v>
      </c>
      <c r="D259" s="264" t="s">
        <v>1004</v>
      </c>
      <c r="E259" s="264">
        <v>42011</v>
      </c>
      <c r="F259" s="264" t="s">
        <v>290</v>
      </c>
      <c r="G259" s="389">
        <v>30897</v>
      </c>
      <c r="H259" s="264">
        <v>39</v>
      </c>
      <c r="I259" s="389">
        <v>44713</v>
      </c>
      <c r="K259" s="390">
        <v>44743</v>
      </c>
      <c r="L259" s="264">
        <v>20</v>
      </c>
      <c r="M259" s="264" t="s">
        <v>1015</v>
      </c>
      <c r="N259" s="264">
        <v>1</v>
      </c>
      <c r="O259" s="264" t="s">
        <v>829</v>
      </c>
      <c r="P259" s="264" t="s">
        <v>994</v>
      </c>
      <c r="Q259" s="264" t="s">
        <v>1009</v>
      </c>
      <c r="R259" s="264" t="s">
        <v>1010</v>
      </c>
      <c r="S259" s="264" t="s">
        <v>996</v>
      </c>
      <c r="T259" s="264" t="s">
        <v>997</v>
      </c>
      <c r="U259" s="264" t="s">
        <v>995</v>
      </c>
      <c r="V259" s="264" t="s">
        <v>995</v>
      </c>
      <c r="W259" s="264" t="s">
        <v>995</v>
      </c>
      <c r="X259" s="264" t="s">
        <v>828</v>
      </c>
      <c r="Y259" s="264" t="s">
        <v>998</v>
      </c>
      <c r="Z259" s="264">
        <v>31</v>
      </c>
      <c r="AA259" s="264" t="s">
        <v>999</v>
      </c>
      <c r="AB259" s="264">
        <v>31</v>
      </c>
      <c r="AC259" s="264" t="s">
        <v>999</v>
      </c>
      <c r="AD259" s="264" t="s">
        <v>1000</v>
      </c>
      <c r="AE259" s="264" t="s">
        <v>1000</v>
      </c>
      <c r="AF259" s="264" t="s">
        <v>1000</v>
      </c>
      <c r="AG259" s="264" t="s">
        <v>1000</v>
      </c>
      <c r="AH259" s="264" t="s">
        <v>1002</v>
      </c>
      <c r="AI259" s="264" t="s">
        <v>1002</v>
      </c>
      <c r="AJ259" s="264" t="s">
        <v>995</v>
      </c>
      <c r="AK259" s="264" t="s">
        <v>995</v>
      </c>
      <c r="AL259" s="264" t="s">
        <v>995</v>
      </c>
    </row>
    <row r="260" spans="1:38">
      <c r="A260" s="264">
        <v>2776</v>
      </c>
      <c r="B260" s="264" t="s">
        <v>296</v>
      </c>
      <c r="C260" s="264" t="s">
        <v>1183</v>
      </c>
      <c r="D260" s="264" t="s">
        <v>1004</v>
      </c>
      <c r="E260" s="264">
        <v>42011</v>
      </c>
      <c r="F260" s="264" t="s">
        <v>290</v>
      </c>
      <c r="G260" s="389">
        <v>24885</v>
      </c>
      <c r="H260" s="264">
        <v>55</v>
      </c>
      <c r="I260" s="389">
        <v>31497</v>
      </c>
      <c r="K260" s="390">
        <v>42278</v>
      </c>
      <c r="L260" s="264">
        <v>20</v>
      </c>
      <c r="M260" s="264" t="s">
        <v>1015</v>
      </c>
      <c r="N260" s="264">
        <v>1</v>
      </c>
      <c r="O260" s="264" t="s">
        <v>829</v>
      </c>
      <c r="P260" s="264" t="s">
        <v>994</v>
      </c>
      <c r="Q260" s="264" t="s">
        <v>1009</v>
      </c>
      <c r="R260" s="264" t="s">
        <v>1010</v>
      </c>
      <c r="S260" s="264" t="s">
        <v>996</v>
      </c>
      <c r="T260" s="264" t="s">
        <v>997</v>
      </c>
      <c r="U260" s="264" t="s">
        <v>995</v>
      </c>
      <c r="V260" s="264" t="s">
        <v>995</v>
      </c>
      <c r="W260" s="264" t="s">
        <v>995</v>
      </c>
      <c r="X260" s="264" t="s">
        <v>828</v>
      </c>
      <c r="Y260" s="264" t="s">
        <v>998</v>
      </c>
      <c r="Z260" s="264">
        <v>31</v>
      </c>
      <c r="AA260" s="264" t="s">
        <v>999</v>
      </c>
      <c r="AB260" s="264">
        <v>31</v>
      </c>
      <c r="AC260" s="264" t="s">
        <v>999</v>
      </c>
      <c r="AD260" s="264" t="s">
        <v>1000</v>
      </c>
      <c r="AE260" s="264" t="s">
        <v>1000</v>
      </c>
      <c r="AF260" s="264" t="s">
        <v>1000</v>
      </c>
      <c r="AG260" s="264" t="s">
        <v>1000</v>
      </c>
      <c r="AH260" s="264" t="s">
        <v>1002</v>
      </c>
      <c r="AI260" s="264" t="s">
        <v>1002</v>
      </c>
      <c r="AJ260" s="264" t="s">
        <v>995</v>
      </c>
      <c r="AK260" s="264" t="s">
        <v>995</v>
      </c>
      <c r="AL260" s="264" t="s">
        <v>995</v>
      </c>
    </row>
    <row r="261" spans="1:38">
      <c r="A261" s="264">
        <v>2974</v>
      </c>
      <c r="B261" s="264" t="s">
        <v>298</v>
      </c>
      <c r="C261" s="264" t="s">
        <v>1184</v>
      </c>
      <c r="D261" s="264" t="s">
        <v>1004</v>
      </c>
      <c r="E261" s="264">
        <v>42011</v>
      </c>
      <c r="F261" s="264" t="s">
        <v>290</v>
      </c>
      <c r="G261" s="389">
        <v>27053</v>
      </c>
      <c r="H261" s="264">
        <v>50</v>
      </c>
      <c r="I261" s="389">
        <v>34415</v>
      </c>
      <c r="K261" s="390">
        <v>42278</v>
      </c>
      <c r="L261" s="264">
        <v>20</v>
      </c>
      <c r="M261" s="264" t="s">
        <v>1015</v>
      </c>
      <c r="N261" s="264">
        <v>1</v>
      </c>
      <c r="O261" s="264" t="s">
        <v>829</v>
      </c>
      <c r="P261" s="264" t="s">
        <v>994</v>
      </c>
      <c r="Q261" s="264" t="s">
        <v>1009</v>
      </c>
      <c r="R261" s="264" t="s">
        <v>1010</v>
      </c>
      <c r="S261" s="264" t="s">
        <v>996</v>
      </c>
      <c r="T261" s="264" t="s">
        <v>997</v>
      </c>
      <c r="U261" s="264" t="s">
        <v>995</v>
      </c>
      <c r="V261" s="264" t="s">
        <v>995</v>
      </c>
      <c r="W261" s="264" t="s">
        <v>995</v>
      </c>
      <c r="X261" s="264" t="s">
        <v>828</v>
      </c>
      <c r="Y261" s="264" t="s">
        <v>998</v>
      </c>
      <c r="Z261" s="264">
        <v>31</v>
      </c>
      <c r="AA261" s="264" t="s">
        <v>999</v>
      </c>
      <c r="AB261" s="264">
        <v>31</v>
      </c>
      <c r="AC261" s="264" t="s">
        <v>999</v>
      </c>
      <c r="AD261" s="264" t="s">
        <v>1000</v>
      </c>
      <c r="AE261" s="264" t="s">
        <v>1000</v>
      </c>
      <c r="AF261" s="264" t="s">
        <v>1000</v>
      </c>
      <c r="AG261" s="264" t="s">
        <v>1000</v>
      </c>
      <c r="AH261" s="264" t="s">
        <v>1002</v>
      </c>
      <c r="AI261" s="264" t="s">
        <v>1002</v>
      </c>
      <c r="AJ261" s="264" t="s">
        <v>995</v>
      </c>
      <c r="AK261" s="264" t="s">
        <v>995</v>
      </c>
      <c r="AL261" s="264" t="s">
        <v>995</v>
      </c>
    </row>
    <row r="262" spans="1:38">
      <c r="A262" s="264">
        <v>3050</v>
      </c>
      <c r="B262" s="264" t="s">
        <v>299</v>
      </c>
      <c r="C262" s="264" t="s">
        <v>1185</v>
      </c>
      <c r="D262" s="264" t="s">
        <v>1004</v>
      </c>
      <c r="E262" s="264">
        <v>42011</v>
      </c>
      <c r="F262" s="264" t="s">
        <v>290</v>
      </c>
      <c r="G262" s="389">
        <v>28165</v>
      </c>
      <c r="H262" s="264">
        <v>46</v>
      </c>
      <c r="I262" s="389">
        <v>34780</v>
      </c>
      <c r="K262" s="390">
        <v>42278</v>
      </c>
      <c r="L262" s="264">
        <v>20</v>
      </c>
      <c r="M262" s="264" t="s">
        <v>1015</v>
      </c>
      <c r="N262" s="264">
        <v>1</v>
      </c>
      <c r="O262" s="264" t="s">
        <v>829</v>
      </c>
      <c r="P262" s="264" t="s">
        <v>994</v>
      </c>
      <c r="Q262" s="264" t="s">
        <v>1009</v>
      </c>
      <c r="R262" s="264" t="s">
        <v>1010</v>
      </c>
      <c r="S262" s="264" t="s">
        <v>996</v>
      </c>
      <c r="T262" s="264" t="s">
        <v>997</v>
      </c>
      <c r="U262" s="264" t="s">
        <v>995</v>
      </c>
      <c r="V262" s="264" t="s">
        <v>995</v>
      </c>
      <c r="W262" s="264" t="s">
        <v>995</v>
      </c>
      <c r="X262" s="264" t="s">
        <v>828</v>
      </c>
      <c r="Y262" s="264" t="s">
        <v>998</v>
      </c>
      <c r="Z262" s="264">
        <v>31</v>
      </c>
      <c r="AA262" s="264" t="s">
        <v>999</v>
      </c>
      <c r="AB262" s="264">
        <v>31</v>
      </c>
      <c r="AC262" s="264" t="s">
        <v>999</v>
      </c>
      <c r="AD262" s="264" t="s">
        <v>1000</v>
      </c>
      <c r="AE262" s="264" t="s">
        <v>1000</v>
      </c>
      <c r="AF262" s="264" t="s">
        <v>1000</v>
      </c>
      <c r="AG262" s="264" t="s">
        <v>1000</v>
      </c>
      <c r="AH262" s="264" t="s">
        <v>1002</v>
      </c>
      <c r="AI262" s="264" t="s">
        <v>1002</v>
      </c>
      <c r="AJ262" s="264" t="s">
        <v>995</v>
      </c>
      <c r="AK262" s="264" t="s">
        <v>995</v>
      </c>
      <c r="AL262" s="264" t="s">
        <v>995</v>
      </c>
    </row>
    <row r="263" spans="1:38">
      <c r="A263" s="264">
        <v>3203</v>
      </c>
      <c r="B263" s="264" t="s">
        <v>301</v>
      </c>
      <c r="C263" s="264" t="s">
        <v>1186</v>
      </c>
      <c r="D263" s="264" t="s">
        <v>1004</v>
      </c>
      <c r="E263" s="264">
        <v>42011</v>
      </c>
      <c r="F263" s="264" t="s">
        <v>290</v>
      </c>
      <c r="G263" s="389">
        <v>30971</v>
      </c>
      <c r="H263" s="264">
        <v>39</v>
      </c>
      <c r="I263" s="389">
        <v>37701</v>
      </c>
      <c r="K263" s="390">
        <v>42278</v>
      </c>
      <c r="L263" s="264">
        <v>20</v>
      </c>
      <c r="M263" s="264" t="s">
        <v>1015</v>
      </c>
      <c r="N263" s="264">
        <v>1</v>
      </c>
      <c r="O263" s="264" t="s">
        <v>829</v>
      </c>
      <c r="P263" s="264" t="s">
        <v>994</v>
      </c>
      <c r="Q263" s="264" t="s">
        <v>1009</v>
      </c>
      <c r="R263" s="264" t="s">
        <v>1010</v>
      </c>
      <c r="S263" s="264" t="s">
        <v>996</v>
      </c>
      <c r="T263" s="264" t="s">
        <v>997</v>
      </c>
      <c r="U263" s="264" t="s">
        <v>995</v>
      </c>
      <c r="V263" s="264" t="s">
        <v>995</v>
      </c>
      <c r="W263" s="264" t="s">
        <v>995</v>
      </c>
      <c r="X263" s="264" t="s">
        <v>828</v>
      </c>
      <c r="Y263" s="264" t="s">
        <v>998</v>
      </c>
      <c r="Z263" s="264">
        <v>31</v>
      </c>
      <c r="AA263" s="264" t="s">
        <v>999</v>
      </c>
      <c r="AB263" s="264">
        <v>31</v>
      </c>
      <c r="AC263" s="264" t="s">
        <v>999</v>
      </c>
      <c r="AD263" s="264" t="s">
        <v>1000</v>
      </c>
      <c r="AE263" s="264" t="s">
        <v>1000</v>
      </c>
      <c r="AF263" s="264" t="s">
        <v>1000</v>
      </c>
      <c r="AG263" s="264" t="s">
        <v>1000</v>
      </c>
      <c r="AH263" s="264" t="s">
        <v>1002</v>
      </c>
      <c r="AI263" s="264" t="s">
        <v>1002</v>
      </c>
      <c r="AJ263" s="264" t="s">
        <v>995</v>
      </c>
      <c r="AK263" s="264" t="s">
        <v>995</v>
      </c>
      <c r="AL263" s="264" t="s">
        <v>995</v>
      </c>
    </row>
    <row r="264" spans="1:38">
      <c r="A264" s="264">
        <v>3206</v>
      </c>
      <c r="B264" s="264" t="s">
        <v>289</v>
      </c>
      <c r="C264" s="264" t="s">
        <v>1187</v>
      </c>
      <c r="D264" s="264" t="s">
        <v>1004</v>
      </c>
      <c r="E264" s="264">
        <v>42011</v>
      </c>
      <c r="F264" s="264" t="s">
        <v>290</v>
      </c>
      <c r="G264" s="389">
        <v>30932</v>
      </c>
      <c r="H264" s="264">
        <v>39</v>
      </c>
      <c r="I264" s="389">
        <v>37701</v>
      </c>
      <c r="K264" s="390">
        <v>43862</v>
      </c>
      <c r="L264" s="264">
        <v>20</v>
      </c>
      <c r="M264" s="264" t="s">
        <v>1015</v>
      </c>
      <c r="N264" s="264">
        <v>1</v>
      </c>
      <c r="O264" s="264" t="s">
        <v>829</v>
      </c>
      <c r="P264" s="264" t="s">
        <v>994</v>
      </c>
      <c r="Q264" s="264" t="s">
        <v>1009</v>
      </c>
      <c r="R264" s="264" t="s">
        <v>1010</v>
      </c>
      <c r="S264" s="264" t="s">
        <v>996</v>
      </c>
      <c r="T264" s="264" t="s">
        <v>997</v>
      </c>
      <c r="U264" s="264" t="s">
        <v>995</v>
      </c>
      <c r="V264" s="264" t="s">
        <v>995</v>
      </c>
      <c r="W264" s="264" t="s">
        <v>995</v>
      </c>
      <c r="X264" s="264" t="s">
        <v>828</v>
      </c>
      <c r="Y264" s="264" t="s">
        <v>998</v>
      </c>
      <c r="Z264" s="264">
        <v>31</v>
      </c>
      <c r="AA264" s="264" t="s">
        <v>999</v>
      </c>
      <c r="AB264" s="264">
        <v>31</v>
      </c>
      <c r="AC264" s="264" t="s">
        <v>999</v>
      </c>
      <c r="AD264" s="264" t="s">
        <v>1000</v>
      </c>
      <c r="AE264" s="264" t="s">
        <v>1000</v>
      </c>
      <c r="AF264" s="264" t="s">
        <v>1000</v>
      </c>
      <c r="AG264" s="264" t="s">
        <v>1000</v>
      </c>
      <c r="AH264" s="264" t="s">
        <v>1002</v>
      </c>
      <c r="AI264" s="264" t="s">
        <v>1002</v>
      </c>
      <c r="AJ264" s="264" t="s">
        <v>995</v>
      </c>
      <c r="AK264" s="264" t="s">
        <v>995</v>
      </c>
      <c r="AL264" s="264" t="s">
        <v>995</v>
      </c>
    </row>
    <row r="265" spans="1:38">
      <c r="A265" s="264">
        <v>3236</v>
      </c>
      <c r="B265" s="264" t="s">
        <v>291</v>
      </c>
      <c r="C265" s="264" t="s">
        <v>1188</v>
      </c>
      <c r="D265" s="264" t="s">
        <v>1004</v>
      </c>
      <c r="E265" s="264">
        <v>42011</v>
      </c>
      <c r="F265" s="264" t="s">
        <v>290</v>
      </c>
      <c r="G265" s="389">
        <v>31667</v>
      </c>
      <c r="H265" s="264">
        <v>37</v>
      </c>
      <c r="I265" s="389">
        <v>38432</v>
      </c>
      <c r="K265" s="390">
        <v>42278</v>
      </c>
      <c r="L265" s="264">
        <v>20</v>
      </c>
      <c r="M265" s="264" t="s">
        <v>1015</v>
      </c>
      <c r="N265" s="264">
        <v>1</v>
      </c>
      <c r="O265" s="264" t="s">
        <v>829</v>
      </c>
      <c r="P265" s="264" t="s">
        <v>994</v>
      </c>
      <c r="Q265" s="264" t="s">
        <v>1009</v>
      </c>
      <c r="R265" s="264" t="s">
        <v>1010</v>
      </c>
      <c r="S265" s="264" t="s">
        <v>996</v>
      </c>
      <c r="T265" s="264" t="s">
        <v>997</v>
      </c>
      <c r="U265" s="264" t="s">
        <v>995</v>
      </c>
      <c r="V265" s="264" t="s">
        <v>995</v>
      </c>
      <c r="W265" s="264" t="s">
        <v>995</v>
      </c>
      <c r="X265" s="264" t="s">
        <v>828</v>
      </c>
      <c r="Y265" s="264" t="s">
        <v>998</v>
      </c>
      <c r="Z265" s="264">
        <v>31</v>
      </c>
      <c r="AA265" s="264" t="s">
        <v>999</v>
      </c>
      <c r="AB265" s="264">
        <v>31</v>
      </c>
      <c r="AC265" s="264" t="s">
        <v>999</v>
      </c>
      <c r="AD265" s="264" t="s">
        <v>1000</v>
      </c>
      <c r="AE265" s="264" t="s">
        <v>1000</v>
      </c>
      <c r="AF265" s="264" t="s">
        <v>1000</v>
      </c>
      <c r="AG265" s="264" t="s">
        <v>1000</v>
      </c>
      <c r="AH265" s="264" t="s">
        <v>1002</v>
      </c>
      <c r="AI265" s="264" t="s">
        <v>1002</v>
      </c>
      <c r="AJ265" s="264" t="s">
        <v>995</v>
      </c>
      <c r="AK265" s="264" t="s">
        <v>995</v>
      </c>
      <c r="AL265" s="264" t="s">
        <v>995</v>
      </c>
    </row>
    <row r="266" spans="1:38">
      <c r="A266" s="264">
        <v>3439</v>
      </c>
      <c r="B266" s="264" t="s">
        <v>333</v>
      </c>
      <c r="C266" s="264" t="s">
        <v>1189</v>
      </c>
      <c r="D266" s="264" t="s">
        <v>1004</v>
      </c>
      <c r="E266" s="264">
        <v>42011</v>
      </c>
      <c r="F266" s="264" t="s">
        <v>290</v>
      </c>
      <c r="G266" s="389">
        <v>35200</v>
      </c>
      <c r="H266" s="264">
        <v>27</v>
      </c>
      <c r="I266" s="389">
        <v>42095</v>
      </c>
      <c r="K266" s="390">
        <v>42278</v>
      </c>
      <c r="L266" s="264">
        <v>20</v>
      </c>
      <c r="M266" s="264" t="s">
        <v>1015</v>
      </c>
      <c r="N266" s="264">
        <v>1</v>
      </c>
      <c r="O266" s="264" t="s">
        <v>829</v>
      </c>
      <c r="P266" s="264" t="s">
        <v>994</v>
      </c>
      <c r="Q266" s="264" t="s">
        <v>1009</v>
      </c>
      <c r="R266" s="264" t="s">
        <v>1010</v>
      </c>
      <c r="S266" s="264" t="s">
        <v>996</v>
      </c>
      <c r="T266" s="264" t="s">
        <v>997</v>
      </c>
      <c r="U266" s="264" t="s">
        <v>995</v>
      </c>
      <c r="V266" s="264" t="s">
        <v>995</v>
      </c>
      <c r="W266" s="264" t="s">
        <v>995</v>
      </c>
      <c r="X266" s="264" t="s">
        <v>828</v>
      </c>
      <c r="Y266" s="264" t="s">
        <v>998</v>
      </c>
      <c r="Z266" s="264">
        <v>31</v>
      </c>
      <c r="AA266" s="264" t="s">
        <v>999</v>
      </c>
      <c r="AB266" s="264">
        <v>31</v>
      </c>
      <c r="AC266" s="264" t="s">
        <v>999</v>
      </c>
      <c r="AD266" s="264" t="s">
        <v>1000</v>
      </c>
      <c r="AE266" s="264" t="s">
        <v>1000</v>
      </c>
      <c r="AF266" s="264" t="s">
        <v>1000</v>
      </c>
      <c r="AG266" s="264" t="s">
        <v>1000</v>
      </c>
      <c r="AH266" s="264" t="s">
        <v>1002</v>
      </c>
      <c r="AI266" s="264" t="s">
        <v>1002</v>
      </c>
      <c r="AJ266" s="264" t="s">
        <v>995</v>
      </c>
      <c r="AK266" s="264" t="s">
        <v>995</v>
      </c>
      <c r="AL266" s="264" t="s">
        <v>995</v>
      </c>
    </row>
    <row r="267" spans="1:38">
      <c r="A267" s="264">
        <v>3524</v>
      </c>
      <c r="B267" s="264" t="s">
        <v>760</v>
      </c>
      <c r="C267" s="264" t="s">
        <v>1190</v>
      </c>
      <c r="D267" s="264" t="s">
        <v>1004</v>
      </c>
      <c r="E267" s="264">
        <v>42011</v>
      </c>
      <c r="F267" s="264" t="s">
        <v>290</v>
      </c>
      <c r="G267" s="389">
        <v>37499</v>
      </c>
      <c r="H267" s="264">
        <v>21</v>
      </c>
      <c r="I267" s="389">
        <v>44287</v>
      </c>
      <c r="K267" s="390">
        <v>44287</v>
      </c>
      <c r="L267" s="264">
        <v>20</v>
      </c>
      <c r="M267" s="264" t="s">
        <v>1015</v>
      </c>
      <c r="N267" s="264">
        <v>1</v>
      </c>
      <c r="O267" s="264" t="s">
        <v>829</v>
      </c>
      <c r="P267" s="264" t="s">
        <v>994</v>
      </c>
      <c r="Q267" s="264" t="s">
        <v>1009</v>
      </c>
      <c r="R267" s="264" t="s">
        <v>1010</v>
      </c>
      <c r="S267" s="264" t="s">
        <v>996</v>
      </c>
      <c r="T267" s="264" t="s">
        <v>997</v>
      </c>
      <c r="U267" s="264" t="s">
        <v>995</v>
      </c>
      <c r="V267" s="264" t="s">
        <v>995</v>
      </c>
      <c r="W267" s="264" t="s">
        <v>995</v>
      </c>
      <c r="X267" s="264" t="s">
        <v>828</v>
      </c>
      <c r="Y267" s="264" t="s">
        <v>998</v>
      </c>
      <c r="Z267" s="264">
        <v>31</v>
      </c>
      <c r="AA267" s="264" t="s">
        <v>999</v>
      </c>
      <c r="AB267" s="264">
        <v>31</v>
      </c>
      <c r="AC267" s="264" t="s">
        <v>999</v>
      </c>
      <c r="AD267" s="264" t="s">
        <v>1000</v>
      </c>
      <c r="AE267" s="264" t="s">
        <v>1000</v>
      </c>
      <c r="AF267" s="264" t="s">
        <v>1000</v>
      </c>
      <c r="AG267" s="264" t="s">
        <v>1000</v>
      </c>
      <c r="AH267" s="264" t="s">
        <v>1002</v>
      </c>
      <c r="AI267" s="264" t="s">
        <v>1002</v>
      </c>
      <c r="AJ267" s="264" t="s">
        <v>995</v>
      </c>
      <c r="AK267" s="264" t="s">
        <v>995</v>
      </c>
      <c r="AL267" s="264" t="s">
        <v>995</v>
      </c>
    </row>
    <row r="268" spans="1:38">
      <c r="A268" s="264">
        <v>3888</v>
      </c>
      <c r="B268" s="264" t="s">
        <v>300</v>
      </c>
      <c r="C268" s="264" t="s">
        <v>1191</v>
      </c>
      <c r="D268" s="264" t="s">
        <v>1004</v>
      </c>
      <c r="E268" s="264">
        <v>42011</v>
      </c>
      <c r="F268" s="264" t="s">
        <v>290</v>
      </c>
      <c r="G268" s="389">
        <v>26664</v>
      </c>
      <c r="H268" s="264">
        <v>51</v>
      </c>
      <c r="I268" s="389">
        <v>33322</v>
      </c>
      <c r="K268" s="390">
        <v>42278</v>
      </c>
      <c r="L268" s="264">
        <v>20</v>
      </c>
      <c r="M268" s="264" t="s">
        <v>1015</v>
      </c>
      <c r="N268" s="264">
        <v>1</v>
      </c>
      <c r="O268" s="264" t="s">
        <v>829</v>
      </c>
      <c r="P268" s="264" t="s">
        <v>994</v>
      </c>
      <c r="Q268" s="264" t="s">
        <v>1009</v>
      </c>
      <c r="R268" s="264" t="s">
        <v>1010</v>
      </c>
      <c r="S268" s="264" t="s">
        <v>996</v>
      </c>
      <c r="T268" s="264" t="s">
        <v>997</v>
      </c>
      <c r="U268" s="264" t="s">
        <v>1021</v>
      </c>
      <c r="V268" s="264" t="s">
        <v>995</v>
      </c>
      <c r="W268" s="264" t="s">
        <v>995</v>
      </c>
      <c r="X268" s="264" t="s">
        <v>828</v>
      </c>
      <c r="Y268" s="264" t="s">
        <v>998</v>
      </c>
      <c r="Z268" s="264">
        <v>31</v>
      </c>
      <c r="AA268" s="264" t="s">
        <v>999</v>
      </c>
      <c r="AB268" s="264">
        <v>31</v>
      </c>
      <c r="AC268" s="264" t="s">
        <v>999</v>
      </c>
      <c r="AD268" s="264" t="s">
        <v>1000</v>
      </c>
      <c r="AE268" s="264" t="s">
        <v>1000</v>
      </c>
      <c r="AF268" s="264" t="s">
        <v>1000</v>
      </c>
      <c r="AG268" s="264" t="s">
        <v>1000</v>
      </c>
      <c r="AH268" s="264" t="s">
        <v>1002</v>
      </c>
      <c r="AI268" s="264" t="s">
        <v>1002</v>
      </c>
      <c r="AJ268" s="264" t="s">
        <v>995</v>
      </c>
      <c r="AK268" s="264" t="s">
        <v>995</v>
      </c>
      <c r="AL268" s="264" t="s">
        <v>995</v>
      </c>
    </row>
    <row r="269" spans="1:38">
      <c r="A269" s="264">
        <v>5050</v>
      </c>
      <c r="B269" s="264" t="s">
        <v>294</v>
      </c>
      <c r="C269" s="264" t="s">
        <v>1192</v>
      </c>
      <c r="D269" s="264" t="s">
        <v>1004</v>
      </c>
      <c r="E269" s="264">
        <v>42011</v>
      </c>
      <c r="F269" s="264" t="s">
        <v>290</v>
      </c>
      <c r="G269" s="389">
        <v>24314</v>
      </c>
      <c r="H269" s="264">
        <v>57</v>
      </c>
      <c r="I269" s="389">
        <v>30035</v>
      </c>
      <c r="K269" s="390">
        <v>42278</v>
      </c>
      <c r="L269" s="264">
        <v>20</v>
      </c>
      <c r="M269" s="264" t="s">
        <v>1015</v>
      </c>
      <c r="N269" s="264">
        <v>1</v>
      </c>
      <c r="O269" s="264" t="s">
        <v>829</v>
      </c>
      <c r="P269" s="264" t="s">
        <v>994</v>
      </c>
      <c r="Q269" s="264" t="s">
        <v>1009</v>
      </c>
      <c r="R269" s="264" t="s">
        <v>1010</v>
      </c>
      <c r="S269" s="264" t="s">
        <v>996</v>
      </c>
      <c r="T269" s="264" t="s">
        <v>997</v>
      </c>
      <c r="U269" s="264" t="s">
        <v>995</v>
      </c>
      <c r="V269" s="264" t="s">
        <v>995</v>
      </c>
      <c r="W269" s="264" t="s">
        <v>995</v>
      </c>
      <c r="X269" s="264" t="s">
        <v>828</v>
      </c>
      <c r="Y269" s="264" t="s">
        <v>998</v>
      </c>
      <c r="Z269" s="264">
        <v>31</v>
      </c>
      <c r="AA269" s="264" t="s">
        <v>999</v>
      </c>
      <c r="AB269" s="264">
        <v>31</v>
      </c>
      <c r="AC269" s="264" t="s">
        <v>999</v>
      </c>
      <c r="AD269" s="264" t="s">
        <v>1000</v>
      </c>
      <c r="AE269" s="264" t="s">
        <v>1000</v>
      </c>
      <c r="AF269" s="264" t="s">
        <v>1000</v>
      </c>
      <c r="AG269" s="264" t="s">
        <v>1000</v>
      </c>
      <c r="AH269" s="264" t="s">
        <v>1002</v>
      </c>
      <c r="AI269" s="264" t="s">
        <v>1002</v>
      </c>
      <c r="AJ269" s="264" t="s">
        <v>995</v>
      </c>
      <c r="AK269" s="264" t="s">
        <v>995</v>
      </c>
      <c r="AL269" s="264" t="s">
        <v>995</v>
      </c>
    </row>
    <row r="270" spans="1:38">
      <c r="A270" s="264">
        <v>7806</v>
      </c>
      <c r="B270" s="264" t="s">
        <v>535</v>
      </c>
      <c r="C270" s="264" t="s">
        <v>1193</v>
      </c>
      <c r="D270" s="264" t="s">
        <v>1004</v>
      </c>
      <c r="E270" s="264">
        <v>42021</v>
      </c>
      <c r="F270" s="264" t="s">
        <v>290</v>
      </c>
      <c r="G270" s="389">
        <v>21891</v>
      </c>
      <c r="H270" s="264">
        <v>64</v>
      </c>
      <c r="I270" s="389">
        <v>38041</v>
      </c>
      <c r="K270" s="390">
        <v>42278</v>
      </c>
      <c r="L270" s="264">
        <v>70</v>
      </c>
      <c r="M270" s="264" t="s">
        <v>1024</v>
      </c>
      <c r="N270" s="264">
        <v>1</v>
      </c>
      <c r="O270" s="264" t="s">
        <v>829</v>
      </c>
      <c r="P270" s="264" t="s">
        <v>994</v>
      </c>
      <c r="Q270" s="264" t="s">
        <v>1009</v>
      </c>
      <c r="R270" s="264" t="s">
        <v>1010</v>
      </c>
      <c r="S270" s="264" t="s">
        <v>996</v>
      </c>
      <c r="T270" s="264" t="s">
        <v>997</v>
      </c>
      <c r="U270" s="264" t="s">
        <v>995</v>
      </c>
      <c r="V270" s="264" t="s">
        <v>995</v>
      </c>
      <c r="W270" s="264" t="s">
        <v>995</v>
      </c>
      <c r="X270" s="264" t="s">
        <v>828</v>
      </c>
      <c r="Y270" s="264" t="s">
        <v>998</v>
      </c>
      <c r="Z270" s="264">
        <v>31</v>
      </c>
      <c r="AA270" s="264" t="s">
        <v>999</v>
      </c>
      <c r="AB270" s="264">
        <v>31</v>
      </c>
      <c r="AC270" s="264" t="s">
        <v>999</v>
      </c>
      <c r="AD270" s="264" t="s">
        <v>1000</v>
      </c>
      <c r="AE270" s="264" t="s">
        <v>1000</v>
      </c>
      <c r="AF270" s="264" t="s">
        <v>1000</v>
      </c>
      <c r="AG270" s="264" t="s">
        <v>1000</v>
      </c>
      <c r="AH270" s="264" t="s">
        <v>1002</v>
      </c>
      <c r="AI270" s="264" t="s">
        <v>1002</v>
      </c>
      <c r="AJ270" s="264" t="s">
        <v>995</v>
      </c>
      <c r="AK270" s="264" t="s">
        <v>995</v>
      </c>
      <c r="AL270" s="264" t="s">
        <v>995</v>
      </c>
    </row>
    <row r="271" spans="1:38">
      <c r="A271" s="264">
        <v>2825</v>
      </c>
      <c r="B271" s="264" t="s">
        <v>334</v>
      </c>
      <c r="C271" s="264" t="s">
        <v>1240</v>
      </c>
      <c r="D271" s="264" t="s">
        <v>1004</v>
      </c>
      <c r="E271" s="264">
        <v>42311</v>
      </c>
      <c r="F271" s="264" t="s">
        <v>331</v>
      </c>
      <c r="G271" s="389">
        <v>25377</v>
      </c>
      <c r="H271" s="264">
        <v>54</v>
      </c>
      <c r="I271" s="389">
        <v>32226</v>
      </c>
      <c r="K271" s="390">
        <v>42278</v>
      </c>
      <c r="L271" s="264">
        <v>20</v>
      </c>
      <c r="M271" s="264" t="s">
        <v>1015</v>
      </c>
      <c r="N271" s="264">
        <v>1</v>
      </c>
      <c r="O271" s="264" t="s">
        <v>829</v>
      </c>
      <c r="P271" s="264" t="s">
        <v>994</v>
      </c>
      <c r="Q271" s="264" t="s">
        <v>1009</v>
      </c>
      <c r="R271" s="264" t="s">
        <v>1010</v>
      </c>
      <c r="S271" s="264" t="s">
        <v>996</v>
      </c>
      <c r="T271" s="264" t="s">
        <v>997</v>
      </c>
      <c r="U271" s="264" t="s">
        <v>995</v>
      </c>
      <c r="V271" s="264" t="s">
        <v>995</v>
      </c>
      <c r="W271" s="264" t="s">
        <v>995</v>
      </c>
      <c r="X271" s="264" t="s">
        <v>828</v>
      </c>
      <c r="Y271" s="264" t="s">
        <v>998</v>
      </c>
      <c r="Z271" s="264">
        <v>31</v>
      </c>
      <c r="AA271" s="264" t="s">
        <v>999</v>
      </c>
      <c r="AB271" s="264">
        <v>31</v>
      </c>
      <c r="AC271" s="264" t="s">
        <v>999</v>
      </c>
      <c r="AD271" s="264" t="s">
        <v>1000</v>
      </c>
      <c r="AE271" s="264" t="s">
        <v>1000</v>
      </c>
      <c r="AF271" s="264" t="s">
        <v>1000</v>
      </c>
      <c r="AG271" s="264" t="s">
        <v>1000</v>
      </c>
      <c r="AH271" s="264" t="s">
        <v>1002</v>
      </c>
      <c r="AI271" s="264" t="s">
        <v>1002</v>
      </c>
      <c r="AJ271" s="264" t="s">
        <v>995</v>
      </c>
      <c r="AK271" s="264" t="s">
        <v>995</v>
      </c>
      <c r="AL271" s="264" t="s">
        <v>995</v>
      </c>
    </row>
    <row r="272" spans="1:38">
      <c r="A272" s="264">
        <v>3215</v>
      </c>
      <c r="B272" s="264" t="s">
        <v>99</v>
      </c>
      <c r="C272" s="264" t="s">
        <v>1241</v>
      </c>
      <c r="D272" s="264" t="s">
        <v>1004</v>
      </c>
      <c r="E272" s="264">
        <v>42311</v>
      </c>
      <c r="F272" s="264" t="s">
        <v>331</v>
      </c>
      <c r="G272" s="389">
        <v>31433</v>
      </c>
      <c r="H272" s="264">
        <v>38</v>
      </c>
      <c r="I272" s="389">
        <v>38068</v>
      </c>
      <c r="K272" s="390">
        <v>42278</v>
      </c>
      <c r="L272" s="264">
        <v>20</v>
      </c>
      <c r="M272" s="264" t="s">
        <v>1015</v>
      </c>
      <c r="N272" s="264">
        <v>1</v>
      </c>
      <c r="O272" s="264" t="s">
        <v>829</v>
      </c>
      <c r="P272" s="264" t="s">
        <v>994</v>
      </c>
      <c r="Q272" s="264" t="s">
        <v>1009</v>
      </c>
      <c r="R272" s="264" t="s">
        <v>1010</v>
      </c>
      <c r="S272" s="264" t="s">
        <v>996</v>
      </c>
      <c r="T272" s="264" t="s">
        <v>997</v>
      </c>
      <c r="U272" s="264" t="s">
        <v>995</v>
      </c>
      <c r="V272" s="264" t="s">
        <v>995</v>
      </c>
      <c r="W272" s="264" t="s">
        <v>995</v>
      </c>
      <c r="X272" s="264" t="s">
        <v>828</v>
      </c>
      <c r="Y272" s="264" t="s">
        <v>998</v>
      </c>
      <c r="Z272" s="264">
        <v>31</v>
      </c>
      <c r="AA272" s="264" t="s">
        <v>999</v>
      </c>
      <c r="AB272" s="264">
        <v>31</v>
      </c>
      <c r="AC272" s="264" t="s">
        <v>999</v>
      </c>
      <c r="AD272" s="264" t="s">
        <v>1000</v>
      </c>
      <c r="AE272" s="264" t="s">
        <v>1000</v>
      </c>
      <c r="AF272" s="264" t="s">
        <v>1000</v>
      </c>
      <c r="AG272" s="264" t="s">
        <v>1000</v>
      </c>
      <c r="AH272" s="264" t="s">
        <v>1002</v>
      </c>
      <c r="AI272" s="264" t="s">
        <v>1002</v>
      </c>
      <c r="AJ272" s="264" t="s">
        <v>995</v>
      </c>
      <c r="AK272" s="264" t="s">
        <v>995</v>
      </c>
      <c r="AL272" s="264" t="s">
        <v>995</v>
      </c>
    </row>
    <row r="273" spans="1:38">
      <c r="A273" s="264">
        <v>3372</v>
      </c>
      <c r="B273" s="264" t="s">
        <v>336</v>
      </c>
      <c r="C273" s="264" t="s">
        <v>1242</v>
      </c>
      <c r="D273" s="264" t="s">
        <v>1004</v>
      </c>
      <c r="E273" s="264">
        <v>42311</v>
      </c>
      <c r="F273" s="264" t="s">
        <v>331</v>
      </c>
      <c r="G273" s="389">
        <v>34223</v>
      </c>
      <c r="H273" s="264">
        <v>30</v>
      </c>
      <c r="I273" s="389">
        <v>40989</v>
      </c>
      <c r="K273" s="390">
        <v>42278</v>
      </c>
      <c r="L273" s="264">
        <v>20</v>
      </c>
      <c r="M273" s="264" t="s">
        <v>1015</v>
      </c>
      <c r="N273" s="264">
        <v>1</v>
      </c>
      <c r="O273" s="264" t="s">
        <v>829</v>
      </c>
      <c r="P273" s="264" t="s">
        <v>994</v>
      </c>
      <c r="Q273" s="264" t="s">
        <v>1009</v>
      </c>
      <c r="R273" s="264" t="s">
        <v>1010</v>
      </c>
      <c r="S273" s="264" t="s">
        <v>996</v>
      </c>
      <c r="T273" s="264" t="s">
        <v>997</v>
      </c>
      <c r="U273" s="264" t="s">
        <v>995</v>
      </c>
      <c r="V273" s="264" t="s">
        <v>995</v>
      </c>
      <c r="W273" s="264" t="s">
        <v>995</v>
      </c>
      <c r="X273" s="264" t="s">
        <v>828</v>
      </c>
      <c r="Y273" s="264" t="s">
        <v>998</v>
      </c>
      <c r="Z273" s="264">
        <v>31</v>
      </c>
      <c r="AA273" s="264" t="s">
        <v>999</v>
      </c>
      <c r="AB273" s="264">
        <v>31</v>
      </c>
      <c r="AC273" s="264" t="s">
        <v>999</v>
      </c>
      <c r="AD273" s="264" t="s">
        <v>1000</v>
      </c>
      <c r="AE273" s="264" t="s">
        <v>1000</v>
      </c>
      <c r="AF273" s="264" t="s">
        <v>1000</v>
      </c>
      <c r="AG273" s="264" t="s">
        <v>1000</v>
      </c>
      <c r="AH273" s="264" t="s">
        <v>1002</v>
      </c>
      <c r="AI273" s="264" t="s">
        <v>1002</v>
      </c>
      <c r="AJ273" s="264" t="s">
        <v>995</v>
      </c>
      <c r="AK273" s="264" t="s">
        <v>995</v>
      </c>
      <c r="AL273" s="264" t="s">
        <v>995</v>
      </c>
    </row>
    <row r="274" spans="1:38">
      <c r="A274" s="264">
        <v>3805</v>
      </c>
      <c r="B274" s="264" t="s">
        <v>332</v>
      </c>
      <c r="C274" s="264" t="s">
        <v>1243</v>
      </c>
      <c r="D274" s="264" t="s">
        <v>1004</v>
      </c>
      <c r="E274" s="264">
        <v>42311</v>
      </c>
      <c r="F274" s="264" t="s">
        <v>331</v>
      </c>
      <c r="G274" s="389">
        <v>25418</v>
      </c>
      <c r="H274" s="264">
        <v>54</v>
      </c>
      <c r="I274" s="389">
        <v>33064</v>
      </c>
      <c r="K274" s="390">
        <v>42278</v>
      </c>
      <c r="L274" s="264">
        <v>20</v>
      </c>
      <c r="M274" s="264" t="s">
        <v>1015</v>
      </c>
      <c r="N274" s="264">
        <v>1</v>
      </c>
      <c r="O274" s="264" t="s">
        <v>829</v>
      </c>
      <c r="P274" s="264" t="s">
        <v>994</v>
      </c>
      <c r="Q274" s="264" t="s">
        <v>1009</v>
      </c>
      <c r="R274" s="264" t="s">
        <v>1010</v>
      </c>
      <c r="S274" s="264" t="s">
        <v>996</v>
      </c>
      <c r="T274" s="264" t="s">
        <v>997</v>
      </c>
      <c r="U274" s="264" t="s">
        <v>995</v>
      </c>
      <c r="V274" s="264" t="s">
        <v>995</v>
      </c>
      <c r="W274" s="264" t="s">
        <v>995</v>
      </c>
      <c r="X274" s="264" t="s">
        <v>828</v>
      </c>
      <c r="Y274" s="264" t="s">
        <v>998</v>
      </c>
      <c r="Z274" s="264">
        <v>31</v>
      </c>
      <c r="AA274" s="264" t="s">
        <v>999</v>
      </c>
      <c r="AB274" s="264">
        <v>31</v>
      </c>
      <c r="AC274" s="264" t="s">
        <v>999</v>
      </c>
      <c r="AD274" s="264" t="s">
        <v>1000</v>
      </c>
      <c r="AE274" s="264" t="s">
        <v>1000</v>
      </c>
      <c r="AF274" s="264" t="s">
        <v>1000</v>
      </c>
      <c r="AG274" s="264" t="s">
        <v>1000</v>
      </c>
      <c r="AH274" s="264" t="s">
        <v>1002</v>
      </c>
      <c r="AI274" s="264" t="s">
        <v>1002</v>
      </c>
      <c r="AJ274" s="264" t="s">
        <v>995</v>
      </c>
      <c r="AK274" s="264" t="s">
        <v>995</v>
      </c>
      <c r="AL274" s="264" t="s">
        <v>995</v>
      </c>
    </row>
    <row r="275" spans="1:38">
      <c r="A275" s="264">
        <v>5067</v>
      </c>
      <c r="B275" s="264" t="s">
        <v>330</v>
      </c>
      <c r="C275" s="264" t="s">
        <v>1244</v>
      </c>
      <c r="D275" s="264" t="s">
        <v>1004</v>
      </c>
      <c r="E275" s="264">
        <v>42311</v>
      </c>
      <c r="F275" s="264" t="s">
        <v>331</v>
      </c>
      <c r="G275" s="389">
        <v>23870</v>
      </c>
      <c r="H275" s="264">
        <v>58</v>
      </c>
      <c r="I275" s="389">
        <v>30400</v>
      </c>
      <c r="K275" s="390">
        <v>42278</v>
      </c>
      <c r="L275" s="264">
        <v>20</v>
      </c>
      <c r="M275" s="264" t="s">
        <v>1015</v>
      </c>
      <c r="N275" s="264">
        <v>1</v>
      </c>
      <c r="O275" s="264" t="s">
        <v>829</v>
      </c>
      <c r="P275" s="264" t="s">
        <v>994</v>
      </c>
      <c r="Q275" s="264" t="s">
        <v>1009</v>
      </c>
      <c r="R275" s="264" t="s">
        <v>1010</v>
      </c>
      <c r="S275" s="264" t="s">
        <v>996</v>
      </c>
      <c r="T275" s="264" t="s">
        <v>997</v>
      </c>
      <c r="U275" s="264" t="s">
        <v>995</v>
      </c>
      <c r="V275" s="264" t="s">
        <v>995</v>
      </c>
      <c r="W275" s="264" t="s">
        <v>995</v>
      </c>
      <c r="X275" s="264" t="s">
        <v>828</v>
      </c>
      <c r="Y275" s="264" t="s">
        <v>998</v>
      </c>
      <c r="Z275" s="264">
        <v>31</v>
      </c>
      <c r="AA275" s="264" t="s">
        <v>999</v>
      </c>
      <c r="AB275" s="264">
        <v>31</v>
      </c>
      <c r="AC275" s="264" t="s">
        <v>999</v>
      </c>
      <c r="AD275" s="264" t="s">
        <v>1000</v>
      </c>
      <c r="AE275" s="264" t="s">
        <v>1000</v>
      </c>
      <c r="AF275" s="264" t="s">
        <v>1000</v>
      </c>
      <c r="AG275" s="264" t="s">
        <v>1000</v>
      </c>
      <c r="AH275" s="264" t="s">
        <v>1002</v>
      </c>
      <c r="AI275" s="264" t="s">
        <v>1002</v>
      </c>
      <c r="AJ275" s="264" t="s">
        <v>995</v>
      </c>
      <c r="AK275" s="264" t="s">
        <v>995</v>
      </c>
      <c r="AL275" s="264" t="s">
        <v>995</v>
      </c>
    </row>
    <row r="276" spans="1:38">
      <c r="A276" s="264">
        <v>1427</v>
      </c>
      <c r="B276" s="264" t="s">
        <v>832</v>
      </c>
      <c r="C276" s="264" t="s">
        <v>1134</v>
      </c>
      <c r="D276" s="264" t="s">
        <v>1004</v>
      </c>
      <c r="E276" s="264">
        <v>41011</v>
      </c>
      <c r="F276" s="264" t="s">
        <v>258</v>
      </c>
      <c r="G276" s="389">
        <v>36287</v>
      </c>
      <c r="H276" s="264">
        <v>24</v>
      </c>
      <c r="I276" s="389">
        <v>44697</v>
      </c>
      <c r="K276" s="390">
        <v>44713</v>
      </c>
      <c r="L276" s="264">
        <v>20</v>
      </c>
      <c r="M276" s="264" t="s">
        <v>1015</v>
      </c>
      <c r="N276" s="264">
        <v>1</v>
      </c>
      <c r="O276" s="264" t="s">
        <v>829</v>
      </c>
      <c r="P276" s="264" t="s">
        <v>994</v>
      </c>
      <c r="Q276" s="264" t="s">
        <v>1009</v>
      </c>
      <c r="R276" s="264" t="s">
        <v>1010</v>
      </c>
      <c r="S276" s="264" t="s">
        <v>996</v>
      </c>
      <c r="T276" s="264" t="s">
        <v>997</v>
      </c>
      <c r="U276" s="264" t="s">
        <v>995</v>
      </c>
      <c r="V276" s="264" t="s">
        <v>995</v>
      </c>
      <c r="W276" s="264" t="s">
        <v>995</v>
      </c>
      <c r="X276" s="264" t="s">
        <v>828</v>
      </c>
      <c r="Y276" s="264" t="s">
        <v>998</v>
      </c>
      <c r="Z276" s="264">
        <v>31</v>
      </c>
      <c r="AA276" s="264" t="s">
        <v>999</v>
      </c>
      <c r="AB276" s="264">
        <v>31</v>
      </c>
      <c r="AC276" s="264" t="s">
        <v>999</v>
      </c>
      <c r="AD276" s="264" t="s">
        <v>1000</v>
      </c>
      <c r="AE276" s="264" t="s">
        <v>1000</v>
      </c>
      <c r="AF276" s="264" t="s">
        <v>1000</v>
      </c>
      <c r="AG276" s="264" t="s">
        <v>1000</v>
      </c>
      <c r="AH276" s="264" t="s">
        <v>1002</v>
      </c>
      <c r="AI276" s="264" t="s">
        <v>1002</v>
      </c>
      <c r="AJ276" s="264" t="s">
        <v>995</v>
      </c>
      <c r="AK276" s="264" t="s">
        <v>995</v>
      </c>
      <c r="AL276" s="264" t="s">
        <v>995</v>
      </c>
    </row>
    <row r="277" spans="1:38">
      <c r="A277" s="264">
        <v>1432</v>
      </c>
      <c r="B277" s="264" t="s">
        <v>836</v>
      </c>
      <c r="C277" s="264" t="s">
        <v>1135</v>
      </c>
      <c r="D277" s="264" t="s">
        <v>1004</v>
      </c>
      <c r="E277" s="264">
        <v>41011</v>
      </c>
      <c r="F277" s="264" t="s">
        <v>258</v>
      </c>
      <c r="G277" s="389">
        <v>24892</v>
      </c>
      <c r="H277" s="264">
        <v>55</v>
      </c>
      <c r="I277" s="389">
        <v>44805</v>
      </c>
      <c r="K277" s="390">
        <v>44805</v>
      </c>
      <c r="L277" s="264">
        <v>20</v>
      </c>
      <c r="M277" s="264" t="s">
        <v>1015</v>
      </c>
      <c r="N277" s="264">
        <v>1</v>
      </c>
      <c r="O277" s="264" t="s">
        <v>829</v>
      </c>
      <c r="P277" s="264" t="s">
        <v>994</v>
      </c>
      <c r="Q277" s="264" t="s">
        <v>1009</v>
      </c>
      <c r="R277" s="264" t="s">
        <v>1010</v>
      </c>
      <c r="S277" s="264" t="s">
        <v>996</v>
      </c>
      <c r="T277" s="264" t="s">
        <v>997</v>
      </c>
      <c r="U277" s="264" t="s">
        <v>995</v>
      </c>
      <c r="V277" s="264" t="s">
        <v>995</v>
      </c>
      <c r="W277" s="264" t="s">
        <v>995</v>
      </c>
      <c r="X277" s="264" t="s">
        <v>828</v>
      </c>
      <c r="Y277" s="264" t="s">
        <v>998</v>
      </c>
      <c r="Z277" s="264">
        <v>31</v>
      </c>
      <c r="AA277" s="264" t="s">
        <v>999</v>
      </c>
      <c r="AB277" s="264">
        <v>31</v>
      </c>
      <c r="AC277" s="264" t="s">
        <v>999</v>
      </c>
      <c r="AD277" s="264" t="s">
        <v>1000</v>
      </c>
      <c r="AE277" s="264" t="s">
        <v>1000</v>
      </c>
      <c r="AF277" s="264" t="s">
        <v>1000</v>
      </c>
      <c r="AG277" s="264" t="s">
        <v>1000</v>
      </c>
      <c r="AH277" s="264" t="s">
        <v>1002</v>
      </c>
      <c r="AI277" s="264" t="s">
        <v>1002</v>
      </c>
      <c r="AJ277" s="264" t="s">
        <v>995</v>
      </c>
      <c r="AK277" s="264" t="s">
        <v>995</v>
      </c>
      <c r="AL277" s="264" t="s">
        <v>995</v>
      </c>
    </row>
    <row r="278" spans="1:38">
      <c r="A278" s="264">
        <v>3136</v>
      </c>
      <c r="B278" s="264" t="s">
        <v>259</v>
      </c>
      <c r="C278" s="264" t="s">
        <v>1136</v>
      </c>
      <c r="D278" s="264" t="s">
        <v>1004</v>
      </c>
      <c r="E278" s="264">
        <v>41011</v>
      </c>
      <c r="F278" s="264" t="s">
        <v>258</v>
      </c>
      <c r="G278" s="389">
        <v>27881</v>
      </c>
      <c r="H278" s="264">
        <v>47</v>
      </c>
      <c r="I278" s="389">
        <v>35510</v>
      </c>
      <c r="K278" s="390">
        <v>42278</v>
      </c>
      <c r="L278" s="264">
        <v>20</v>
      </c>
      <c r="M278" s="264" t="s">
        <v>1015</v>
      </c>
      <c r="N278" s="264">
        <v>1</v>
      </c>
      <c r="O278" s="264" t="s">
        <v>829</v>
      </c>
      <c r="P278" s="264" t="s">
        <v>994</v>
      </c>
      <c r="Q278" s="264" t="s">
        <v>1009</v>
      </c>
      <c r="R278" s="264" t="s">
        <v>1010</v>
      </c>
      <c r="S278" s="264" t="s">
        <v>996</v>
      </c>
      <c r="T278" s="264" t="s">
        <v>997</v>
      </c>
      <c r="U278" s="264" t="s">
        <v>995</v>
      </c>
      <c r="V278" s="264" t="s">
        <v>995</v>
      </c>
      <c r="W278" s="264" t="s">
        <v>995</v>
      </c>
      <c r="X278" s="264" t="s">
        <v>828</v>
      </c>
      <c r="Y278" s="264" t="s">
        <v>998</v>
      </c>
      <c r="Z278" s="264">
        <v>31</v>
      </c>
      <c r="AA278" s="264" t="s">
        <v>999</v>
      </c>
      <c r="AB278" s="264">
        <v>31</v>
      </c>
      <c r="AC278" s="264" t="s">
        <v>999</v>
      </c>
      <c r="AD278" s="264" t="s">
        <v>1000</v>
      </c>
      <c r="AE278" s="264" t="s">
        <v>1000</v>
      </c>
      <c r="AF278" s="264" t="s">
        <v>1000</v>
      </c>
      <c r="AG278" s="264" t="s">
        <v>1000</v>
      </c>
      <c r="AH278" s="264" t="s">
        <v>1002</v>
      </c>
      <c r="AI278" s="264" t="s">
        <v>1002</v>
      </c>
      <c r="AJ278" s="264" t="s">
        <v>995</v>
      </c>
      <c r="AK278" s="264" t="s">
        <v>995</v>
      </c>
      <c r="AL278" s="264" t="s">
        <v>995</v>
      </c>
    </row>
    <row r="279" spans="1:38">
      <c r="A279" s="264">
        <v>3218</v>
      </c>
      <c r="B279" s="264" t="s">
        <v>261</v>
      </c>
      <c r="C279" s="264" t="s">
        <v>1137</v>
      </c>
      <c r="D279" s="264" t="s">
        <v>1004</v>
      </c>
      <c r="E279" s="264">
        <v>41011</v>
      </c>
      <c r="F279" s="264" t="s">
        <v>258</v>
      </c>
      <c r="G279" s="389">
        <v>31263</v>
      </c>
      <c r="H279" s="264">
        <v>38</v>
      </c>
      <c r="I279" s="389">
        <v>38068</v>
      </c>
      <c r="K279" s="390">
        <v>42278</v>
      </c>
      <c r="L279" s="264">
        <v>20</v>
      </c>
      <c r="M279" s="264" t="s">
        <v>1015</v>
      </c>
      <c r="N279" s="264">
        <v>1</v>
      </c>
      <c r="O279" s="264" t="s">
        <v>829</v>
      </c>
      <c r="P279" s="264" t="s">
        <v>994</v>
      </c>
      <c r="Q279" s="264" t="s">
        <v>1009</v>
      </c>
      <c r="R279" s="264" t="s">
        <v>1010</v>
      </c>
      <c r="S279" s="264" t="s">
        <v>996</v>
      </c>
      <c r="T279" s="264" t="s">
        <v>997</v>
      </c>
      <c r="U279" s="264" t="s">
        <v>995</v>
      </c>
      <c r="V279" s="264" t="s">
        <v>995</v>
      </c>
      <c r="W279" s="264" t="s">
        <v>995</v>
      </c>
      <c r="X279" s="264" t="s">
        <v>828</v>
      </c>
      <c r="Y279" s="264" t="s">
        <v>998</v>
      </c>
      <c r="Z279" s="264">
        <v>31</v>
      </c>
      <c r="AA279" s="264" t="s">
        <v>999</v>
      </c>
      <c r="AB279" s="264">
        <v>31</v>
      </c>
      <c r="AC279" s="264" t="s">
        <v>999</v>
      </c>
      <c r="AD279" s="264" t="s">
        <v>1000</v>
      </c>
      <c r="AE279" s="264" t="s">
        <v>1000</v>
      </c>
      <c r="AF279" s="264" t="s">
        <v>1000</v>
      </c>
      <c r="AG279" s="264" t="s">
        <v>1000</v>
      </c>
      <c r="AH279" s="264" t="s">
        <v>1002</v>
      </c>
      <c r="AI279" s="264" t="s">
        <v>1002</v>
      </c>
      <c r="AJ279" s="264" t="s">
        <v>995</v>
      </c>
      <c r="AK279" s="264" t="s">
        <v>995</v>
      </c>
      <c r="AL279" s="264" t="s">
        <v>995</v>
      </c>
    </row>
    <row r="280" spans="1:38">
      <c r="A280" s="264">
        <v>3261</v>
      </c>
      <c r="B280" s="264" t="s">
        <v>270</v>
      </c>
      <c r="C280" s="264" t="s">
        <v>1138</v>
      </c>
      <c r="D280" s="264" t="s">
        <v>1004</v>
      </c>
      <c r="E280" s="264">
        <v>41011</v>
      </c>
      <c r="F280" s="264" t="s">
        <v>258</v>
      </c>
      <c r="G280" s="389">
        <v>30881</v>
      </c>
      <c r="H280" s="264">
        <v>39</v>
      </c>
      <c r="I280" s="389">
        <v>39162</v>
      </c>
      <c r="K280" s="390">
        <v>42278</v>
      </c>
      <c r="L280" s="264">
        <v>20</v>
      </c>
      <c r="M280" s="264" t="s">
        <v>1015</v>
      </c>
      <c r="N280" s="264">
        <v>1</v>
      </c>
      <c r="O280" s="264" t="s">
        <v>829</v>
      </c>
      <c r="P280" s="264" t="s">
        <v>994</v>
      </c>
      <c r="Q280" s="264" t="s">
        <v>1009</v>
      </c>
      <c r="R280" s="264" t="s">
        <v>1010</v>
      </c>
      <c r="S280" s="264" t="s">
        <v>996</v>
      </c>
      <c r="T280" s="264" t="s">
        <v>997</v>
      </c>
      <c r="U280" s="264" t="s">
        <v>995</v>
      </c>
      <c r="V280" s="264" t="s">
        <v>995</v>
      </c>
      <c r="W280" s="264" t="s">
        <v>995</v>
      </c>
      <c r="X280" s="264" t="s">
        <v>828</v>
      </c>
      <c r="Y280" s="264" t="s">
        <v>998</v>
      </c>
      <c r="Z280" s="264">
        <v>31</v>
      </c>
      <c r="AA280" s="264" t="s">
        <v>999</v>
      </c>
      <c r="AB280" s="264">
        <v>31</v>
      </c>
      <c r="AC280" s="264" t="s">
        <v>999</v>
      </c>
      <c r="AD280" s="264" t="s">
        <v>1000</v>
      </c>
      <c r="AE280" s="264" t="s">
        <v>1000</v>
      </c>
      <c r="AF280" s="264" t="s">
        <v>1000</v>
      </c>
      <c r="AG280" s="264" t="s">
        <v>1000</v>
      </c>
      <c r="AH280" s="264" t="s">
        <v>1002</v>
      </c>
      <c r="AI280" s="264" t="s">
        <v>1002</v>
      </c>
      <c r="AJ280" s="264" t="s">
        <v>995</v>
      </c>
      <c r="AK280" s="264" t="s">
        <v>995</v>
      </c>
      <c r="AL280" s="264" t="s">
        <v>995</v>
      </c>
    </row>
    <row r="281" spans="1:38">
      <c r="A281" s="264">
        <v>3369</v>
      </c>
      <c r="B281" s="264" t="s">
        <v>273</v>
      </c>
      <c r="C281" s="264" t="s">
        <v>1139</v>
      </c>
      <c r="D281" s="264" t="s">
        <v>1004</v>
      </c>
      <c r="E281" s="264">
        <v>41011</v>
      </c>
      <c r="F281" s="264" t="s">
        <v>258</v>
      </c>
      <c r="G281" s="389">
        <v>34099</v>
      </c>
      <c r="H281" s="264">
        <v>30</v>
      </c>
      <c r="I281" s="389">
        <v>40989</v>
      </c>
      <c r="K281" s="390">
        <v>42278</v>
      </c>
      <c r="L281" s="264">
        <v>20</v>
      </c>
      <c r="M281" s="264" t="s">
        <v>1015</v>
      </c>
      <c r="N281" s="264">
        <v>1</v>
      </c>
      <c r="O281" s="264" t="s">
        <v>829</v>
      </c>
      <c r="P281" s="264" t="s">
        <v>994</v>
      </c>
      <c r="Q281" s="264" t="s">
        <v>1009</v>
      </c>
      <c r="R281" s="264" t="s">
        <v>1010</v>
      </c>
      <c r="S281" s="264" t="s">
        <v>996</v>
      </c>
      <c r="T281" s="264" t="s">
        <v>997</v>
      </c>
      <c r="U281" s="264" t="s">
        <v>995</v>
      </c>
      <c r="V281" s="264" t="s">
        <v>995</v>
      </c>
      <c r="W281" s="264" t="s">
        <v>995</v>
      </c>
      <c r="X281" s="264" t="s">
        <v>828</v>
      </c>
      <c r="Y281" s="264" t="s">
        <v>998</v>
      </c>
      <c r="Z281" s="264">
        <v>31</v>
      </c>
      <c r="AA281" s="264" t="s">
        <v>999</v>
      </c>
      <c r="AB281" s="264">
        <v>31</v>
      </c>
      <c r="AC281" s="264" t="s">
        <v>999</v>
      </c>
      <c r="AD281" s="264" t="s">
        <v>1000</v>
      </c>
      <c r="AE281" s="264" t="s">
        <v>1000</v>
      </c>
      <c r="AF281" s="264" t="s">
        <v>1000</v>
      </c>
      <c r="AG281" s="264" t="s">
        <v>1000</v>
      </c>
      <c r="AH281" s="264" t="s">
        <v>1002</v>
      </c>
      <c r="AI281" s="264" t="s">
        <v>1002</v>
      </c>
      <c r="AJ281" s="264" t="s">
        <v>995</v>
      </c>
      <c r="AK281" s="264" t="s">
        <v>995</v>
      </c>
      <c r="AL281" s="264" t="s">
        <v>995</v>
      </c>
    </row>
    <row r="282" spans="1:38">
      <c r="A282" s="264">
        <v>3399</v>
      </c>
      <c r="B282" s="264" t="s">
        <v>274</v>
      </c>
      <c r="C282" s="264" t="s">
        <v>1140</v>
      </c>
      <c r="D282" s="264" t="s">
        <v>1004</v>
      </c>
      <c r="E282" s="264">
        <v>41011</v>
      </c>
      <c r="F282" s="264" t="s">
        <v>258</v>
      </c>
      <c r="G282" s="389">
        <v>34708</v>
      </c>
      <c r="H282" s="264">
        <v>29</v>
      </c>
      <c r="I282" s="389">
        <v>41354</v>
      </c>
      <c r="K282" s="390">
        <v>42278</v>
      </c>
      <c r="L282" s="264">
        <v>20</v>
      </c>
      <c r="M282" s="264" t="s">
        <v>1015</v>
      </c>
      <c r="N282" s="264">
        <v>1</v>
      </c>
      <c r="O282" s="264" t="s">
        <v>829</v>
      </c>
      <c r="P282" s="264" t="s">
        <v>994</v>
      </c>
      <c r="Q282" s="264" t="s">
        <v>1009</v>
      </c>
      <c r="R282" s="264" t="s">
        <v>1010</v>
      </c>
      <c r="S282" s="264" t="s">
        <v>996</v>
      </c>
      <c r="T282" s="264" t="s">
        <v>997</v>
      </c>
      <c r="U282" s="264" t="s">
        <v>995</v>
      </c>
      <c r="V282" s="264" t="s">
        <v>995</v>
      </c>
      <c r="W282" s="264" t="s">
        <v>995</v>
      </c>
      <c r="X282" s="264" t="s">
        <v>828</v>
      </c>
      <c r="Y282" s="264" t="s">
        <v>998</v>
      </c>
      <c r="Z282" s="264">
        <v>31</v>
      </c>
      <c r="AA282" s="264" t="s">
        <v>999</v>
      </c>
      <c r="AB282" s="264">
        <v>31</v>
      </c>
      <c r="AC282" s="264" t="s">
        <v>999</v>
      </c>
      <c r="AD282" s="264" t="s">
        <v>1000</v>
      </c>
      <c r="AE282" s="264" t="s">
        <v>1000</v>
      </c>
      <c r="AF282" s="264" t="s">
        <v>1000</v>
      </c>
      <c r="AG282" s="264" t="s">
        <v>1000</v>
      </c>
      <c r="AH282" s="264" t="s">
        <v>1002</v>
      </c>
      <c r="AI282" s="264" t="s">
        <v>1002</v>
      </c>
      <c r="AJ282" s="264" t="s">
        <v>995</v>
      </c>
      <c r="AK282" s="264" t="s">
        <v>995</v>
      </c>
      <c r="AL282" s="264" t="s">
        <v>995</v>
      </c>
    </row>
    <row r="283" spans="1:38">
      <c r="A283" s="264">
        <v>3831</v>
      </c>
      <c r="B283" s="264" t="s">
        <v>267</v>
      </c>
      <c r="C283" s="264" t="s">
        <v>1141</v>
      </c>
      <c r="D283" s="264" t="s">
        <v>1004</v>
      </c>
      <c r="E283" s="264">
        <v>41011</v>
      </c>
      <c r="F283" s="264" t="s">
        <v>258</v>
      </c>
      <c r="G283" s="389">
        <v>25263</v>
      </c>
      <c r="H283" s="264">
        <v>54</v>
      </c>
      <c r="I283" s="389">
        <v>33483</v>
      </c>
      <c r="K283" s="390">
        <v>42278</v>
      </c>
      <c r="L283" s="264">
        <v>20</v>
      </c>
      <c r="M283" s="264" t="s">
        <v>1015</v>
      </c>
      <c r="N283" s="264">
        <v>1</v>
      </c>
      <c r="O283" s="264" t="s">
        <v>829</v>
      </c>
      <c r="P283" s="264" t="s">
        <v>994</v>
      </c>
      <c r="Q283" s="264" t="s">
        <v>1009</v>
      </c>
      <c r="R283" s="264" t="s">
        <v>1010</v>
      </c>
      <c r="S283" s="264" t="s">
        <v>996</v>
      </c>
      <c r="T283" s="264" t="s">
        <v>997</v>
      </c>
      <c r="U283" s="264" t="s">
        <v>995</v>
      </c>
      <c r="V283" s="264" t="s">
        <v>995</v>
      </c>
      <c r="W283" s="264" t="s">
        <v>995</v>
      </c>
      <c r="X283" s="264" t="s">
        <v>828</v>
      </c>
      <c r="Y283" s="264" t="s">
        <v>998</v>
      </c>
      <c r="Z283" s="264">
        <v>31</v>
      </c>
      <c r="AA283" s="264" t="s">
        <v>999</v>
      </c>
      <c r="AB283" s="264">
        <v>31</v>
      </c>
      <c r="AC283" s="264" t="s">
        <v>999</v>
      </c>
      <c r="AD283" s="264" t="s">
        <v>1000</v>
      </c>
      <c r="AE283" s="264" t="s">
        <v>1000</v>
      </c>
      <c r="AF283" s="264" t="s">
        <v>1000</v>
      </c>
      <c r="AG283" s="264" t="s">
        <v>1000</v>
      </c>
      <c r="AH283" s="264" t="s">
        <v>1002</v>
      </c>
      <c r="AI283" s="264" t="s">
        <v>1002</v>
      </c>
      <c r="AJ283" s="264" t="s">
        <v>995</v>
      </c>
      <c r="AK283" s="264" t="s">
        <v>995</v>
      </c>
      <c r="AL283" s="264" t="s">
        <v>995</v>
      </c>
    </row>
    <row r="284" spans="1:38">
      <c r="A284" s="264">
        <v>3903</v>
      </c>
      <c r="B284" s="264" t="s">
        <v>268</v>
      </c>
      <c r="C284" s="264" t="s">
        <v>1142</v>
      </c>
      <c r="D284" s="264" t="s">
        <v>1004</v>
      </c>
      <c r="E284" s="264">
        <v>41011</v>
      </c>
      <c r="F284" s="264" t="s">
        <v>258</v>
      </c>
      <c r="G284" s="389">
        <v>23744</v>
      </c>
      <c r="H284" s="264">
        <v>59</v>
      </c>
      <c r="I284" s="389">
        <v>36965</v>
      </c>
      <c r="K284" s="390">
        <v>42278</v>
      </c>
      <c r="L284" s="264">
        <v>20</v>
      </c>
      <c r="M284" s="264" t="s">
        <v>1015</v>
      </c>
      <c r="N284" s="264">
        <v>1</v>
      </c>
      <c r="O284" s="264" t="s">
        <v>829</v>
      </c>
      <c r="P284" s="264" t="s">
        <v>994</v>
      </c>
      <c r="Q284" s="264" t="s">
        <v>1009</v>
      </c>
      <c r="R284" s="264" t="s">
        <v>1010</v>
      </c>
      <c r="S284" s="264" t="s">
        <v>996</v>
      </c>
      <c r="T284" s="264" t="s">
        <v>997</v>
      </c>
      <c r="U284" s="264" t="s">
        <v>995</v>
      </c>
      <c r="V284" s="264" t="s">
        <v>995</v>
      </c>
      <c r="W284" s="264" t="s">
        <v>995</v>
      </c>
      <c r="X284" s="264" t="s">
        <v>828</v>
      </c>
      <c r="Y284" s="264" t="s">
        <v>998</v>
      </c>
      <c r="Z284" s="264">
        <v>31</v>
      </c>
      <c r="AA284" s="264" t="s">
        <v>999</v>
      </c>
      <c r="AB284" s="264">
        <v>31</v>
      </c>
      <c r="AC284" s="264" t="s">
        <v>999</v>
      </c>
      <c r="AD284" s="264" t="s">
        <v>1000</v>
      </c>
      <c r="AE284" s="264" t="s">
        <v>1000</v>
      </c>
      <c r="AF284" s="264" t="s">
        <v>1000</v>
      </c>
      <c r="AG284" s="264" t="s">
        <v>1000</v>
      </c>
      <c r="AH284" s="264" t="s">
        <v>1002</v>
      </c>
      <c r="AI284" s="264" t="s">
        <v>1002</v>
      </c>
      <c r="AJ284" s="264" t="s">
        <v>995</v>
      </c>
      <c r="AK284" s="264" t="s">
        <v>995</v>
      </c>
      <c r="AL284" s="264" t="s">
        <v>995</v>
      </c>
    </row>
    <row r="285" spans="1:38">
      <c r="A285" s="264">
        <v>8071</v>
      </c>
      <c r="B285" s="264" t="s">
        <v>597</v>
      </c>
      <c r="C285" s="264" t="s">
        <v>1144</v>
      </c>
      <c r="D285" s="264" t="s">
        <v>991</v>
      </c>
      <c r="E285" s="264">
        <v>41021</v>
      </c>
      <c r="F285" s="264" t="s">
        <v>258</v>
      </c>
      <c r="G285" s="389">
        <v>25622</v>
      </c>
      <c r="H285" s="264">
        <v>53</v>
      </c>
      <c r="I285" s="389">
        <v>40715</v>
      </c>
      <c r="K285" s="390">
        <v>42278</v>
      </c>
      <c r="L285" s="264">
        <v>70</v>
      </c>
      <c r="M285" s="264" t="s">
        <v>1024</v>
      </c>
      <c r="N285" s="264">
        <v>1</v>
      </c>
      <c r="O285" s="264" t="s">
        <v>829</v>
      </c>
      <c r="P285" s="264" t="s">
        <v>994</v>
      </c>
      <c r="Q285" s="264" t="s">
        <v>1009</v>
      </c>
      <c r="R285" s="264" t="s">
        <v>1010</v>
      </c>
      <c r="S285" s="264" t="s">
        <v>996</v>
      </c>
      <c r="T285" s="264" t="s">
        <v>997</v>
      </c>
      <c r="U285" s="264" t="s">
        <v>995</v>
      </c>
      <c r="V285" s="264" t="s">
        <v>995</v>
      </c>
      <c r="W285" s="264" t="s">
        <v>995</v>
      </c>
      <c r="X285" s="264" t="s">
        <v>828</v>
      </c>
      <c r="Y285" s="264" t="s">
        <v>998</v>
      </c>
      <c r="Z285" s="264">
        <v>31</v>
      </c>
      <c r="AA285" s="264" t="s">
        <v>999</v>
      </c>
      <c r="AB285" s="264">
        <v>31</v>
      </c>
      <c r="AC285" s="264" t="s">
        <v>999</v>
      </c>
      <c r="AD285" s="264" t="s">
        <v>1000</v>
      </c>
      <c r="AE285" s="264" t="s">
        <v>1000</v>
      </c>
      <c r="AF285" s="264" t="s">
        <v>1000</v>
      </c>
      <c r="AG285" s="264" t="s">
        <v>1000</v>
      </c>
      <c r="AH285" s="264" t="s">
        <v>1002</v>
      </c>
      <c r="AI285" s="264" t="s">
        <v>1002</v>
      </c>
      <c r="AJ285" s="264" t="s">
        <v>995</v>
      </c>
      <c r="AK285" s="264" t="s">
        <v>995</v>
      </c>
      <c r="AL285" s="264" t="s">
        <v>995</v>
      </c>
    </row>
    <row r="286" spans="1:38">
      <c r="A286" s="264">
        <v>8228</v>
      </c>
      <c r="B286" s="264" t="s">
        <v>1145</v>
      </c>
      <c r="C286" s="264" t="s">
        <v>1146</v>
      </c>
      <c r="D286" s="264" t="s">
        <v>1004</v>
      </c>
      <c r="E286" s="264">
        <v>41021</v>
      </c>
      <c r="F286" s="264" t="s">
        <v>258</v>
      </c>
      <c r="G286" s="389">
        <v>24009</v>
      </c>
      <c r="H286" s="264">
        <v>58</v>
      </c>
      <c r="I286" s="389">
        <v>44977</v>
      </c>
      <c r="K286" s="390">
        <v>44986</v>
      </c>
      <c r="L286" s="264">
        <v>70</v>
      </c>
      <c r="M286" s="264" t="s">
        <v>1024</v>
      </c>
      <c r="N286" s="264">
        <v>1</v>
      </c>
      <c r="O286" s="264" t="s">
        <v>829</v>
      </c>
      <c r="P286" s="264" t="s">
        <v>994</v>
      </c>
      <c r="Q286" s="264" t="s">
        <v>1009</v>
      </c>
      <c r="R286" s="264" t="s">
        <v>1010</v>
      </c>
      <c r="S286" s="264" t="s">
        <v>996</v>
      </c>
      <c r="T286" s="264" t="s">
        <v>997</v>
      </c>
      <c r="U286" s="264" t="s">
        <v>995</v>
      </c>
      <c r="V286" s="264" t="s">
        <v>995</v>
      </c>
      <c r="W286" s="264" t="s">
        <v>995</v>
      </c>
      <c r="X286" s="264" t="s">
        <v>828</v>
      </c>
      <c r="Y286" s="264" t="s">
        <v>998</v>
      </c>
      <c r="Z286" s="264">
        <v>31</v>
      </c>
      <c r="AA286" s="264" t="s">
        <v>999</v>
      </c>
      <c r="AB286" s="264">
        <v>31</v>
      </c>
      <c r="AC286" s="264" t="s">
        <v>999</v>
      </c>
      <c r="AD286" s="264" t="s">
        <v>1000</v>
      </c>
      <c r="AE286" s="264" t="s">
        <v>1000</v>
      </c>
      <c r="AF286" s="264" t="s">
        <v>1000</v>
      </c>
      <c r="AG286" s="264" t="s">
        <v>1000</v>
      </c>
      <c r="AH286" s="264" t="s">
        <v>1002</v>
      </c>
      <c r="AI286" s="264" t="s">
        <v>1002</v>
      </c>
      <c r="AJ286" s="264" t="s">
        <v>995</v>
      </c>
      <c r="AK286" s="264" t="s">
        <v>995</v>
      </c>
      <c r="AL286" s="264" t="s">
        <v>995</v>
      </c>
    </row>
    <row r="287" spans="1:38">
      <c r="A287" s="264">
        <v>8236</v>
      </c>
      <c r="B287" s="264" t="s">
        <v>1147</v>
      </c>
      <c r="C287" s="264" t="s">
        <v>1148</v>
      </c>
      <c r="D287" s="264" t="s">
        <v>991</v>
      </c>
      <c r="E287" s="264">
        <v>41021</v>
      </c>
      <c r="F287" s="264" t="s">
        <v>258</v>
      </c>
      <c r="G287" s="389">
        <v>30727</v>
      </c>
      <c r="H287" s="264">
        <v>39</v>
      </c>
      <c r="I287" s="389">
        <v>45026</v>
      </c>
      <c r="K287" s="390">
        <v>45047</v>
      </c>
      <c r="L287" s="264">
        <v>70</v>
      </c>
      <c r="M287" s="264" t="s">
        <v>1024</v>
      </c>
      <c r="N287" s="264">
        <v>1</v>
      </c>
      <c r="O287" s="264" t="s">
        <v>829</v>
      </c>
      <c r="P287" s="264" t="s">
        <v>994</v>
      </c>
      <c r="Q287" s="264" t="s">
        <v>1009</v>
      </c>
      <c r="R287" s="264" t="s">
        <v>1010</v>
      </c>
      <c r="S287" s="264" t="s">
        <v>996</v>
      </c>
      <c r="T287" s="264" t="s">
        <v>997</v>
      </c>
      <c r="U287" s="264" t="s">
        <v>995</v>
      </c>
      <c r="V287" s="264" t="s">
        <v>995</v>
      </c>
      <c r="W287" s="264" t="s">
        <v>995</v>
      </c>
      <c r="X287" s="264" t="s">
        <v>828</v>
      </c>
      <c r="Y287" s="264" t="s">
        <v>998</v>
      </c>
      <c r="Z287" s="264">
        <v>31</v>
      </c>
      <c r="AA287" s="264" t="s">
        <v>999</v>
      </c>
      <c r="AB287" s="264">
        <v>31</v>
      </c>
      <c r="AC287" s="264" t="s">
        <v>999</v>
      </c>
      <c r="AD287" s="264" t="s">
        <v>1000</v>
      </c>
      <c r="AE287" s="264" t="s">
        <v>1000</v>
      </c>
      <c r="AF287" s="264" t="s">
        <v>1000</v>
      </c>
      <c r="AG287" s="264" t="s">
        <v>1000</v>
      </c>
      <c r="AH287" s="264" t="s">
        <v>1002</v>
      </c>
      <c r="AI287" s="264" t="s">
        <v>1002</v>
      </c>
      <c r="AJ287" s="264" t="s">
        <v>995</v>
      </c>
      <c r="AK287" s="264" t="s">
        <v>995</v>
      </c>
      <c r="AL287" s="264" t="s">
        <v>995</v>
      </c>
    </row>
    <row r="288" spans="1:38">
      <c r="A288" s="264">
        <v>1381</v>
      </c>
      <c r="B288" s="264" t="s">
        <v>311</v>
      </c>
      <c r="C288" s="264" t="s">
        <v>1194</v>
      </c>
      <c r="D288" s="264" t="s">
        <v>1004</v>
      </c>
      <c r="E288" s="264">
        <v>42111</v>
      </c>
      <c r="F288" s="264" t="s">
        <v>305</v>
      </c>
      <c r="G288" s="389">
        <v>28421</v>
      </c>
      <c r="H288" s="264">
        <v>46</v>
      </c>
      <c r="I288" s="389">
        <v>41072</v>
      </c>
      <c r="K288" s="390">
        <v>42278</v>
      </c>
      <c r="L288" s="264">
        <v>20</v>
      </c>
      <c r="M288" s="264" t="s">
        <v>1015</v>
      </c>
      <c r="N288" s="264">
        <v>1</v>
      </c>
      <c r="O288" s="264" t="s">
        <v>829</v>
      </c>
      <c r="P288" s="264" t="s">
        <v>994</v>
      </c>
      <c r="Q288" s="264" t="s">
        <v>1009</v>
      </c>
      <c r="R288" s="264" t="s">
        <v>1010</v>
      </c>
      <c r="S288" s="264" t="s">
        <v>996</v>
      </c>
      <c r="T288" s="264" t="s">
        <v>997</v>
      </c>
      <c r="U288" s="264" t="s">
        <v>995</v>
      </c>
      <c r="V288" s="264" t="s">
        <v>995</v>
      </c>
      <c r="W288" s="264" t="s">
        <v>995</v>
      </c>
      <c r="X288" s="264" t="s">
        <v>828</v>
      </c>
      <c r="Y288" s="264" t="s">
        <v>998</v>
      </c>
      <c r="Z288" s="264">
        <v>31</v>
      </c>
      <c r="AA288" s="264" t="s">
        <v>999</v>
      </c>
      <c r="AB288" s="264">
        <v>31</v>
      </c>
      <c r="AC288" s="264" t="s">
        <v>999</v>
      </c>
      <c r="AD288" s="264" t="s">
        <v>1000</v>
      </c>
      <c r="AE288" s="264" t="s">
        <v>1000</v>
      </c>
      <c r="AF288" s="264" t="s">
        <v>1000</v>
      </c>
      <c r="AG288" s="264" t="s">
        <v>1000</v>
      </c>
      <c r="AH288" s="264" t="s">
        <v>1002</v>
      </c>
      <c r="AI288" s="264" t="s">
        <v>1002</v>
      </c>
      <c r="AJ288" s="264" t="s">
        <v>995</v>
      </c>
      <c r="AK288" s="264" t="s">
        <v>1010</v>
      </c>
      <c r="AL288" s="264" t="s">
        <v>995</v>
      </c>
    </row>
    <row r="289" spans="1:38">
      <c r="A289" s="264">
        <v>1443</v>
      </c>
      <c r="B289" s="264" t="s">
        <v>1195</v>
      </c>
      <c r="C289" s="264" t="s">
        <v>1196</v>
      </c>
      <c r="D289" s="264" t="s">
        <v>1004</v>
      </c>
      <c r="E289" s="264">
        <v>42111</v>
      </c>
      <c r="F289" s="264" t="s">
        <v>305</v>
      </c>
      <c r="G289" s="389">
        <v>29212</v>
      </c>
      <c r="H289" s="264">
        <v>44</v>
      </c>
      <c r="I289" s="389">
        <v>44937</v>
      </c>
      <c r="K289" s="390">
        <v>44927</v>
      </c>
      <c r="L289" s="264">
        <v>20</v>
      </c>
      <c r="M289" s="264" t="s">
        <v>1015</v>
      </c>
      <c r="N289" s="264">
        <v>1</v>
      </c>
      <c r="O289" s="264" t="s">
        <v>829</v>
      </c>
      <c r="P289" s="264" t="s">
        <v>994</v>
      </c>
      <c r="Q289" s="264" t="s">
        <v>1009</v>
      </c>
      <c r="R289" s="264" t="s">
        <v>1010</v>
      </c>
      <c r="S289" s="264" t="s">
        <v>996</v>
      </c>
      <c r="T289" s="264" t="s">
        <v>997</v>
      </c>
      <c r="U289" s="264" t="s">
        <v>995</v>
      </c>
      <c r="V289" s="264" t="s">
        <v>995</v>
      </c>
      <c r="W289" s="264" t="s">
        <v>995</v>
      </c>
      <c r="X289" s="264" t="s">
        <v>828</v>
      </c>
      <c r="Y289" s="264" t="s">
        <v>998</v>
      </c>
      <c r="Z289" s="264">
        <v>31</v>
      </c>
      <c r="AA289" s="264" t="s">
        <v>999</v>
      </c>
      <c r="AB289" s="264">
        <v>31</v>
      </c>
      <c r="AC289" s="264" t="s">
        <v>999</v>
      </c>
      <c r="AD289" s="264" t="s">
        <v>1000</v>
      </c>
      <c r="AE289" s="264" t="s">
        <v>1000</v>
      </c>
      <c r="AF289" s="264" t="s">
        <v>1000</v>
      </c>
      <c r="AG289" s="264" t="s">
        <v>1000</v>
      </c>
      <c r="AH289" s="264" t="s">
        <v>1002</v>
      </c>
      <c r="AI289" s="264" t="s">
        <v>1002</v>
      </c>
      <c r="AJ289" s="264" t="s">
        <v>995</v>
      </c>
      <c r="AK289" s="264" t="s">
        <v>995</v>
      </c>
      <c r="AL289" s="264" t="s">
        <v>995</v>
      </c>
    </row>
    <row r="290" spans="1:38">
      <c r="A290" s="264">
        <v>1450</v>
      </c>
      <c r="B290" s="264" t="s">
        <v>1197</v>
      </c>
      <c r="C290" s="264" t="s">
        <v>1198</v>
      </c>
      <c r="D290" s="264" t="s">
        <v>991</v>
      </c>
      <c r="E290" s="264">
        <v>42111</v>
      </c>
      <c r="F290" s="264" t="s">
        <v>305</v>
      </c>
      <c r="G290" s="389">
        <v>34578</v>
      </c>
      <c r="H290" s="264">
        <v>29</v>
      </c>
      <c r="I290" s="389">
        <v>45170</v>
      </c>
      <c r="K290" s="390">
        <v>45200</v>
      </c>
      <c r="L290" s="264">
        <v>20</v>
      </c>
      <c r="M290" s="264" t="s">
        <v>1015</v>
      </c>
      <c r="N290" s="264">
        <v>1</v>
      </c>
      <c r="O290" s="264" t="s">
        <v>829</v>
      </c>
      <c r="P290" s="264" t="s">
        <v>994</v>
      </c>
      <c r="Q290" s="264" t="s">
        <v>1009</v>
      </c>
      <c r="R290" s="264" t="s">
        <v>1010</v>
      </c>
      <c r="S290" s="264" t="s">
        <v>996</v>
      </c>
      <c r="T290" s="264" t="s">
        <v>997</v>
      </c>
      <c r="U290" s="264" t="s">
        <v>995</v>
      </c>
      <c r="V290" s="264" t="s">
        <v>995</v>
      </c>
      <c r="W290" s="264" t="s">
        <v>995</v>
      </c>
      <c r="X290" s="264" t="s">
        <v>828</v>
      </c>
      <c r="Y290" s="264" t="s">
        <v>998</v>
      </c>
      <c r="Z290" s="264">
        <v>31</v>
      </c>
      <c r="AA290" s="264" t="s">
        <v>999</v>
      </c>
      <c r="AB290" s="264">
        <v>31</v>
      </c>
      <c r="AC290" s="264" t="s">
        <v>999</v>
      </c>
      <c r="AD290" s="264" t="s">
        <v>1000</v>
      </c>
      <c r="AE290" s="264" t="s">
        <v>1000</v>
      </c>
      <c r="AF290" s="264" t="s">
        <v>1000</v>
      </c>
      <c r="AG290" s="264" t="s">
        <v>1000</v>
      </c>
      <c r="AH290" s="264" t="s">
        <v>1002</v>
      </c>
      <c r="AI290" s="264" t="s">
        <v>1002</v>
      </c>
      <c r="AJ290" s="264" t="s">
        <v>995</v>
      </c>
      <c r="AK290" s="264" t="s">
        <v>995</v>
      </c>
      <c r="AL290" s="264" t="s">
        <v>995</v>
      </c>
    </row>
    <row r="291" spans="1:38">
      <c r="A291" s="264">
        <v>2893</v>
      </c>
      <c r="B291" s="264" t="s">
        <v>309</v>
      </c>
      <c r="C291" s="264" t="s">
        <v>1199</v>
      </c>
      <c r="D291" s="264" t="s">
        <v>1004</v>
      </c>
      <c r="E291" s="264">
        <v>42111</v>
      </c>
      <c r="F291" s="264" t="s">
        <v>305</v>
      </c>
      <c r="G291" s="389">
        <v>26746</v>
      </c>
      <c r="H291" s="264">
        <v>50</v>
      </c>
      <c r="I291" s="389">
        <v>33322</v>
      </c>
      <c r="K291" s="390">
        <v>42278</v>
      </c>
      <c r="L291" s="264">
        <v>20</v>
      </c>
      <c r="M291" s="264" t="s">
        <v>1015</v>
      </c>
      <c r="N291" s="264">
        <v>1</v>
      </c>
      <c r="O291" s="264" t="s">
        <v>829</v>
      </c>
      <c r="P291" s="264" t="s">
        <v>994</v>
      </c>
      <c r="Q291" s="264" t="s">
        <v>1009</v>
      </c>
      <c r="R291" s="264" t="s">
        <v>1010</v>
      </c>
      <c r="S291" s="264" t="s">
        <v>996</v>
      </c>
      <c r="T291" s="264" t="s">
        <v>997</v>
      </c>
      <c r="U291" s="264" t="s">
        <v>995</v>
      </c>
      <c r="V291" s="264" t="s">
        <v>995</v>
      </c>
      <c r="W291" s="264" t="s">
        <v>995</v>
      </c>
      <c r="X291" s="264" t="s">
        <v>828</v>
      </c>
      <c r="Y291" s="264" t="s">
        <v>998</v>
      </c>
      <c r="Z291" s="264">
        <v>31</v>
      </c>
      <c r="AA291" s="264" t="s">
        <v>999</v>
      </c>
      <c r="AB291" s="264">
        <v>31</v>
      </c>
      <c r="AC291" s="264" t="s">
        <v>999</v>
      </c>
      <c r="AD291" s="264" t="s">
        <v>1000</v>
      </c>
      <c r="AE291" s="264" t="s">
        <v>1000</v>
      </c>
      <c r="AF291" s="264" t="s">
        <v>1000</v>
      </c>
      <c r="AG291" s="264" t="s">
        <v>1000</v>
      </c>
      <c r="AH291" s="264" t="s">
        <v>1002</v>
      </c>
      <c r="AI291" s="264" t="s">
        <v>1002</v>
      </c>
      <c r="AJ291" s="264" t="s">
        <v>995</v>
      </c>
      <c r="AK291" s="264" t="s">
        <v>995</v>
      </c>
      <c r="AL291" s="264" t="s">
        <v>995</v>
      </c>
    </row>
    <row r="292" spans="1:38">
      <c r="A292" s="264">
        <v>2908</v>
      </c>
      <c r="B292" s="264" t="s">
        <v>310</v>
      </c>
      <c r="C292" s="264" t="s">
        <v>1200</v>
      </c>
      <c r="D292" s="264" t="s">
        <v>1004</v>
      </c>
      <c r="E292" s="264">
        <v>42111</v>
      </c>
      <c r="F292" s="264" t="s">
        <v>305</v>
      </c>
      <c r="G292" s="389">
        <v>26758</v>
      </c>
      <c r="H292" s="264">
        <v>50</v>
      </c>
      <c r="I292" s="389">
        <v>33686</v>
      </c>
      <c r="K292" s="390">
        <v>42278</v>
      </c>
      <c r="L292" s="264">
        <v>20</v>
      </c>
      <c r="M292" s="264" t="s">
        <v>1015</v>
      </c>
      <c r="N292" s="264">
        <v>1</v>
      </c>
      <c r="O292" s="264" t="s">
        <v>829</v>
      </c>
      <c r="P292" s="264" t="s">
        <v>994</v>
      </c>
      <c r="Q292" s="264" t="s">
        <v>1009</v>
      </c>
      <c r="R292" s="264" t="s">
        <v>1010</v>
      </c>
      <c r="S292" s="264" t="s">
        <v>996</v>
      </c>
      <c r="T292" s="264" t="s">
        <v>997</v>
      </c>
      <c r="U292" s="264" t="s">
        <v>995</v>
      </c>
      <c r="V292" s="264" t="s">
        <v>995</v>
      </c>
      <c r="W292" s="264" t="s">
        <v>995</v>
      </c>
      <c r="X292" s="264" t="s">
        <v>828</v>
      </c>
      <c r="Y292" s="264" t="s">
        <v>998</v>
      </c>
      <c r="Z292" s="264">
        <v>31</v>
      </c>
      <c r="AA292" s="264" t="s">
        <v>999</v>
      </c>
      <c r="AB292" s="264">
        <v>31</v>
      </c>
      <c r="AC292" s="264" t="s">
        <v>999</v>
      </c>
      <c r="AD292" s="264" t="s">
        <v>1000</v>
      </c>
      <c r="AE292" s="264" t="s">
        <v>1000</v>
      </c>
      <c r="AF292" s="264" t="s">
        <v>1000</v>
      </c>
      <c r="AG292" s="264" t="s">
        <v>1000</v>
      </c>
      <c r="AH292" s="264" t="s">
        <v>1002</v>
      </c>
      <c r="AI292" s="264" t="s">
        <v>1002</v>
      </c>
      <c r="AJ292" s="264" t="s">
        <v>995</v>
      </c>
      <c r="AK292" s="264" t="s">
        <v>995</v>
      </c>
      <c r="AL292" s="264" t="s">
        <v>995</v>
      </c>
    </row>
    <row r="293" spans="1:38">
      <c r="A293" s="264">
        <v>3027</v>
      </c>
      <c r="B293" s="264" t="s">
        <v>308</v>
      </c>
      <c r="C293" s="264" t="s">
        <v>1201</v>
      </c>
      <c r="D293" s="264" t="s">
        <v>1004</v>
      </c>
      <c r="E293" s="264">
        <v>42111</v>
      </c>
      <c r="F293" s="264" t="s">
        <v>305</v>
      </c>
      <c r="G293" s="389">
        <v>26709</v>
      </c>
      <c r="H293" s="264">
        <v>50</v>
      </c>
      <c r="I293" s="389">
        <v>34780</v>
      </c>
      <c r="K293" s="390">
        <v>42278</v>
      </c>
      <c r="L293" s="264">
        <v>20</v>
      </c>
      <c r="M293" s="264" t="s">
        <v>1015</v>
      </c>
      <c r="N293" s="264">
        <v>1</v>
      </c>
      <c r="O293" s="264" t="s">
        <v>829</v>
      </c>
      <c r="P293" s="264" t="s">
        <v>994</v>
      </c>
      <c r="Q293" s="264" t="s">
        <v>1009</v>
      </c>
      <c r="R293" s="264" t="s">
        <v>1010</v>
      </c>
      <c r="S293" s="264" t="s">
        <v>996</v>
      </c>
      <c r="T293" s="264" t="s">
        <v>997</v>
      </c>
      <c r="U293" s="264" t="s">
        <v>995</v>
      </c>
      <c r="V293" s="264" t="s">
        <v>995</v>
      </c>
      <c r="W293" s="264" t="s">
        <v>995</v>
      </c>
      <c r="X293" s="264" t="s">
        <v>828</v>
      </c>
      <c r="Y293" s="264" t="s">
        <v>998</v>
      </c>
      <c r="Z293" s="264">
        <v>31</v>
      </c>
      <c r="AA293" s="264" t="s">
        <v>999</v>
      </c>
      <c r="AB293" s="264">
        <v>31</v>
      </c>
      <c r="AC293" s="264" t="s">
        <v>999</v>
      </c>
      <c r="AD293" s="264" t="s">
        <v>1000</v>
      </c>
      <c r="AE293" s="264" t="s">
        <v>1000</v>
      </c>
      <c r="AF293" s="264" t="s">
        <v>1000</v>
      </c>
      <c r="AG293" s="264" t="s">
        <v>1000</v>
      </c>
      <c r="AH293" s="264" t="s">
        <v>1002</v>
      </c>
      <c r="AI293" s="264" t="s">
        <v>1002</v>
      </c>
      <c r="AJ293" s="264" t="s">
        <v>995</v>
      </c>
      <c r="AK293" s="264" t="s">
        <v>995</v>
      </c>
      <c r="AL293" s="264" t="s">
        <v>995</v>
      </c>
    </row>
    <row r="294" spans="1:38">
      <c r="A294" s="264">
        <v>3250</v>
      </c>
      <c r="B294" s="264" t="s">
        <v>346</v>
      </c>
      <c r="C294" s="264" t="s">
        <v>1202</v>
      </c>
      <c r="D294" s="264" t="s">
        <v>1004</v>
      </c>
      <c r="E294" s="264">
        <v>42111</v>
      </c>
      <c r="F294" s="264" t="s">
        <v>305</v>
      </c>
      <c r="G294" s="389">
        <v>32148</v>
      </c>
      <c r="H294" s="264">
        <v>36</v>
      </c>
      <c r="I294" s="389">
        <v>38797</v>
      </c>
      <c r="K294" s="390">
        <v>42278</v>
      </c>
      <c r="L294" s="264">
        <v>20</v>
      </c>
      <c r="M294" s="264" t="s">
        <v>1015</v>
      </c>
      <c r="N294" s="264">
        <v>1</v>
      </c>
      <c r="O294" s="264" t="s">
        <v>829</v>
      </c>
      <c r="P294" s="264" t="s">
        <v>994</v>
      </c>
      <c r="Q294" s="264" t="s">
        <v>1009</v>
      </c>
      <c r="R294" s="264" t="s">
        <v>1010</v>
      </c>
      <c r="S294" s="264" t="s">
        <v>996</v>
      </c>
      <c r="T294" s="264" t="s">
        <v>997</v>
      </c>
      <c r="U294" s="264" t="s">
        <v>995</v>
      </c>
      <c r="V294" s="264" t="s">
        <v>995</v>
      </c>
      <c r="W294" s="264" t="s">
        <v>995</v>
      </c>
      <c r="X294" s="264" t="s">
        <v>828</v>
      </c>
      <c r="Y294" s="264" t="s">
        <v>998</v>
      </c>
      <c r="Z294" s="264">
        <v>31</v>
      </c>
      <c r="AA294" s="264" t="s">
        <v>999</v>
      </c>
      <c r="AB294" s="264">
        <v>31</v>
      </c>
      <c r="AC294" s="264" t="s">
        <v>999</v>
      </c>
      <c r="AD294" s="264" t="s">
        <v>1000</v>
      </c>
      <c r="AE294" s="264" t="s">
        <v>1000</v>
      </c>
      <c r="AF294" s="264" t="s">
        <v>1000</v>
      </c>
      <c r="AG294" s="264" t="s">
        <v>1000</v>
      </c>
      <c r="AH294" s="264" t="s">
        <v>1002</v>
      </c>
      <c r="AI294" s="264" t="s">
        <v>1002</v>
      </c>
      <c r="AJ294" s="264" t="s">
        <v>995</v>
      </c>
      <c r="AK294" s="264" t="s">
        <v>995</v>
      </c>
      <c r="AL294" s="264" t="s">
        <v>995</v>
      </c>
    </row>
    <row r="295" spans="1:38">
      <c r="A295" s="264">
        <v>3263</v>
      </c>
      <c r="B295" s="264" t="s">
        <v>340</v>
      </c>
      <c r="C295" s="264" t="s">
        <v>1203</v>
      </c>
      <c r="D295" s="264" t="s">
        <v>1004</v>
      </c>
      <c r="E295" s="264">
        <v>42111</v>
      </c>
      <c r="F295" s="264" t="s">
        <v>305</v>
      </c>
      <c r="G295" s="389">
        <v>32441</v>
      </c>
      <c r="H295" s="264">
        <v>35</v>
      </c>
      <c r="I295" s="389">
        <v>39162</v>
      </c>
      <c r="K295" s="390">
        <v>42278</v>
      </c>
      <c r="L295" s="264">
        <v>20</v>
      </c>
      <c r="M295" s="264" t="s">
        <v>1015</v>
      </c>
      <c r="N295" s="264">
        <v>1</v>
      </c>
      <c r="O295" s="264" t="s">
        <v>829</v>
      </c>
      <c r="P295" s="264" t="s">
        <v>994</v>
      </c>
      <c r="Q295" s="264" t="s">
        <v>1009</v>
      </c>
      <c r="R295" s="264" t="s">
        <v>1010</v>
      </c>
      <c r="S295" s="264" t="s">
        <v>996</v>
      </c>
      <c r="T295" s="264" t="s">
        <v>997</v>
      </c>
      <c r="U295" s="264" t="s">
        <v>995</v>
      </c>
      <c r="V295" s="264" t="s">
        <v>995</v>
      </c>
      <c r="W295" s="264" t="s">
        <v>995</v>
      </c>
      <c r="X295" s="264" t="s">
        <v>828</v>
      </c>
      <c r="Y295" s="264" t="s">
        <v>998</v>
      </c>
      <c r="Z295" s="264">
        <v>31</v>
      </c>
      <c r="AA295" s="264" t="s">
        <v>999</v>
      </c>
      <c r="AB295" s="264">
        <v>31</v>
      </c>
      <c r="AC295" s="264" t="s">
        <v>999</v>
      </c>
      <c r="AD295" s="264" t="s">
        <v>1000</v>
      </c>
      <c r="AE295" s="264" t="s">
        <v>1000</v>
      </c>
      <c r="AF295" s="264" t="s">
        <v>1000</v>
      </c>
      <c r="AG295" s="264" t="s">
        <v>1000</v>
      </c>
      <c r="AH295" s="264" t="s">
        <v>1002</v>
      </c>
      <c r="AI295" s="264" t="s">
        <v>1002</v>
      </c>
      <c r="AJ295" s="264" t="s">
        <v>995</v>
      </c>
      <c r="AK295" s="264" t="s">
        <v>995</v>
      </c>
      <c r="AL295" s="264" t="s">
        <v>995</v>
      </c>
    </row>
    <row r="296" spans="1:38">
      <c r="A296" s="264">
        <v>3286</v>
      </c>
      <c r="B296" s="264" t="s">
        <v>341</v>
      </c>
      <c r="C296" s="264" t="s">
        <v>1204</v>
      </c>
      <c r="D296" s="264" t="s">
        <v>1004</v>
      </c>
      <c r="E296" s="264">
        <v>42111</v>
      </c>
      <c r="F296" s="264" t="s">
        <v>305</v>
      </c>
      <c r="G296" s="389">
        <v>32846</v>
      </c>
      <c r="H296" s="264">
        <v>34</v>
      </c>
      <c r="I296" s="389">
        <v>39528</v>
      </c>
      <c r="K296" s="390">
        <v>42278</v>
      </c>
      <c r="L296" s="264">
        <v>20</v>
      </c>
      <c r="M296" s="264" t="s">
        <v>1015</v>
      </c>
      <c r="N296" s="264">
        <v>1</v>
      </c>
      <c r="O296" s="264" t="s">
        <v>829</v>
      </c>
      <c r="P296" s="264" t="s">
        <v>994</v>
      </c>
      <c r="Q296" s="264" t="s">
        <v>1009</v>
      </c>
      <c r="R296" s="264" t="s">
        <v>1010</v>
      </c>
      <c r="S296" s="264" t="s">
        <v>996</v>
      </c>
      <c r="T296" s="264" t="s">
        <v>997</v>
      </c>
      <c r="U296" s="264" t="s">
        <v>995</v>
      </c>
      <c r="V296" s="264" t="s">
        <v>995</v>
      </c>
      <c r="W296" s="264" t="s">
        <v>995</v>
      </c>
      <c r="X296" s="264" t="s">
        <v>828</v>
      </c>
      <c r="Y296" s="264" t="s">
        <v>998</v>
      </c>
      <c r="Z296" s="264">
        <v>31</v>
      </c>
      <c r="AA296" s="264" t="s">
        <v>999</v>
      </c>
      <c r="AB296" s="264">
        <v>31</v>
      </c>
      <c r="AC296" s="264" t="s">
        <v>999</v>
      </c>
      <c r="AD296" s="264" t="s">
        <v>1000</v>
      </c>
      <c r="AE296" s="264" t="s">
        <v>1000</v>
      </c>
      <c r="AF296" s="264" t="s">
        <v>1000</v>
      </c>
      <c r="AG296" s="264" t="s">
        <v>1000</v>
      </c>
      <c r="AH296" s="264" t="s">
        <v>1002</v>
      </c>
      <c r="AI296" s="264" t="s">
        <v>1002</v>
      </c>
      <c r="AJ296" s="264" t="s">
        <v>995</v>
      </c>
      <c r="AK296" s="264" t="s">
        <v>995</v>
      </c>
      <c r="AL296" s="264" t="s">
        <v>995</v>
      </c>
    </row>
    <row r="297" spans="1:38">
      <c r="A297" s="264">
        <v>3312</v>
      </c>
      <c r="B297" s="264" t="s">
        <v>312</v>
      </c>
      <c r="C297" s="264" t="s">
        <v>1205</v>
      </c>
      <c r="D297" s="264" t="s">
        <v>1004</v>
      </c>
      <c r="E297" s="264">
        <v>42111</v>
      </c>
      <c r="F297" s="264" t="s">
        <v>305</v>
      </c>
      <c r="G297" s="389">
        <v>33171</v>
      </c>
      <c r="H297" s="264">
        <v>33</v>
      </c>
      <c r="I297" s="389">
        <v>39895</v>
      </c>
      <c r="K297" s="390">
        <v>42278</v>
      </c>
      <c r="L297" s="264">
        <v>20</v>
      </c>
      <c r="M297" s="264" t="s">
        <v>1015</v>
      </c>
      <c r="N297" s="264">
        <v>1</v>
      </c>
      <c r="O297" s="264" t="s">
        <v>829</v>
      </c>
      <c r="P297" s="264" t="s">
        <v>994</v>
      </c>
      <c r="Q297" s="264" t="s">
        <v>1009</v>
      </c>
      <c r="R297" s="264" t="s">
        <v>1010</v>
      </c>
      <c r="S297" s="264" t="s">
        <v>996</v>
      </c>
      <c r="T297" s="264" t="s">
        <v>997</v>
      </c>
      <c r="U297" s="264" t="s">
        <v>995</v>
      </c>
      <c r="V297" s="264" t="s">
        <v>995</v>
      </c>
      <c r="W297" s="264" t="s">
        <v>995</v>
      </c>
      <c r="X297" s="264" t="s">
        <v>828</v>
      </c>
      <c r="Y297" s="264" t="s">
        <v>998</v>
      </c>
      <c r="Z297" s="264">
        <v>31</v>
      </c>
      <c r="AA297" s="264" t="s">
        <v>999</v>
      </c>
      <c r="AB297" s="264">
        <v>31</v>
      </c>
      <c r="AC297" s="264" t="s">
        <v>999</v>
      </c>
      <c r="AD297" s="264" t="s">
        <v>1000</v>
      </c>
      <c r="AE297" s="264" t="s">
        <v>1000</v>
      </c>
      <c r="AF297" s="264" t="s">
        <v>1000</v>
      </c>
      <c r="AG297" s="264" t="s">
        <v>1000</v>
      </c>
      <c r="AH297" s="264" t="s">
        <v>1002</v>
      </c>
      <c r="AI297" s="264" t="s">
        <v>1002</v>
      </c>
      <c r="AJ297" s="264" t="s">
        <v>995</v>
      </c>
      <c r="AK297" s="264" t="s">
        <v>995</v>
      </c>
      <c r="AL297" s="264" t="s">
        <v>995</v>
      </c>
    </row>
    <row r="298" spans="1:38">
      <c r="A298" s="264">
        <v>3397</v>
      </c>
      <c r="B298" s="264" t="s">
        <v>307</v>
      </c>
      <c r="C298" s="264" t="s">
        <v>1206</v>
      </c>
      <c r="D298" s="264" t="s">
        <v>1004</v>
      </c>
      <c r="E298" s="264">
        <v>42111</v>
      </c>
      <c r="F298" s="264" t="s">
        <v>305</v>
      </c>
      <c r="G298" s="389">
        <v>34673</v>
      </c>
      <c r="H298" s="264">
        <v>29</v>
      </c>
      <c r="I298" s="389">
        <v>41354</v>
      </c>
      <c r="K298" s="390">
        <v>42278</v>
      </c>
      <c r="L298" s="264">
        <v>20</v>
      </c>
      <c r="M298" s="264" t="s">
        <v>1015</v>
      </c>
      <c r="N298" s="264">
        <v>1</v>
      </c>
      <c r="O298" s="264" t="s">
        <v>829</v>
      </c>
      <c r="P298" s="264" t="s">
        <v>994</v>
      </c>
      <c r="Q298" s="264" t="s">
        <v>1009</v>
      </c>
      <c r="R298" s="264" t="s">
        <v>1010</v>
      </c>
      <c r="S298" s="264" t="s">
        <v>996</v>
      </c>
      <c r="T298" s="264" t="s">
        <v>997</v>
      </c>
      <c r="U298" s="264" t="s">
        <v>995</v>
      </c>
      <c r="V298" s="264" t="s">
        <v>995</v>
      </c>
      <c r="W298" s="264" t="s">
        <v>995</v>
      </c>
      <c r="X298" s="264" t="s">
        <v>828</v>
      </c>
      <c r="Y298" s="264" t="s">
        <v>998</v>
      </c>
      <c r="Z298" s="264">
        <v>31</v>
      </c>
      <c r="AA298" s="264" t="s">
        <v>999</v>
      </c>
      <c r="AB298" s="264">
        <v>31</v>
      </c>
      <c r="AC298" s="264" t="s">
        <v>999</v>
      </c>
      <c r="AD298" s="264" t="s">
        <v>1000</v>
      </c>
      <c r="AE298" s="264" t="s">
        <v>1000</v>
      </c>
      <c r="AF298" s="264" t="s">
        <v>1000</v>
      </c>
      <c r="AG298" s="264" t="s">
        <v>1000</v>
      </c>
      <c r="AH298" s="264" t="s">
        <v>1002</v>
      </c>
      <c r="AI298" s="264" t="s">
        <v>1002</v>
      </c>
      <c r="AJ298" s="264" t="s">
        <v>995</v>
      </c>
      <c r="AK298" s="264" t="s">
        <v>995</v>
      </c>
      <c r="AL298" s="264" t="s">
        <v>995</v>
      </c>
    </row>
    <row r="299" spans="1:38">
      <c r="A299" s="264">
        <v>3438</v>
      </c>
      <c r="B299" s="264" t="s">
        <v>342</v>
      </c>
      <c r="C299" s="264" t="s">
        <v>1207</v>
      </c>
      <c r="D299" s="264" t="s">
        <v>1004</v>
      </c>
      <c r="E299" s="264">
        <v>42111</v>
      </c>
      <c r="F299" s="264" t="s">
        <v>305</v>
      </c>
      <c r="G299" s="389">
        <v>35248</v>
      </c>
      <c r="H299" s="264">
        <v>27</v>
      </c>
      <c r="I299" s="389">
        <v>42095</v>
      </c>
      <c r="K299" s="390">
        <v>42278</v>
      </c>
      <c r="L299" s="264">
        <v>20</v>
      </c>
      <c r="M299" s="264" t="s">
        <v>1015</v>
      </c>
      <c r="N299" s="264">
        <v>1</v>
      </c>
      <c r="O299" s="264" t="s">
        <v>829</v>
      </c>
      <c r="P299" s="264" t="s">
        <v>994</v>
      </c>
      <c r="Q299" s="264" t="s">
        <v>1009</v>
      </c>
      <c r="R299" s="264" t="s">
        <v>1010</v>
      </c>
      <c r="S299" s="264" t="s">
        <v>996</v>
      </c>
      <c r="T299" s="264" t="s">
        <v>997</v>
      </c>
      <c r="U299" s="264" t="s">
        <v>995</v>
      </c>
      <c r="V299" s="264" t="s">
        <v>995</v>
      </c>
      <c r="W299" s="264" t="s">
        <v>995</v>
      </c>
      <c r="X299" s="264" t="s">
        <v>828</v>
      </c>
      <c r="Y299" s="264" t="s">
        <v>998</v>
      </c>
      <c r="Z299" s="264">
        <v>31</v>
      </c>
      <c r="AA299" s="264" t="s">
        <v>999</v>
      </c>
      <c r="AB299" s="264">
        <v>31</v>
      </c>
      <c r="AC299" s="264" t="s">
        <v>999</v>
      </c>
      <c r="AD299" s="264" t="s">
        <v>1000</v>
      </c>
      <c r="AE299" s="264" t="s">
        <v>1000</v>
      </c>
      <c r="AF299" s="264" t="s">
        <v>1000</v>
      </c>
      <c r="AG299" s="264" t="s">
        <v>1000</v>
      </c>
      <c r="AH299" s="264" t="s">
        <v>1002</v>
      </c>
      <c r="AI299" s="264" t="s">
        <v>1002</v>
      </c>
      <c r="AJ299" s="264" t="s">
        <v>995</v>
      </c>
      <c r="AK299" s="264" t="s">
        <v>995</v>
      </c>
      <c r="AL299" s="264" t="s">
        <v>995</v>
      </c>
    </row>
    <row r="300" spans="1:38">
      <c r="A300" s="264">
        <v>3505</v>
      </c>
      <c r="B300" s="264" t="s">
        <v>513</v>
      </c>
      <c r="C300" s="264" t="s">
        <v>1208</v>
      </c>
      <c r="D300" s="264" t="s">
        <v>991</v>
      </c>
      <c r="E300" s="264">
        <v>42111</v>
      </c>
      <c r="F300" s="264" t="s">
        <v>305</v>
      </c>
      <c r="G300" s="389">
        <v>36656</v>
      </c>
      <c r="H300" s="264">
        <v>23</v>
      </c>
      <c r="I300" s="389">
        <v>43556</v>
      </c>
      <c r="K300" s="390">
        <v>44927</v>
      </c>
      <c r="L300" s="264">
        <v>20</v>
      </c>
      <c r="M300" s="264" t="s">
        <v>1015</v>
      </c>
      <c r="N300" s="264">
        <v>1</v>
      </c>
      <c r="O300" s="264" t="s">
        <v>829</v>
      </c>
      <c r="P300" s="264" t="s">
        <v>994</v>
      </c>
      <c r="Q300" s="264" t="s">
        <v>1009</v>
      </c>
      <c r="R300" s="264" t="s">
        <v>1010</v>
      </c>
      <c r="S300" s="264" t="s">
        <v>996</v>
      </c>
      <c r="T300" s="264" t="s">
        <v>997</v>
      </c>
      <c r="U300" s="264" t="s">
        <v>995</v>
      </c>
      <c r="V300" s="264" t="s">
        <v>995</v>
      </c>
      <c r="W300" s="264" t="s">
        <v>995</v>
      </c>
      <c r="X300" s="264" t="s">
        <v>828</v>
      </c>
      <c r="Y300" s="264" t="s">
        <v>998</v>
      </c>
      <c r="Z300" s="264">
        <v>31</v>
      </c>
      <c r="AA300" s="264" t="s">
        <v>999</v>
      </c>
      <c r="AB300" s="264">
        <v>31</v>
      </c>
      <c r="AC300" s="264" t="s">
        <v>999</v>
      </c>
      <c r="AD300" s="264" t="s">
        <v>1000</v>
      </c>
      <c r="AE300" s="264" t="s">
        <v>1000</v>
      </c>
      <c r="AF300" s="264" t="s">
        <v>1000</v>
      </c>
      <c r="AG300" s="264" t="s">
        <v>1000</v>
      </c>
      <c r="AH300" s="264" t="s">
        <v>1039</v>
      </c>
      <c r="AI300" s="264" t="s">
        <v>1002</v>
      </c>
      <c r="AJ300" s="264" t="s">
        <v>995</v>
      </c>
      <c r="AK300" s="264" t="s">
        <v>995</v>
      </c>
      <c r="AL300" s="264" t="s">
        <v>995</v>
      </c>
    </row>
    <row r="301" spans="1:38">
      <c r="A301" s="264">
        <v>3518</v>
      </c>
      <c r="B301" s="264" t="s">
        <v>347</v>
      </c>
      <c r="C301" s="264" t="s">
        <v>1209</v>
      </c>
      <c r="D301" s="264" t="s">
        <v>1004</v>
      </c>
      <c r="E301" s="264">
        <v>42111</v>
      </c>
      <c r="F301" s="264" t="s">
        <v>305</v>
      </c>
      <c r="G301" s="389">
        <v>37282</v>
      </c>
      <c r="H301" s="264">
        <v>22</v>
      </c>
      <c r="I301" s="389">
        <v>43922</v>
      </c>
      <c r="K301" s="390">
        <v>43952</v>
      </c>
      <c r="L301" s="264">
        <v>20</v>
      </c>
      <c r="M301" s="264" t="s">
        <v>1015</v>
      </c>
      <c r="N301" s="264">
        <v>1</v>
      </c>
      <c r="O301" s="264" t="s">
        <v>829</v>
      </c>
      <c r="P301" s="264" t="s">
        <v>994</v>
      </c>
      <c r="Q301" s="264" t="s">
        <v>1009</v>
      </c>
      <c r="R301" s="264" t="s">
        <v>1010</v>
      </c>
      <c r="S301" s="264" t="s">
        <v>996</v>
      </c>
      <c r="T301" s="264" t="s">
        <v>997</v>
      </c>
      <c r="U301" s="264" t="s">
        <v>995</v>
      </c>
      <c r="V301" s="264" t="s">
        <v>995</v>
      </c>
      <c r="W301" s="264" t="s">
        <v>995</v>
      </c>
      <c r="X301" s="264" t="s">
        <v>828</v>
      </c>
      <c r="Y301" s="264" t="s">
        <v>998</v>
      </c>
      <c r="Z301" s="264">
        <v>31</v>
      </c>
      <c r="AA301" s="264" t="s">
        <v>999</v>
      </c>
      <c r="AB301" s="264">
        <v>31</v>
      </c>
      <c r="AC301" s="264" t="s">
        <v>999</v>
      </c>
      <c r="AD301" s="264" t="s">
        <v>1000</v>
      </c>
      <c r="AE301" s="264" t="s">
        <v>1000</v>
      </c>
      <c r="AF301" s="264" t="s">
        <v>1000</v>
      </c>
      <c r="AG301" s="264" t="s">
        <v>1000</v>
      </c>
      <c r="AH301" s="264" t="s">
        <v>1002</v>
      </c>
      <c r="AI301" s="264" t="s">
        <v>1002</v>
      </c>
      <c r="AJ301" s="264" t="s">
        <v>995</v>
      </c>
      <c r="AK301" s="264" t="s">
        <v>995</v>
      </c>
      <c r="AL301" s="264" t="s">
        <v>995</v>
      </c>
    </row>
    <row r="302" spans="1:38">
      <c r="A302" s="264">
        <v>3539</v>
      </c>
      <c r="B302" s="264" t="s">
        <v>1210</v>
      </c>
      <c r="C302" s="264" t="s">
        <v>1211</v>
      </c>
      <c r="D302" s="264" t="s">
        <v>1004</v>
      </c>
      <c r="E302" s="264">
        <v>42111</v>
      </c>
      <c r="F302" s="264" t="s">
        <v>305</v>
      </c>
      <c r="G302" s="389">
        <v>37538</v>
      </c>
      <c r="H302" s="264">
        <v>21</v>
      </c>
      <c r="I302" s="389">
        <v>45017</v>
      </c>
      <c r="K302" s="390">
        <v>45047</v>
      </c>
      <c r="L302" s="264">
        <v>20</v>
      </c>
      <c r="M302" s="264" t="s">
        <v>1015</v>
      </c>
      <c r="N302" s="264">
        <v>1</v>
      </c>
      <c r="O302" s="264" t="s">
        <v>829</v>
      </c>
      <c r="P302" s="264" t="s">
        <v>994</v>
      </c>
      <c r="Q302" s="264" t="s">
        <v>1009</v>
      </c>
      <c r="R302" s="264" t="s">
        <v>1010</v>
      </c>
      <c r="S302" s="264" t="s">
        <v>996</v>
      </c>
      <c r="T302" s="264" t="s">
        <v>997</v>
      </c>
      <c r="U302" s="264" t="s">
        <v>995</v>
      </c>
      <c r="V302" s="264" t="s">
        <v>995</v>
      </c>
      <c r="W302" s="264" t="s">
        <v>995</v>
      </c>
      <c r="X302" s="264" t="s">
        <v>828</v>
      </c>
      <c r="Y302" s="264" t="s">
        <v>998</v>
      </c>
      <c r="Z302" s="264">
        <v>31</v>
      </c>
      <c r="AA302" s="264" t="s">
        <v>999</v>
      </c>
      <c r="AB302" s="264">
        <v>31</v>
      </c>
      <c r="AC302" s="264" t="s">
        <v>999</v>
      </c>
      <c r="AD302" s="264" t="s">
        <v>1000</v>
      </c>
      <c r="AE302" s="264" t="s">
        <v>1000</v>
      </c>
      <c r="AF302" s="264" t="s">
        <v>1000</v>
      </c>
      <c r="AG302" s="264" t="s">
        <v>1000</v>
      </c>
      <c r="AH302" s="264" t="s">
        <v>1002</v>
      </c>
      <c r="AI302" s="264" t="s">
        <v>1002</v>
      </c>
      <c r="AJ302" s="264" t="s">
        <v>995</v>
      </c>
      <c r="AK302" s="264" t="s">
        <v>995</v>
      </c>
      <c r="AL302" s="264" t="s">
        <v>995</v>
      </c>
    </row>
    <row r="303" spans="1:38">
      <c r="A303" s="264">
        <v>3540</v>
      </c>
      <c r="B303" s="264" t="s">
        <v>1212</v>
      </c>
      <c r="C303" s="264" t="s">
        <v>1213</v>
      </c>
      <c r="D303" s="264" t="s">
        <v>1004</v>
      </c>
      <c r="E303" s="264">
        <v>42111</v>
      </c>
      <c r="F303" s="264" t="s">
        <v>305</v>
      </c>
      <c r="G303" s="389">
        <v>38225</v>
      </c>
      <c r="H303" s="264">
        <v>19</v>
      </c>
      <c r="I303" s="389">
        <v>45017</v>
      </c>
      <c r="K303" s="390">
        <v>45047</v>
      </c>
      <c r="L303" s="264">
        <v>20</v>
      </c>
      <c r="M303" s="264" t="s">
        <v>1015</v>
      </c>
      <c r="N303" s="264">
        <v>1</v>
      </c>
      <c r="O303" s="264" t="s">
        <v>829</v>
      </c>
      <c r="P303" s="264" t="s">
        <v>994</v>
      </c>
      <c r="Q303" s="264" t="s">
        <v>1009</v>
      </c>
      <c r="R303" s="264" t="s">
        <v>1010</v>
      </c>
      <c r="S303" s="264" t="s">
        <v>996</v>
      </c>
      <c r="T303" s="264" t="s">
        <v>997</v>
      </c>
      <c r="U303" s="264" t="s">
        <v>995</v>
      </c>
      <c r="V303" s="264" t="s">
        <v>995</v>
      </c>
      <c r="W303" s="264" t="s">
        <v>995</v>
      </c>
      <c r="X303" s="264" t="s">
        <v>828</v>
      </c>
      <c r="Y303" s="264" t="s">
        <v>998</v>
      </c>
      <c r="Z303" s="264">
        <v>31</v>
      </c>
      <c r="AA303" s="264" t="s">
        <v>999</v>
      </c>
      <c r="AB303" s="264">
        <v>31</v>
      </c>
      <c r="AC303" s="264" t="s">
        <v>999</v>
      </c>
      <c r="AD303" s="264" t="s">
        <v>1000</v>
      </c>
      <c r="AE303" s="264" t="s">
        <v>1000</v>
      </c>
      <c r="AF303" s="264" t="s">
        <v>1000</v>
      </c>
      <c r="AG303" s="264" t="s">
        <v>1000</v>
      </c>
      <c r="AH303" s="264" t="s">
        <v>1002</v>
      </c>
      <c r="AI303" s="264" t="s">
        <v>1002</v>
      </c>
      <c r="AJ303" s="264" t="s">
        <v>995</v>
      </c>
      <c r="AK303" s="264" t="s">
        <v>995</v>
      </c>
      <c r="AL303" s="264" t="s">
        <v>995</v>
      </c>
    </row>
    <row r="304" spans="1:38">
      <c r="A304" s="264">
        <v>3910</v>
      </c>
      <c r="B304" s="264" t="s">
        <v>338</v>
      </c>
      <c r="C304" s="264" t="s">
        <v>1214</v>
      </c>
      <c r="D304" s="264" t="s">
        <v>1004</v>
      </c>
      <c r="E304" s="264">
        <v>42111</v>
      </c>
      <c r="F304" s="264" t="s">
        <v>305</v>
      </c>
      <c r="G304" s="389">
        <v>27480</v>
      </c>
      <c r="H304" s="264">
        <v>48</v>
      </c>
      <c r="I304" s="389">
        <v>37885</v>
      </c>
      <c r="K304" s="390">
        <v>43862</v>
      </c>
      <c r="L304" s="264">
        <v>20</v>
      </c>
      <c r="M304" s="264" t="s">
        <v>1015</v>
      </c>
      <c r="N304" s="264">
        <v>1</v>
      </c>
      <c r="O304" s="264" t="s">
        <v>829</v>
      </c>
      <c r="P304" s="264" t="s">
        <v>994</v>
      </c>
      <c r="Q304" s="264" t="s">
        <v>1009</v>
      </c>
      <c r="R304" s="264" t="s">
        <v>1010</v>
      </c>
      <c r="S304" s="264" t="s">
        <v>996</v>
      </c>
      <c r="T304" s="264" t="s">
        <v>997</v>
      </c>
      <c r="U304" s="264" t="s">
        <v>995</v>
      </c>
      <c r="V304" s="264" t="s">
        <v>995</v>
      </c>
      <c r="W304" s="264" t="s">
        <v>995</v>
      </c>
      <c r="X304" s="264" t="s">
        <v>828</v>
      </c>
      <c r="Y304" s="264" t="s">
        <v>998</v>
      </c>
      <c r="Z304" s="264">
        <v>31</v>
      </c>
      <c r="AA304" s="264" t="s">
        <v>999</v>
      </c>
      <c r="AB304" s="264">
        <v>31</v>
      </c>
      <c r="AC304" s="264" t="s">
        <v>999</v>
      </c>
      <c r="AD304" s="264" t="s">
        <v>1000</v>
      </c>
      <c r="AE304" s="264" t="s">
        <v>1000</v>
      </c>
      <c r="AF304" s="264" t="s">
        <v>1000</v>
      </c>
      <c r="AG304" s="264" t="s">
        <v>1000</v>
      </c>
      <c r="AH304" s="264" t="s">
        <v>1002</v>
      </c>
      <c r="AI304" s="264" t="s">
        <v>1002</v>
      </c>
      <c r="AJ304" s="264" t="s">
        <v>995</v>
      </c>
      <c r="AK304" s="264" t="s">
        <v>995</v>
      </c>
      <c r="AL304" s="264" t="s">
        <v>995</v>
      </c>
    </row>
    <row r="305" spans="1:38">
      <c r="A305" s="264">
        <v>5164</v>
      </c>
      <c r="B305" s="264" t="s">
        <v>343</v>
      </c>
      <c r="C305" s="264" t="s">
        <v>1215</v>
      </c>
      <c r="D305" s="264" t="s">
        <v>1004</v>
      </c>
      <c r="E305" s="264">
        <v>42111</v>
      </c>
      <c r="F305" s="264" t="s">
        <v>305</v>
      </c>
      <c r="G305" s="389">
        <v>26166</v>
      </c>
      <c r="H305" s="264">
        <v>52</v>
      </c>
      <c r="I305" s="389">
        <v>32227</v>
      </c>
      <c r="K305" s="390">
        <v>42278</v>
      </c>
      <c r="L305" s="264">
        <v>20</v>
      </c>
      <c r="M305" s="264" t="s">
        <v>1015</v>
      </c>
      <c r="N305" s="264">
        <v>1</v>
      </c>
      <c r="O305" s="264" t="s">
        <v>829</v>
      </c>
      <c r="P305" s="264" t="s">
        <v>994</v>
      </c>
      <c r="Q305" s="264" t="s">
        <v>1009</v>
      </c>
      <c r="R305" s="264" t="s">
        <v>1010</v>
      </c>
      <c r="S305" s="264" t="s">
        <v>996</v>
      </c>
      <c r="T305" s="264" t="s">
        <v>997</v>
      </c>
      <c r="U305" s="264" t="s">
        <v>995</v>
      </c>
      <c r="V305" s="264" t="s">
        <v>995</v>
      </c>
      <c r="W305" s="264" t="s">
        <v>995</v>
      </c>
      <c r="X305" s="264" t="s">
        <v>828</v>
      </c>
      <c r="Y305" s="264" t="s">
        <v>998</v>
      </c>
      <c r="Z305" s="264">
        <v>31</v>
      </c>
      <c r="AA305" s="264" t="s">
        <v>999</v>
      </c>
      <c r="AB305" s="264">
        <v>31</v>
      </c>
      <c r="AC305" s="264" t="s">
        <v>999</v>
      </c>
      <c r="AD305" s="264" t="s">
        <v>1000</v>
      </c>
      <c r="AE305" s="264" t="s">
        <v>1000</v>
      </c>
      <c r="AF305" s="264" t="s">
        <v>1000</v>
      </c>
      <c r="AG305" s="264" t="s">
        <v>1000</v>
      </c>
      <c r="AH305" s="264" t="s">
        <v>1002</v>
      </c>
      <c r="AI305" s="264" t="s">
        <v>1002</v>
      </c>
      <c r="AJ305" s="264" t="s">
        <v>995</v>
      </c>
      <c r="AK305" s="264" t="s">
        <v>995</v>
      </c>
      <c r="AL305" s="264" t="s">
        <v>995</v>
      </c>
    </row>
    <row r="306" spans="1:38">
      <c r="A306" s="264">
        <v>5175</v>
      </c>
      <c r="B306" s="264" t="s">
        <v>344</v>
      </c>
      <c r="C306" s="264" t="s">
        <v>1216</v>
      </c>
      <c r="D306" s="264" t="s">
        <v>1004</v>
      </c>
      <c r="E306" s="264">
        <v>42111</v>
      </c>
      <c r="F306" s="264" t="s">
        <v>305</v>
      </c>
      <c r="G306" s="389">
        <v>26629</v>
      </c>
      <c r="H306" s="264">
        <v>51</v>
      </c>
      <c r="I306" s="389">
        <v>32954</v>
      </c>
      <c r="K306" s="390">
        <v>42278</v>
      </c>
      <c r="L306" s="264">
        <v>20</v>
      </c>
      <c r="M306" s="264" t="s">
        <v>1015</v>
      </c>
      <c r="N306" s="264">
        <v>1</v>
      </c>
      <c r="O306" s="264" t="s">
        <v>829</v>
      </c>
      <c r="P306" s="264" t="s">
        <v>994</v>
      </c>
      <c r="Q306" s="264" t="s">
        <v>1009</v>
      </c>
      <c r="R306" s="264" t="s">
        <v>1010</v>
      </c>
      <c r="S306" s="264" t="s">
        <v>996</v>
      </c>
      <c r="T306" s="264" t="s">
        <v>997</v>
      </c>
      <c r="U306" s="264" t="s">
        <v>995</v>
      </c>
      <c r="V306" s="264" t="s">
        <v>995</v>
      </c>
      <c r="W306" s="264" t="s">
        <v>995</v>
      </c>
      <c r="X306" s="264" t="s">
        <v>828</v>
      </c>
      <c r="Y306" s="264" t="s">
        <v>998</v>
      </c>
      <c r="Z306" s="264">
        <v>31</v>
      </c>
      <c r="AA306" s="264" t="s">
        <v>999</v>
      </c>
      <c r="AB306" s="264">
        <v>31</v>
      </c>
      <c r="AC306" s="264" t="s">
        <v>999</v>
      </c>
      <c r="AD306" s="264" t="s">
        <v>1000</v>
      </c>
      <c r="AE306" s="264" t="s">
        <v>1000</v>
      </c>
      <c r="AF306" s="264" t="s">
        <v>1000</v>
      </c>
      <c r="AG306" s="264" t="s">
        <v>1000</v>
      </c>
      <c r="AH306" s="264" t="s">
        <v>1002</v>
      </c>
      <c r="AI306" s="264" t="s">
        <v>1002</v>
      </c>
      <c r="AJ306" s="264" t="s">
        <v>995</v>
      </c>
      <c r="AK306" s="264" t="s">
        <v>995</v>
      </c>
      <c r="AL306" s="264" t="s">
        <v>995</v>
      </c>
    </row>
    <row r="307" spans="1:38">
      <c r="A307" s="264">
        <v>7953</v>
      </c>
      <c r="B307" s="264" t="s">
        <v>594</v>
      </c>
      <c r="C307" s="264" t="s">
        <v>1217</v>
      </c>
      <c r="D307" s="264" t="s">
        <v>991</v>
      </c>
      <c r="E307" s="264">
        <v>42121</v>
      </c>
      <c r="F307" s="264" t="s">
        <v>305</v>
      </c>
      <c r="G307" s="389">
        <v>28061</v>
      </c>
      <c r="H307" s="264">
        <v>47</v>
      </c>
      <c r="I307" s="389">
        <v>39300</v>
      </c>
      <c r="K307" s="390">
        <v>42278</v>
      </c>
      <c r="L307" s="264">
        <v>70</v>
      </c>
      <c r="M307" s="264" t="s">
        <v>1024</v>
      </c>
      <c r="N307" s="264">
        <v>1</v>
      </c>
      <c r="O307" s="264" t="s">
        <v>829</v>
      </c>
      <c r="P307" s="264" t="s">
        <v>994</v>
      </c>
      <c r="Q307" s="264" t="s">
        <v>1009</v>
      </c>
      <c r="R307" s="264" t="s">
        <v>1010</v>
      </c>
      <c r="S307" s="264" t="s">
        <v>996</v>
      </c>
      <c r="T307" s="264" t="s">
        <v>997</v>
      </c>
      <c r="U307" s="264" t="s">
        <v>995</v>
      </c>
      <c r="V307" s="264" t="s">
        <v>995</v>
      </c>
      <c r="W307" s="264" t="s">
        <v>995</v>
      </c>
      <c r="X307" s="264" t="s">
        <v>828</v>
      </c>
      <c r="Y307" s="264" t="s">
        <v>998</v>
      </c>
      <c r="Z307" s="264">
        <v>31</v>
      </c>
      <c r="AA307" s="264" t="s">
        <v>999</v>
      </c>
      <c r="AB307" s="264">
        <v>31</v>
      </c>
      <c r="AC307" s="264" t="s">
        <v>999</v>
      </c>
      <c r="AD307" s="264" t="s">
        <v>1000</v>
      </c>
      <c r="AE307" s="264" t="s">
        <v>1000</v>
      </c>
      <c r="AF307" s="264" t="s">
        <v>1000</v>
      </c>
      <c r="AG307" s="264" t="s">
        <v>1000</v>
      </c>
      <c r="AH307" s="264" t="s">
        <v>1002</v>
      </c>
      <c r="AI307" s="264" t="s">
        <v>1002</v>
      </c>
      <c r="AJ307" s="264" t="s">
        <v>995</v>
      </c>
      <c r="AK307" s="264" t="s">
        <v>995</v>
      </c>
      <c r="AL307" s="264" t="s">
        <v>995</v>
      </c>
    </row>
    <row r="308" spans="1:38">
      <c r="A308" s="264">
        <v>8148</v>
      </c>
      <c r="B308" s="264" t="s">
        <v>602</v>
      </c>
      <c r="C308" s="264" t="s">
        <v>1218</v>
      </c>
      <c r="D308" s="264" t="s">
        <v>991</v>
      </c>
      <c r="E308" s="264">
        <v>42121</v>
      </c>
      <c r="F308" s="264" t="s">
        <v>305</v>
      </c>
      <c r="G308" s="389">
        <v>30897</v>
      </c>
      <c r="H308" s="264">
        <v>39</v>
      </c>
      <c r="I308" s="389">
        <v>42149</v>
      </c>
      <c r="K308" s="390">
        <v>45200</v>
      </c>
      <c r="L308" s="264">
        <v>70</v>
      </c>
      <c r="M308" s="264" t="s">
        <v>1024</v>
      </c>
      <c r="N308" s="264">
        <v>1</v>
      </c>
      <c r="O308" s="264" t="s">
        <v>829</v>
      </c>
      <c r="P308" s="264" t="s">
        <v>994</v>
      </c>
      <c r="Q308" s="264" t="s">
        <v>1009</v>
      </c>
      <c r="R308" s="264" t="s">
        <v>1010</v>
      </c>
      <c r="S308" s="264" t="s">
        <v>996</v>
      </c>
      <c r="T308" s="264" t="s">
        <v>997</v>
      </c>
      <c r="U308" s="264" t="s">
        <v>995</v>
      </c>
      <c r="V308" s="264" t="s">
        <v>995</v>
      </c>
      <c r="W308" s="264" t="s">
        <v>995</v>
      </c>
      <c r="X308" s="264" t="s">
        <v>828</v>
      </c>
      <c r="Y308" s="264" t="s">
        <v>998</v>
      </c>
      <c r="Z308" s="264">
        <v>31</v>
      </c>
      <c r="AA308" s="264" t="s">
        <v>999</v>
      </c>
      <c r="AB308" s="264">
        <v>31</v>
      </c>
      <c r="AC308" s="264" t="s">
        <v>999</v>
      </c>
      <c r="AD308" s="264" t="s">
        <v>1000</v>
      </c>
      <c r="AE308" s="264" t="s">
        <v>1000</v>
      </c>
      <c r="AF308" s="264" t="s">
        <v>1000</v>
      </c>
      <c r="AG308" s="264" t="s">
        <v>1000</v>
      </c>
      <c r="AH308" s="264" t="s">
        <v>1002</v>
      </c>
      <c r="AI308" s="264" t="s">
        <v>1002</v>
      </c>
      <c r="AJ308" s="264" t="s">
        <v>995</v>
      </c>
      <c r="AK308" s="264" t="s">
        <v>995</v>
      </c>
      <c r="AL308" s="264" t="s">
        <v>995</v>
      </c>
    </row>
    <row r="309" spans="1:38">
      <c r="A309" s="264">
        <v>8216</v>
      </c>
      <c r="B309" s="264" t="s">
        <v>1219</v>
      </c>
      <c r="C309" s="264" t="s">
        <v>1220</v>
      </c>
      <c r="D309" s="264" t="s">
        <v>991</v>
      </c>
      <c r="E309" s="264">
        <v>42121</v>
      </c>
      <c r="F309" s="264" t="s">
        <v>305</v>
      </c>
      <c r="G309" s="389">
        <v>37743</v>
      </c>
      <c r="H309" s="264">
        <v>20</v>
      </c>
      <c r="I309" s="389">
        <v>44872</v>
      </c>
      <c r="K309" s="390">
        <v>44896</v>
      </c>
      <c r="L309" s="264">
        <v>70</v>
      </c>
      <c r="M309" s="264" t="s">
        <v>1024</v>
      </c>
      <c r="N309" s="264">
        <v>1</v>
      </c>
      <c r="O309" s="264" t="s">
        <v>829</v>
      </c>
      <c r="P309" s="264" t="s">
        <v>994</v>
      </c>
      <c r="Q309" s="264" t="s">
        <v>1009</v>
      </c>
      <c r="R309" s="264" t="s">
        <v>1010</v>
      </c>
      <c r="S309" s="264" t="s">
        <v>996</v>
      </c>
      <c r="T309" s="264" t="s">
        <v>997</v>
      </c>
      <c r="U309" s="264" t="s">
        <v>995</v>
      </c>
      <c r="V309" s="264" t="s">
        <v>995</v>
      </c>
      <c r="W309" s="264" t="s">
        <v>995</v>
      </c>
      <c r="X309" s="264" t="s">
        <v>828</v>
      </c>
      <c r="Y309" s="264" t="s">
        <v>998</v>
      </c>
      <c r="Z309" s="264">
        <v>31</v>
      </c>
      <c r="AA309" s="264" t="s">
        <v>999</v>
      </c>
      <c r="AB309" s="264">
        <v>31</v>
      </c>
      <c r="AC309" s="264" t="s">
        <v>999</v>
      </c>
      <c r="AD309" s="264" t="s">
        <v>1000</v>
      </c>
      <c r="AE309" s="264" t="s">
        <v>1000</v>
      </c>
      <c r="AF309" s="264" t="s">
        <v>1000</v>
      </c>
      <c r="AG309" s="264" t="s">
        <v>1000</v>
      </c>
      <c r="AH309" s="264" t="s">
        <v>1002</v>
      </c>
      <c r="AI309" s="264" t="s">
        <v>1002</v>
      </c>
      <c r="AJ309" s="264" t="s">
        <v>995</v>
      </c>
      <c r="AK309" s="264" t="s">
        <v>995</v>
      </c>
      <c r="AL309" s="264" t="s">
        <v>995</v>
      </c>
    </row>
    <row r="310" spans="1:38">
      <c r="A310" s="264">
        <v>1429</v>
      </c>
      <c r="B310" s="264" t="s">
        <v>834</v>
      </c>
      <c r="C310" s="264" t="s">
        <v>1252</v>
      </c>
      <c r="D310" s="264" t="s">
        <v>1004</v>
      </c>
      <c r="E310" s="264">
        <v>43011</v>
      </c>
      <c r="F310" s="264" t="s">
        <v>349</v>
      </c>
      <c r="G310" s="389">
        <v>35077</v>
      </c>
      <c r="H310" s="264">
        <v>28</v>
      </c>
      <c r="I310" s="389">
        <v>44713</v>
      </c>
      <c r="K310" s="390">
        <v>44743</v>
      </c>
      <c r="L310" s="264">
        <v>20</v>
      </c>
      <c r="M310" s="264" t="s">
        <v>1015</v>
      </c>
      <c r="N310" s="264">
        <v>1</v>
      </c>
      <c r="O310" s="264" t="s">
        <v>829</v>
      </c>
      <c r="P310" s="264" t="s">
        <v>994</v>
      </c>
      <c r="Q310" s="264" t="s">
        <v>1009</v>
      </c>
      <c r="R310" s="264" t="s">
        <v>1010</v>
      </c>
      <c r="S310" s="264" t="s">
        <v>996</v>
      </c>
      <c r="T310" s="264" t="s">
        <v>997</v>
      </c>
      <c r="U310" s="264" t="s">
        <v>995</v>
      </c>
      <c r="V310" s="264" t="s">
        <v>995</v>
      </c>
      <c r="W310" s="264" t="s">
        <v>995</v>
      </c>
      <c r="X310" s="264" t="s">
        <v>828</v>
      </c>
      <c r="Y310" s="264" t="s">
        <v>998</v>
      </c>
      <c r="Z310" s="264">
        <v>31</v>
      </c>
      <c r="AA310" s="264" t="s">
        <v>999</v>
      </c>
      <c r="AB310" s="264">
        <v>31</v>
      </c>
      <c r="AC310" s="264" t="s">
        <v>999</v>
      </c>
      <c r="AD310" s="264" t="s">
        <v>1000</v>
      </c>
      <c r="AE310" s="264" t="s">
        <v>1000</v>
      </c>
      <c r="AF310" s="264" t="s">
        <v>1000</v>
      </c>
      <c r="AG310" s="264" t="s">
        <v>1000</v>
      </c>
      <c r="AH310" s="264" t="s">
        <v>1002</v>
      </c>
      <c r="AI310" s="264" t="s">
        <v>1002</v>
      </c>
      <c r="AJ310" s="264" t="s">
        <v>995</v>
      </c>
      <c r="AK310" s="264" t="s">
        <v>995</v>
      </c>
      <c r="AL310" s="264" t="s">
        <v>995</v>
      </c>
    </row>
    <row r="311" spans="1:38">
      <c r="A311" s="264">
        <v>3225</v>
      </c>
      <c r="B311" s="264" t="s">
        <v>351</v>
      </c>
      <c r="C311" s="264" t="s">
        <v>1253</v>
      </c>
      <c r="D311" s="264" t="s">
        <v>1004</v>
      </c>
      <c r="E311" s="264">
        <v>43011</v>
      </c>
      <c r="F311" s="264" t="s">
        <v>349</v>
      </c>
      <c r="G311" s="389">
        <v>31151</v>
      </c>
      <c r="H311" s="264">
        <v>38</v>
      </c>
      <c r="I311" s="389">
        <v>38068</v>
      </c>
      <c r="K311" s="390">
        <v>42278</v>
      </c>
      <c r="L311" s="264">
        <v>20</v>
      </c>
      <c r="M311" s="264" t="s">
        <v>1015</v>
      </c>
      <c r="N311" s="264">
        <v>1</v>
      </c>
      <c r="O311" s="264" t="s">
        <v>829</v>
      </c>
      <c r="P311" s="264" t="s">
        <v>994</v>
      </c>
      <c r="Q311" s="264" t="s">
        <v>1009</v>
      </c>
      <c r="R311" s="264" t="s">
        <v>1010</v>
      </c>
      <c r="S311" s="264" t="s">
        <v>996</v>
      </c>
      <c r="T311" s="264" t="s">
        <v>997</v>
      </c>
      <c r="U311" s="264" t="s">
        <v>995</v>
      </c>
      <c r="V311" s="264" t="s">
        <v>995</v>
      </c>
      <c r="W311" s="264" t="s">
        <v>995</v>
      </c>
      <c r="X311" s="264" t="s">
        <v>828</v>
      </c>
      <c r="Y311" s="264" t="s">
        <v>998</v>
      </c>
      <c r="Z311" s="264">
        <v>31</v>
      </c>
      <c r="AA311" s="264" t="s">
        <v>999</v>
      </c>
      <c r="AB311" s="264">
        <v>31</v>
      </c>
      <c r="AC311" s="264" t="s">
        <v>999</v>
      </c>
      <c r="AD311" s="264" t="s">
        <v>1000</v>
      </c>
      <c r="AE311" s="264" t="s">
        <v>1000</v>
      </c>
      <c r="AF311" s="264" t="s">
        <v>1000</v>
      </c>
      <c r="AG311" s="264" t="s">
        <v>1000</v>
      </c>
      <c r="AH311" s="264" t="s">
        <v>1002</v>
      </c>
      <c r="AI311" s="264" t="s">
        <v>1002</v>
      </c>
      <c r="AJ311" s="264" t="s">
        <v>995</v>
      </c>
      <c r="AK311" s="264" t="s">
        <v>995</v>
      </c>
      <c r="AL311" s="264" t="s">
        <v>995</v>
      </c>
    </row>
    <row r="312" spans="1:38">
      <c r="A312" s="264">
        <v>3255</v>
      </c>
      <c r="B312" s="264" t="s">
        <v>358</v>
      </c>
      <c r="C312" s="264" t="s">
        <v>1254</v>
      </c>
      <c r="D312" s="264" t="s">
        <v>1004</v>
      </c>
      <c r="E312" s="264">
        <v>43011</v>
      </c>
      <c r="F312" s="264" t="s">
        <v>349</v>
      </c>
      <c r="G312" s="389">
        <v>31943</v>
      </c>
      <c r="H312" s="264">
        <v>36</v>
      </c>
      <c r="I312" s="389">
        <v>38797</v>
      </c>
      <c r="K312" s="390">
        <v>42278</v>
      </c>
      <c r="L312" s="264">
        <v>20</v>
      </c>
      <c r="M312" s="264" t="s">
        <v>1015</v>
      </c>
      <c r="N312" s="264">
        <v>1</v>
      </c>
      <c r="O312" s="264" t="s">
        <v>829</v>
      </c>
      <c r="P312" s="264" t="s">
        <v>994</v>
      </c>
      <c r="Q312" s="264" t="s">
        <v>1009</v>
      </c>
      <c r="R312" s="264" t="s">
        <v>1010</v>
      </c>
      <c r="S312" s="264" t="s">
        <v>996</v>
      </c>
      <c r="T312" s="264" t="s">
        <v>997</v>
      </c>
      <c r="U312" s="264" t="s">
        <v>995</v>
      </c>
      <c r="V312" s="264" t="s">
        <v>995</v>
      </c>
      <c r="W312" s="264" t="s">
        <v>995</v>
      </c>
      <c r="X312" s="264" t="s">
        <v>828</v>
      </c>
      <c r="Y312" s="264" t="s">
        <v>998</v>
      </c>
      <c r="Z312" s="264">
        <v>31</v>
      </c>
      <c r="AA312" s="264" t="s">
        <v>999</v>
      </c>
      <c r="AB312" s="264">
        <v>31</v>
      </c>
      <c r="AC312" s="264" t="s">
        <v>999</v>
      </c>
      <c r="AD312" s="264" t="s">
        <v>1000</v>
      </c>
      <c r="AE312" s="264" t="s">
        <v>1000</v>
      </c>
      <c r="AF312" s="264" t="s">
        <v>1000</v>
      </c>
      <c r="AG312" s="264" t="s">
        <v>1000</v>
      </c>
      <c r="AH312" s="264" t="s">
        <v>1002</v>
      </c>
      <c r="AI312" s="264" t="s">
        <v>1002</v>
      </c>
      <c r="AJ312" s="264" t="s">
        <v>995</v>
      </c>
      <c r="AK312" s="264" t="s">
        <v>995</v>
      </c>
      <c r="AL312" s="264" t="s">
        <v>995</v>
      </c>
    </row>
    <row r="313" spans="1:38">
      <c r="A313" s="264">
        <v>3273</v>
      </c>
      <c r="B313" s="264" t="s">
        <v>350</v>
      </c>
      <c r="C313" s="264" t="s">
        <v>1255</v>
      </c>
      <c r="D313" s="264" t="s">
        <v>1004</v>
      </c>
      <c r="E313" s="264">
        <v>43011</v>
      </c>
      <c r="F313" s="264" t="s">
        <v>349</v>
      </c>
      <c r="G313" s="389">
        <v>31132</v>
      </c>
      <c r="H313" s="264">
        <v>38</v>
      </c>
      <c r="I313" s="389">
        <v>39376</v>
      </c>
      <c r="K313" s="390">
        <v>42278</v>
      </c>
      <c r="L313" s="264">
        <v>20</v>
      </c>
      <c r="M313" s="264" t="s">
        <v>1015</v>
      </c>
      <c r="N313" s="264">
        <v>1</v>
      </c>
      <c r="O313" s="264" t="s">
        <v>829</v>
      </c>
      <c r="P313" s="264" t="s">
        <v>994</v>
      </c>
      <c r="Q313" s="264" t="s">
        <v>1009</v>
      </c>
      <c r="R313" s="264" t="s">
        <v>1010</v>
      </c>
      <c r="S313" s="264" t="s">
        <v>996</v>
      </c>
      <c r="T313" s="264" t="s">
        <v>997</v>
      </c>
      <c r="U313" s="264" t="s">
        <v>995</v>
      </c>
      <c r="V313" s="264" t="s">
        <v>995</v>
      </c>
      <c r="W313" s="264" t="s">
        <v>995</v>
      </c>
      <c r="X313" s="264" t="s">
        <v>828</v>
      </c>
      <c r="Y313" s="264" t="s">
        <v>998</v>
      </c>
      <c r="Z313" s="264">
        <v>31</v>
      </c>
      <c r="AA313" s="264" t="s">
        <v>999</v>
      </c>
      <c r="AB313" s="264">
        <v>31</v>
      </c>
      <c r="AC313" s="264" t="s">
        <v>999</v>
      </c>
      <c r="AD313" s="264" t="s">
        <v>1000</v>
      </c>
      <c r="AE313" s="264" t="s">
        <v>1000</v>
      </c>
      <c r="AF313" s="264" t="s">
        <v>1000</v>
      </c>
      <c r="AG313" s="264" t="s">
        <v>1000</v>
      </c>
      <c r="AH313" s="264" t="s">
        <v>1002</v>
      </c>
      <c r="AI313" s="264" t="s">
        <v>1002</v>
      </c>
      <c r="AJ313" s="264" t="s">
        <v>995</v>
      </c>
      <c r="AK313" s="264" t="s">
        <v>995</v>
      </c>
      <c r="AL313" s="264" t="s">
        <v>995</v>
      </c>
    </row>
    <row r="314" spans="1:38">
      <c r="A314" s="264">
        <v>3479</v>
      </c>
      <c r="B314" s="264" t="s">
        <v>360</v>
      </c>
      <c r="C314" s="264" t="s">
        <v>1256</v>
      </c>
      <c r="D314" s="264" t="s">
        <v>1004</v>
      </c>
      <c r="E314" s="264">
        <v>43011</v>
      </c>
      <c r="F314" s="264" t="s">
        <v>349</v>
      </c>
      <c r="G314" s="389">
        <v>35961</v>
      </c>
      <c r="H314" s="264">
        <v>25</v>
      </c>
      <c r="I314" s="389">
        <v>42826</v>
      </c>
      <c r="K314" s="390">
        <v>42856</v>
      </c>
      <c r="L314" s="264">
        <v>20</v>
      </c>
      <c r="M314" s="264" t="s">
        <v>1015</v>
      </c>
      <c r="N314" s="264">
        <v>1</v>
      </c>
      <c r="O314" s="264" t="s">
        <v>829</v>
      </c>
      <c r="P314" s="264" t="s">
        <v>994</v>
      </c>
      <c r="Q314" s="264" t="s">
        <v>1009</v>
      </c>
      <c r="R314" s="264" t="s">
        <v>1010</v>
      </c>
      <c r="S314" s="264" t="s">
        <v>996</v>
      </c>
      <c r="T314" s="264" t="s">
        <v>997</v>
      </c>
      <c r="U314" s="264" t="s">
        <v>995</v>
      </c>
      <c r="V314" s="264" t="s">
        <v>995</v>
      </c>
      <c r="W314" s="264" t="s">
        <v>995</v>
      </c>
      <c r="X314" s="264" t="s">
        <v>828</v>
      </c>
      <c r="Y314" s="264" t="s">
        <v>998</v>
      </c>
      <c r="Z314" s="264">
        <v>31</v>
      </c>
      <c r="AA314" s="264" t="s">
        <v>999</v>
      </c>
      <c r="AB314" s="264">
        <v>31</v>
      </c>
      <c r="AC314" s="264" t="s">
        <v>999</v>
      </c>
      <c r="AD314" s="264" t="s">
        <v>1000</v>
      </c>
      <c r="AE314" s="264" t="s">
        <v>1000</v>
      </c>
      <c r="AF314" s="264" t="s">
        <v>1000</v>
      </c>
      <c r="AG314" s="264" t="s">
        <v>1000</v>
      </c>
      <c r="AH314" s="264" t="s">
        <v>1002</v>
      </c>
      <c r="AI314" s="264" t="s">
        <v>1002</v>
      </c>
      <c r="AJ314" s="264" t="s">
        <v>995</v>
      </c>
      <c r="AK314" s="264" t="s">
        <v>995</v>
      </c>
      <c r="AL314" s="264" t="s">
        <v>995</v>
      </c>
    </row>
    <row r="315" spans="1:38">
      <c r="A315" s="264">
        <v>3499</v>
      </c>
      <c r="B315" s="264" t="s">
        <v>214</v>
      </c>
      <c r="C315" s="264" t="s">
        <v>1257</v>
      </c>
      <c r="D315" s="264" t="s">
        <v>1004</v>
      </c>
      <c r="E315" s="264">
        <v>43011</v>
      </c>
      <c r="F315" s="264" t="s">
        <v>349</v>
      </c>
      <c r="G315" s="389">
        <v>35346</v>
      </c>
      <c r="H315" s="264">
        <v>27</v>
      </c>
      <c r="I315" s="389">
        <v>43556</v>
      </c>
      <c r="K315" s="390">
        <v>43586</v>
      </c>
      <c r="L315" s="264">
        <v>20</v>
      </c>
      <c r="M315" s="264" t="s">
        <v>1015</v>
      </c>
      <c r="N315" s="264">
        <v>1</v>
      </c>
      <c r="O315" s="264" t="s">
        <v>829</v>
      </c>
      <c r="P315" s="264" t="s">
        <v>994</v>
      </c>
      <c r="Q315" s="264" t="s">
        <v>1009</v>
      </c>
      <c r="R315" s="264" t="s">
        <v>1010</v>
      </c>
      <c r="S315" s="264" t="s">
        <v>996</v>
      </c>
      <c r="T315" s="264" t="s">
        <v>997</v>
      </c>
      <c r="U315" s="264" t="s">
        <v>995</v>
      </c>
      <c r="V315" s="264" t="s">
        <v>995</v>
      </c>
      <c r="W315" s="264" t="s">
        <v>995</v>
      </c>
      <c r="X315" s="264" t="s">
        <v>828</v>
      </c>
      <c r="Y315" s="264" t="s">
        <v>998</v>
      </c>
      <c r="Z315" s="264">
        <v>31</v>
      </c>
      <c r="AA315" s="264" t="s">
        <v>999</v>
      </c>
      <c r="AB315" s="264">
        <v>31</v>
      </c>
      <c r="AC315" s="264" t="s">
        <v>999</v>
      </c>
      <c r="AD315" s="264" t="s">
        <v>1000</v>
      </c>
      <c r="AE315" s="264" t="s">
        <v>1000</v>
      </c>
      <c r="AF315" s="264" t="s">
        <v>1000</v>
      </c>
      <c r="AG315" s="264" t="s">
        <v>1000</v>
      </c>
      <c r="AH315" s="264" t="s">
        <v>1002</v>
      </c>
      <c r="AI315" s="264" t="s">
        <v>1002</v>
      </c>
      <c r="AJ315" s="264" t="s">
        <v>995</v>
      </c>
      <c r="AK315" s="264" t="s">
        <v>995</v>
      </c>
      <c r="AL315" s="264" t="s">
        <v>995</v>
      </c>
    </row>
    <row r="316" spans="1:38">
      <c r="A316" s="264">
        <v>3504</v>
      </c>
      <c r="B316" s="264" t="s">
        <v>362</v>
      </c>
      <c r="C316" s="264" t="s">
        <v>1258</v>
      </c>
      <c r="D316" s="264" t="s">
        <v>1004</v>
      </c>
      <c r="E316" s="264">
        <v>43011</v>
      </c>
      <c r="F316" s="264" t="s">
        <v>349</v>
      </c>
      <c r="G316" s="389">
        <v>36977</v>
      </c>
      <c r="H316" s="264">
        <v>22</v>
      </c>
      <c r="I316" s="389">
        <v>43556</v>
      </c>
      <c r="K316" s="390">
        <v>43586</v>
      </c>
      <c r="L316" s="264">
        <v>20</v>
      </c>
      <c r="M316" s="264" t="s">
        <v>1015</v>
      </c>
      <c r="N316" s="264">
        <v>1</v>
      </c>
      <c r="O316" s="264" t="s">
        <v>829</v>
      </c>
      <c r="P316" s="264" t="s">
        <v>994</v>
      </c>
      <c r="Q316" s="264" t="s">
        <v>1009</v>
      </c>
      <c r="R316" s="264" t="s">
        <v>1010</v>
      </c>
      <c r="S316" s="264" t="s">
        <v>996</v>
      </c>
      <c r="T316" s="264" t="s">
        <v>997</v>
      </c>
      <c r="U316" s="264" t="s">
        <v>995</v>
      </c>
      <c r="V316" s="264" t="s">
        <v>995</v>
      </c>
      <c r="W316" s="264" t="s">
        <v>995</v>
      </c>
      <c r="X316" s="264" t="s">
        <v>828</v>
      </c>
      <c r="Y316" s="264" t="s">
        <v>998</v>
      </c>
      <c r="Z316" s="264">
        <v>31</v>
      </c>
      <c r="AA316" s="264" t="s">
        <v>999</v>
      </c>
      <c r="AB316" s="264">
        <v>31</v>
      </c>
      <c r="AC316" s="264" t="s">
        <v>999</v>
      </c>
      <c r="AD316" s="264" t="s">
        <v>1000</v>
      </c>
      <c r="AE316" s="264" t="s">
        <v>1000</v>
      </c>
      <c r="AF316" s="264" t="s">
        <v>1000</v>
      </c>
      <c r="AG316" s="264" t="s">
        <v>1000</v>
      </c>
      <c r="AH316" s="264" t="s">
        <v>1002</v>
      </c>
      <c r="AI316" s="264" t="s">
        <v>1002</v>
      </c>
      <c r="AJ316" s="264" t="s">
        <v>995</v>
      </c>
      <c r="AK316" s="264" t="s">
        <v>995</v>
      </c>
      <c r="AL316" s="264" t="s">
        <v>995</v>
      </c>
    </row>
    <row r="317" spans="1:38">
      <c r="A317" s="264">
        <v>3911</v>
      </c>
      <c r="B317" s="264" t="s">
        <v>355</v>
      </c>
      <c r="C317" s="264" t="s">
        <v>1259</v>
      </c>
      <c r="D317" s="264" t="s">
        <v>1004</v>
      </c>
      <c r="E317" s="264">
        <v>43011</v>
      </c>
      <c r="F317" s="264" t="s">
        <v>349</v>
      </c>
      <c r="G317" s="389">
        <v>27388</v>
      </c>
      <c r="H317" s="264">
        <v>49</v>
      </c>
      <c r="I317" s="389">
        <v>37811</v>
      </c>
      <c r="K317" s="390">
        <v>42278</v>
      </c>
      <c r="L317" s="264">
        <v>20</v>
      </c>
      <c r="M317" s="264" t="s">
        <v>1015</v>
      </c>
      <c r="N317" s="264">
        <v>1</v>
      </c>
      <c r="O317" s="264" t="s">
        <v>829</v>
      </c>
      <c r="P317" s="264" t="s">
        <v>994</v>
      </c>
      <c r="Q317" s="264" t="s">
        <v>1009</v>
      </c>
      <c r="R317" s="264" t="s">
        <v>1010</v>
      </c>
      <c r="S317" s="264" t="s">
        <v>996</v>
      </c>
      <c r="T317" s="264" t="s">
        <v>997</v>
      </c>
      <c r="U317" s="264" t="s">
        <v>995</v>
      </c>
      <c r="V317" s="264" t="s">
        <v>995</v>
      </c>
      <c r="W317" s="264" t="s">
        <v>995</v>
      </c>
      <c r="X317" s="264" t="s">
        <v>828</v>
      </c>
      <c r="Y317" s="264" t="s">
        <v>998</v>
      </c>
      <c r="Z317" s="264">
        <v>31</v>
      </c>
      <c r="AA317" s="264" t="s">
        <v>999</v>
      </c>
      <c r="AB317" s="264">
        <v>31</v>
      </c>
      <c r="AC317" s="264" t="s">
        <v>999</v>
      </c>
      <c r="AD317" s="264" t="s">
        <v>1000</v>
      </c>
      <c r="AE317" s="264" t="s">
        <v>1000</v>
      </c>
      <c r="AF317" s="264" t="s">
        <v>1000</v>
      </c>
      <c r="AG317" s="264" t="s">
        <v>1000</v>
      </c>
      <c r="AH317" s="264" t="s">
        <v>1002</v>
      </c>
      <c r="AI317" s="264" t="s">
        <v>1002</v>
      </c>
      <c r="AJ317" s="264" t="s">
        <v>995</v>
      </c>
      <c r="AK317" s="264" t="s">
        <v>995</v>
      </c>
      <c r="AL317" s="264" t="s">
        <v>995</v>
      </c>
    </row>
    <row r="318" spans="1:38">
      <c r="A318" s="264">
        <v>3912</v>
      </c>
      <c r="B318" s="264" t="s">
        <v>101</v>
      </c>
      <c r="C318" s="264" t="s">
        <v>1260</v>
      </c>
      <c r="D318" s="264" t="s">
        <v>1004</v>
      </c>
      <c r="E318" s="264">
        <v>43011</v>
      </c>
      <c r="F318" s="264" t="s">
        <v>349</v>
      </c>
      <c r="G318" s="389">
        <v>27138</v>
      </c>
      <c r="H318" s="264">
        <v>49</v>
      </c>
      <c r="I318" s="389">
        <v>37837</v>
      </c>
      <c r="K318" s="390">
        <v>42278</v>
      </c>
      <c r="L318" s="264">
        <v>20</v>
      </c>
      <c r="M318" s="264" t="s">
        <v>1015</v>
      </c>
      <c r="N318" s="264">
        <v>1</v>
      </c>
      <c r="O318" s="264" t="s">
        <v>829</v>
      </c>
      <c r="P318" s="264" t="s">
        <v>994</v>
      </c>
      <c r="Q318" s="264" t="s">
        <v>1009</v>
      </c>
      <c r="R318" s="264" t="s">
        <v>1010</v>
      </c>
      <c r="S318" s="264" t="s">
        <v>996</v>
      </c>
      <c r="T318" s="264" t="s">
        <v>997</v>
      </c>
      <c r="U318" s="264" t="s">
        <v>995</v>
      </c>
      <c r="V318" s="264" t="s">
        <v>995</v>
      </c>
      <c r="W318" s="264" t="s">
        <v>995</v>
      </c>
      <c r="X318" s="264" t="s">
        <v>828</v>
      </c>
      <c r="Y318" s="264" t="s">
        <v>998</v>
      </c>
      <c r="Z318" s="264">
        <v>31</v>
      </c>
      <c r="AA318" s="264" t="s">
        <v>999</v>
      </c>
      <c r="AB318" s="264">
        <v>31</v>
      </c>
      <c r="AC318" s="264" t="s">
        <v>999</v>
      </c>
      <c r="AD318" s="264" t="s">
        <v>1000</v>
      </c>
      <c r="AE318" s="264" t="s">
        <v>1000</v>
      </c>
      <c r="AF318" s="264" t="s">
        <v>1000</v>
      </c>
      <c r="AG318" s="264" t="s">
        <v>1000</v>
      </c>
      <c r="AH318" s="264" t="s">
        <v>1002</v>
      </c>
      <c r="AI318" s="264" t="s">
        <v>1002</v>
      </c>
      <c r="AJ318" s="264" t="s">
        <v>995</v>
      </c>
      <c r="AK318" s="264" t="s">
        <v>995</v>
      </c>
      <c r="AL318" s="264" t="s">
        <v>995</v>
      </c>
    </row>
    <row r="319" spans="1:38">
      <c r="A319" s="264">
        <v>3948</v>
      </c>
      <c r="B319" s="264" t="s">
        <v>369</v>
      </c>
      <c r="C319" s="264" t="s">
        <v>1261</v>
      </c>
      <c r="D319" s="264" t="s">
        <v>1004</v>
      </c>
      <c r="E319" s="264">
        <v>43011</v>
      </c>
      <c r="F319" s="264" t="s">
        <v>349</v>
      </c>
      <c r="G319" s="389">
        <v>24760</v>
      </c>
      <c r="H319" s="264">
        <v>56</v>
      </c>
      <c r="I319" s="389">
        <v>39072</v>
      </c>
      <c r="K319" s="390">
        <v>42278</v>
      </c>
      <c r="L319" s="264">
        <v>20</v>
      </c>
      <c r="M319" s="264" t="s">
        <v>1015</v>
      </c>
      <c r="N319" s="264">
        <v>1</v>
      </c>
      <c r="O319" s="264" t="s">
        <v>829</v>
      </c>
      <c r="P319" s="264" t="s">
        <v>994</v>
      </c>
      <c r="Q319" s="264" t="s">
        <v>1009</v>
      </c>
      <c r="R319" s="264" t="s">
        <v>1010</v>
      </c>
      <c r="S319" s="264" t="s">
        <v>996</v>
      </c>
      <c r="T319" s="264" t="s">
        <v>997</v>
      </c>
      <c r="U319" s="264" t="s">
        <v>995</v>
      </c>
      <c r="V319" s="264" t="s">
        <v>995</v>
      </c>
      <c r="W319" s="264" t="s">
        <v>995</v>
      </c>
      <c r="X319" s="264" t="s">
        <v>828</v>
      </c>
      <c r="Y319" s="264" t="s">
        <v>998</v>
      </c>
      <c r="Z319" s="264">
        <v>31</v>
      </c>
      <c r="AA319" s="264" t="s">
        <v>999</v>
      </c>
      <c r="AB319" s="264">
        <v>31</v>
      </c>
      <c r="AC319" s="264" t="s">
        <v>999</v>
      </c>
      <c r="AD319" s="264" t="s">
        <v>1000</v>
      </c>
      <c r="AE319" s="264" t="s">
        <v>1000</v>
      </c>
      <c r="AF319" s="264" t="s">
        <v>1000</v>
      </c>
      <c r="AG319" s="264" t="s">
        <v>1000</v>
      </c>
      <c r="AH319" s="264" t="s">
        <v>1002</v>
      </c>
      <c r="AI319" s="264" t="s">
        <v>1002</v>
      </c>
      <c r="AJ319" s="264" t="s">
        <v>995</v>
      </c>
      <c r="AK319" s="264" t="s">
        <v>995</v>
      </c>
      <c r="AL319" s="264" t="s">
        <v>995</v>
      </c>
    </row>
    <row r="320" spans="1:38">
      <c r="A320" s="264">
        <v>5010</v>
      </c>
      <c r="B320" s="264" t="s">
        <v>367</v>
      </c>
      <c r="C320" s="264" t="s">
        <v>1262</v>
      </c>
      <c r="D320" s="264" t="s">
        <v>1004</v>
      </c>
      <c r="E320" s="264">
        <v>43011</v>
      </c>
      <c r="F320" s="264" t="s">
        <v>349</v>
      </c>
      <c r="G320" s="389">
        <v>23559</v>
      </c>
      <c r="H320" s="264">
        <v>59</v>
      </c>
      <c r="I320" s="389">
        <v>29305</v>
      </c>
      <c r="K320" s="390">
        <v>42278</v>
      </c>
      <c r="L320" s="264">
        <v>20</v>
      </c>
      <c r="M320" s="264" t="s">
        <v>1015</v>
      </c>
      <c r="N320" s="264">
        <v>1</v>
      </c>
      <c r="O320" s="264" t="s">
        <v>829</v>
      </c>
      <c r="P320" s="264" t="s">
        <v>994</v>
      </c>
      <c r="Q320" s="264" t="s">
        <v>1009</v>
      </c>
      <c r="R320" s="264" t="s">
        <v>1010</v>
      </c>
      <c r="S320" s="264" t="s">
        <v>996</v>
      </c>
      <c r="T320" s="264" t="s">
        <v>997</v>
      </c>
      <c r="U320" s="264" t="s">
        <v>995</v>
      </c>
      <c r="V320" s="264" t="s">
        <v>995</v>
      </c>
      <c r="W320" s="264" t="s">
        <v>995</v>
      </c>
      <c r="X320" s="264" t="s">
        <v>828</v>
      </c>
      <c r="Y320" s="264" t="s">
        <v>998</v>
      </c>
      <c r="Z320" s="264">
        <v>31</v>
      </c>
      <c r="AA320" s="264" t="s">
        <v>999</v>
      </c>
      <c r="AB320" s="264">
        <v>31</v>
      </c>
      <c r="AC320" s="264" t="s">
        <v>999</v>
      </c>
      <c r="AD320" s="264" t="s">
        <v>1000</v>
      </c>
      <c r="AE320" s="264" t="s">
        <v>1000</v>
      </c>
      <c r="AF320" s="264" t="s">
        <v>1000</v>
      </c>
      <c r="AG320" s="264" t="s">
        <v>1000</v>
      </c>
      <c r="AH320" s="264" t="s">
        <v>1002</v>
      </c>
      <c r="AI320" s="264" t="s">
        <v>1002</v>
      </c>
      <c r="AJ320" s="264" t="s">
        <v>995</v>
      </c>
      <c r="AK320" s="264" t="s">
        <v>995</v>
      </c>
      <c r="AL320" s="264" t="s">
        <v>995</v>
      </c>
    </row>
    <row r="321" spans="1:38">
      <c r="A321" s="264">
        <v>7941</v>
      </c>
      <c r="B321" s="264" t="s">
        <v>593</v>
      </c>
      <c r="C321" s="264" t="s">
        <v>1265</v>
      </c>
      <c r="D321" s="264" t="s">
        <v>991</v>
      </c>
      <c r="E321" s="264">
        <v>43021</v>
      </c>
      <c r="F321" s="264" t="s">
        <v>349</v>
      </c>
      <c r="G321" s="389">
        <v>28456</v>
      </c>
      <c r="H321" s="264">
        <v>46</v>
      </c>
      <c r="I321" s="389">
        <v>39254</v>
      </c>
      <c r="K321" s="390">
        <v>42278</v>
      </c>
      <c r="L321" s="264">
        <v>70</v>
      </c>
      <c r="M321" s="264" t="s">
        <v>1024</v>
      </c>
      <c r="N321" s="264">
        <v>1</v>
      </c>
      <c r="O321" s="264" t="s">
        <v>829</v>
      </c>
      <c r="P321" s="264" t="s">
        <v>994</v>
      </c>
      <c r="Q321" s="264" t="s">
        <v>1009</v>
      </c>
      <c r="R321" s="264" t="s">
        <v>1010</v>
      </c>
      <c r="S321" s="264" t="s">
        <v>996</v>
      </c>
      <c r="T321" s="264" t="s">
        <v>997</v>
      </c>
      <c r="U321" s="264" t="s">
        <v>995</v>
      </c>
      <c r="V321" s="264" t="s">
        <v>995</v>
      </c>
      <c r="W321" s="264" t="s">
        <v>995</v>
      </c>
      <c r="X321" s="264" t="s">
        <v>828</v>
      </c>
      <c r="Y321" s="264" t="s">
        <v>998</v>
      </c>
      <c r="Z321" s="264">
        <v>31</v>
      </c>
      <c r="AA321" s="264" t="s">
        <v>999</v>
      </c>
      <c r="AB321" s="264">
        <v>31</v>
      </c>
      <c r="AC321" s="264" t="s">
        <v>999</v>
      </c>
      <c r="AD321" s="264" t="s">
        <v>1000</v>
      </c>
      <c r="AE321" s="264" t="s">
        <v>1000</v>
      </c>
      <c r="AF321" s="264" t="s">
        <v>1000</v>
      </c>
      <c r="AG321" s="264" t="s">
        <v>1000</v>
      </c>
      <c r="AH321" s="264" t="s">
        <v>1002</v>
      </c>
      <c r="AI321" s="264" t="s">
        <v>1002</v>
      </c>
      <c r="AJ321" s="264" t="s">
        <v>995</v>
      </c>
      <c r="AK321" s="264" t="s">
        <v>995</v>
      </c>
      <c r="AL321" s="264" t="s">
        <v>995</v>
      </c>
    </row>
    <row r="322" spans="1:38">
      <c r="A322" s="264">
        <v>8213</v>
      </c>
      <c r="B322" s="264" t="s">
        <v>1266</v>
      </c>
      <c r="C322" s="264" t="s">
        <v>1267</v>
      </c>
      <c r="D322" s="264" t="s">
        <v>1004</v>
      </c>
      <c r="E322" s="264">
        <v>43021</v>
      </c>
      <c r="F322" s="264" t="s">
        <v>349</v>
      </c>
      <c r="G322" s="389">
        <v>22004</v>
      </c>
      <c r="H322" s="264">
        <v>63</v>
      </c>
      <c r="I322" s="389">
        <v>44866</v>
      </c>
      <c r="K322" s="390">
        <v>44896</v>
      </c>
      <c r="L322" s="264">
        <v>70</v>
      </c>
      <c r="M322" s="264" t="s">
        <v>1024</v>
      </c>
      <c r="N322" s="264">
        <v>1</v>
      </c>
      <c r="O322" s="264" t="s">
        <v>829</v>
      </c>
      <c r="P322" s="264" t="s">
        <v>994</v>
      </c>
      <c r="Q322" s="264" t="s">
        <v>1009</v>
      </c>
      <c r="R322" s="264" t="s">
        <v>1010</v>
      </c>
      <c r="S322" s="264" t="s">
        <v>996</v>
      </c>
      <c r="T322" s="264" t="s">
        <v>997</v>
      </c>
      <c r="U322" s="264" t="s">
        <v>995</v>
      </c>
      <c r="V322" s="264" t="s">
        <v>995</v>
      </c>
      <c r="W322" s="264" t="s">
        <v>995</v>
      </c>
      <c r="X322" s="264" t="s">
        <v>828</v>
      </c>
      <c r="Y322" s="264" t="s">
        <v>998</v>
      </c>
      <c r="Z322" s="264">
        <v>31</v>
      </c>
      <c r="AA322" s="264" t="s">
        <v>999</v>
      </c>
      <c r="AB322" s="264">
        <v>31</v>
      </c>
      <c r="AC322" s="264" t="s">
        <v>999</v>
      </c>
      <c r="AD322" s="264" t="s">
        <v>1000</v>
      </c>
      <c r="AE322" s="264" t="s">
        <v>1000</v>
      </c>
      <c r="AF322" s="264" t="s">
        <v>1000</v>
      </c>
      <c r="AG322" s="264" t="s">
        <v>1000</v>
      </c>
      <c r="AH322" s="264" t="s">
        <v>1002</v>
      </c>
      <c r="AI322" s="264" t="s">
        <v>1002</v>
      </c>
      <c r="AJ322" s="264" t="s">
        <v>995</v>
      </c>
      <c r="AK322" s="264" t="s">
        <v>995</v>
      </c>
      <c r="AL322" s="264" t="s">
        <v>995</v>
      </c>
    </row>
    <row r="323" spans="1:38">
      <c r="A323" s="264">
        <v>1357</v>
      </c>
      <c r="B323" s="264" t="s">
        <v>366</v>
      </c>
      <c r="C323" s="264" t="s">
        <v>1268</v>
      </c>
      <c r="D323" s="264" t="s">
        <v>1004</v>
      </c>
      <c r="E323" s="264">
        <v>43211</v>
      </c>
      <c r="F323" s="264" t="s">
        <v>364</v>
      </c>
      <c r="G323" s="389">
        <v>27489</v>
      </c>
      <c r="H323" s="264">
        <v>48</v>
      </c>
      <c r="I323" s="389">
        <v>39694</v>
      </c>
      <c r="K323" s="390">
        <v>42278</v>
      </c>
      <c r="L323" s="264">
        <v>20</v>
      </c>
      <c r="M323" s="264" t="s">
        <v>1015</v>
      </c>
      <c r="N323" s="264">
        <v>1</v>
      </c>
      <c r="O323" s="264" t="s">
        <v>829</v>
      </c>
      <c r="P323" s="264" t="s">
        <v>994</v>
      </c>
      <c r="Q323" s="264" t="s">
        <v>1009</v>
      </c>
      <c r="R323" s="264" t="s">
        <v>1010</v>
      </c>
      <c r="S323" s="264" t="s">
        <v>996</v>
      </c>
      <c r="T323" s="264" t="s">
        <v>997</v>
      </c>
      <c r="U323" s="264" t="s">
        <v>995</v>
      </c>
      <c r="V323" s="264" t="s">
        <v>995</v>
      </c>
      <c r="W323" s="264" t="s">
        <v>995</v>
      </c>
      <c r="X323" s="264" t="s">
        <v>828</v>
      </c>
      <c r="Y323" s="264" t="s">
        <v>998</v>
      </c>
      <c r="Z323" s="264">
        <v>31</v>
      </c>
      <c r="AA323" s="264" t="s">
        <v>999</v>
      </c>
      <c r="AB323" s="264">
        <v>31</v>
      </c>
      <c r="AC323" s="264" t="s">
        <v>999</v>
      </c>
      <c r="AD323" s="264" t="s">
        <v>1000</v>
      </c>
      <c r="AE323" s="264" t="s">
        <v>1000</v>
      </c>
      <c r="AF323" s="264" t="s">
        <v>1000</v>
      </c>
      <c r="AG323" s="264" t="s">
        <v>1000</v>
      </c>
      <c r="AH323" s="264" t="s">
        <v>1002</v>
      </c>
      <c r="AI323" s="264" t="s">
        <v>1002</v>
      </c>
      <c r="AJ323" s="264" t="s">
        <v>995</v>
      </c>
      <c r="AK323" s="264" t="s">
        <v>995</v>
      </c>
      <c r="AL323" s="264" t="s">
        <v>995</v>
      </c>
    </row>
    <row r="324" spans="1:38">
      <c r="A324" s="264">
        <v>2830</v>
      </c>
      <c r="B324" s="264" t="s">
        <v>363</v>
      </c>
      <c r="C324" s="264" t="s">
        <v>1269</v>
      </c>
      <c r="D324" s="264" t="s">
        <v>1004</v>
      </c>
      <c r="E324" s="264">
        <v>43211</v>
      </c>
      <c r="F324" s="264" t="s">
        <v>364</v>
      </c>
      <c r="G324" s="389">
        <v>25621</v>
      </c>
      <c r="H324" s="264">
        <v>53</v>
      </c>
      <c r="I324" s="389">
        <v>32226</v>
      </c>
      <c r="K324" s="390">
        <v>42278</v>
      </c>
      <c r="L324" s="264">
        <v>20</v>
      </c>
      <c r="M324" s="264" t="s">
        <v>1015</v>
      </c>
      <c r="N324" s="264">
        <v>1</v>
      </c>
      <c r="O324" s="264" t="s">
        <v>829</v>
      </c>
      <c r="P324" s="264" t="s">
        <v>994</v>
      </c>
      <c r="Q324" s="264" t="s">
        <v>1009</v>
      </c>
      <c r="R324" s="264" t="s">
        <v>1010</v>
      </c>
      <c r="S324" s="264" t="s">
        <v>996</v>
      </c>
      <c r="T324" s="264" t="s">
        <v>997</v>
      </c>
      <c r="U324" s="264" t="s">
        <v>995</v>
      </c>
      <c r="V324" s="264" t="s">
        <v>995</v>
      </c>
      <c r="W324" s="264" t="s">
        <v>995</v>
      </c>
      <c r="X324" s="264" t="s">
        <v>828</v>
      </c>
      <c r="Y324" s="264" t="s">
        <v>998</v>
      </c>
      <c r="Z324" s="264">
        <v>31</v>
      </c>
      <c r="AA324" s="264" t="s">
        <v>999</v>
      </c>
      <c r="AB324" s="264">
        <v>31</v>
      </c>
      <c r="AC324" s="264" t="s">
        <v>999</v>
      </c>
      <c r="AD324" s="264" t="s">
        <v>1000</v>
      </c>
      <c r="AE324" s="264" t="s">
        <v>1000</v>
      </c>
      <c r="AF324" s="264" t="s">
        <v>1000</v>
      </c>
      <c r="AG324" s="264" t="s">
        <v>1000</v>
      </c>
      <c r="AH324" s="264" t="s">
        <v>1002</v>
      </c>
      <c r="AI324" s="264" t="s">
        <v>1002</v>
      </c>
      <c r="AJ324" s="264" t="s">
        <v>995</v>
      </c>
      <c r="AK324" s="264" t="s">
        <v>995</v>
      </c>
      <c r="AL324" s="264" t="s">
        <v>995</v>
      </c>
    </row>
    <row r="325" spans="1:38">
      <c r="A325" s="264">
        <v>3055</v>
      </c>
      <c r="B325" s="264" t="s">
        <v>370</v>
      </c>
      <c r="C325" s="264" t="s">
        <v>1270</v>
      </c>
      <c r="D325" s="264" t="s">
        <v>1004</v>
      </c>
      <c r="E325" s="264">
        <v>43211</v>
      </c>
      <c r="F325" s="264" t="s">
        <v>364</v>
      </c>
      <c r="G325" s="389">
        <v>28119</v>
      </c>
      <c r="H325" s="264">
        <v>47</v>
      </c>
      <c r="I325" s="389">
        <v>34780</v>
      </c>
      <c r="K325" s="390">
        <v>42278</v>
      </c>
      <c r="L325" s="264">
        <v>20</v>
      </c>
      <c r="M325" s="264" t="s">
        <v>1015</v>
      </c>
      <c r="N325" s="264">
        <v>1</v>
      </c>
      <c r="O325" s="264" t="s">
        <v>829</v>
      </c>
      <c r="P325" s="264" t="s">
        <v>994</v>
      </c>
      <c r="Q325" s="264" t="s">
        <v>1009</v>
      </c>
      <c r="R325" s="264" t="s">
        <v>1010</v>
      </c>
      <c r="S325" s="264" t="s">
        <v>996</v>
      </c>
      <c r="T325" s="264" t="s">
        <v>997</v>
      </c>
      <c r="U325" s="264" t="s">
        <v>995</v>
      </c>
      <c r="V325" s="264" t="s">
        <v>995</v>
      </c>
      <c r="W325" s="264" t="s">
        <v>995</v>
      </c>
      <c r="X325" s="264" t="s">
        <v>828</v>
      </c>
      <c r="Y325" s="264" t="s">
        <v>998</v>
      </c>
      <c r="Z325" s="264">
        <v>31</v>
      </c>
      <c r="AA325" s="264" t="s">
        <v>999</v>
      </c>
      <c r="AB325" s="264">
        <v>31</v>
      </c>
      <c r="AC325" s="264" t="s">
        <v>999</v>
      </c>
      <c r="AD325" s="264" t="s">
        <v>1000</v>
      </c>
      <c r="AE325" s="264" t="s">
        <v>1000</v>
      </c>
      <c r="AF325" s="264" t="s">
        <v>1000</v>
      </c>
      <c r="AG325" s="264" t="s">
        <v>1000</v>
      </c>
      <c r="AH325" s="264" t="s">
        <v>1002</v>
      </c>
      <c r="AI325" s="264" t="s">
        <v>1002</v>
      </c>
      <c r="AJ325" s="264" t="s">
        <v>995</v>
      </c>
      <c r="AK325" s="264" t="s">
        <v>995</v>
      </c>
      <c r="AL325" s="264" t="s">
        <v>995</v>
      </c>
    </row>
    <row r="326" spans="1:38">
      <c r="A326" s="264">
        <v>3117</v>
      </c>
      <c r="B326" s="264" t="s">
        <v>515</v>
      </c>
      <c r="C326" s="264" t="s">
        <v>1271</v>
      </c>
      <c r="D326" s="264" t="s">
        <v>991</v>
      </c>
      <c r="E326" s="264">
        <v>43211</v>
      </c>
      <c r="F326" s="264" t="s">
        <v>364</v>
      </c>
      <c r="G326" s="389">
        <v>28578</v>
      </c>
      <c r="H326" s="264">
        <v>45</v>
      </c>
      <c r="I326" s="389">
        <v>35145</v>
      </c>
      <c r="K326" s="390">
        <v>42278</v>
      </c>
      <c r="L326" s="264">
        <v>20</v>
      </c>
      <c r="M326" s="264" t="s">
        <v>1015</v>
      </c>
      <c r="N326" s="264">
        <v>1</v>
      </c>
      <c r="O326" s="264" t="s">
        <v>829</v>
      </c>
      <c r="P326" s="264" t="s">
        <v>994</v>
      </c>
      <c r="Q326" s="264" t="s">
        <v>1009</v>
      </c>
      <c r="R326" s="264" t="s">
        <v>1010</v>
      </c>
      <c r="S326" s="264" t="s">
        <v>996</v>
      </c>
      <c r="T326" s="264" t="s">
        <v>997</v>
      </c>
      <c r="U326" s="264" t="s">
        <v>995</v>
      </c>
      <c r="V326" s="264" t="s">
        <v>995</v>
      </c>
      <c r="W326" s="264" t="s">
        <v>995</v>
      </c>
      <c r="X326" s="264" t="s">
        <v>828</v>
      </c>
      <c r="Y326" s="264" t="s">
        <v>998</v>
      </c>
      <c r="Z326" s="264">
        <v>31</v>
      </c>
      <c r="AA326" s="264" t="s">
        <v>999</v>
      </c>
      <c r="AB326" s="264">
        <v>31</v>
      </c>
      <c r="AC326" s="264" t="s">
        <v>999</v>
      </c>
      <c r="AD326" s="264" t="s">
        <v>1000</v>
      </c>
      <c r="AE326" s="264" t="s">
        <v>1000</v>
      </c>
      <c r="AF326" s="264" t="s">
        <v>1000</v>
      </c>
      <c r="AG326" s="264" t="s">
        <v>1000</v>
      </c>
      <c r="AH326" s="264" t="s">
        <v>1002</v>
      </c>
      <c r="AI326" s="264" t="s">
        <v>1002</v>
      </c>
      <c r="AJ326" s="264" t="s">
        <v>995</v>
      </c>
      <c r="AK326" s="264" t="s">
        <v>995</v>
      </c>
      <c r="AL326" s="264" t="s">
        <v>995</v>
      </c>
    </row>
    <row r="327" spans="1:38">
      <c r="A327" s="264">
        <v>3301</v>
      </c>
      <c r="B327" s="264" t="s">
        <v>517</v>
      </c>
      <c r="C327" s="264" t="s">
        <v>1272</v>
      </c>
      <c r="D327" s="264" t="s">
        <v>991</v>
      </c>
      <c r="E327" s="264">
        <v>43211</v>
      </c>
      <c r="F327" s="264" t="s">
        <v>364</v>
      </c>
      <c r="G327" s="389">
        <v>32759</v>
      </c>
      <c r="H327" s="264">
        <v>34</v>
      </c>
      <c r="I327" s="389">
        <v>39528</v>
      </c>
      <c r="K327" s="390">
        <v>42278</v>
      </c>
      <c r="L327" s="264">
        <v>20</v>
      </c>
      <c r="M327" s="264" t="s">
        <v>1015</v>
      </c>
      <c r="N327" s="264">
        <v>1</v>
      </c>
      <c r="O327" s="264" t="s">
        <v>829</v>
      </c>
      <c r="P327" s="264" t="s">
        <v>994</v>
      </c>
      <c r="Q327" s="264" t="s">
        <v>1009</v>
      </c>
      <c r="R327" s="264" t="s">
        <v>1010</v>
      </c>
      <c r="S327" s="264" t="s">
        <v>996</v>
      </c>
      <c r="T327" s="264" t="s">
        <v>997</v>
      </c>
      <c r="U327" s="264" t="s">
        <v>995</v>
      </c>
      <c r="V327" s="264" t="s">
        <v>995</v>
      </c>
      <c r="W327" s="264" t="s">
        <v>995</v>
      </c>
      <c r="X327" s="264" t="s">
        <v>828</v>
      </c>
      <c r="Y327" s="264" t="s">
        <v>998</v>
      </c>
      <c r="Z327" s="264">
        <v>31</v>
      </c>
      <c r="AA327" s="264" t="s">
        <v>999</v>
      </c>
      <c r="AB327" s="264">
        <v>31</v>
      </c>
      <c r="AC327" s="264" t="s">
        <v>999</v>
      </c>
      <c r="AD327" s="264" t="s">
        <v>1000</v>
      </c>
      <c r="AE327" s="264" t="s">
        <v>1000</v>
      </c>
      <c r="AF327" s="264" t="s">
        <v>1000</v>
      </c>
      <c r="AG327" s="264" t="s">
        <v>1000</v>
      </c>
      <c r="AH327" s="264" t="s">
        <v>1002</v>
      </c>
      <c r="AI327" s="264" t="s">
        <v>1002</v>
      </c>
      <c r="AJ327" s="264" t="s">
        <v>995</v>
      </c>
      <c r="AK327" s="264" t="s">
        <v>995</v>
      </c>
      <c r="AL327" s="264" t="s">
        <v>995</v>
      </c>
    </row>
    <row r="328" spans="1:38">
      <c r="A328" s="264">
        <v>3325</v>
      </c>
      <c r="B328" s="264" t="s">
        <v>518</v>
      </c>
      <c r="C328" s="264" t="s">
        <v>1273</v>
      </c>
      <c r="D328" s="264" t="s">
        <v>991</v>
      </c>
      <c r="E328" s="264">
        <v>43211</v>
      </c>
      <c r="F328" s="264" t="s">
        <v>364</v>
      </c>
      <c r="G328" s="389">
        <v>33441</v>
      </c>
      <c r="H328" s="264">
        <v>32</v>
      </c>
      <c r="I328" s="389">
        <v>40258</v>
      </c>
      <c r="K328" s="390">
        <v>42278</v>
      </c>
      <c r="L328" s="264">
        <v>20</v>
      </c>
      <c r="M328" s="264" t="s">
        <v>1015</v>
      </c>
      <c r="N328" s="264">
        <v>1</v>
      </c>
      <c r="O328" s="264" t="s">
        <v>829</v>
      </c>
      <c r="P328" s="264" t="s">
        <v>994</v>
      </c>
      <c r="Q328" s="264" t="s">
        <v>1009</v>
      </c>
      <c r="R328" s="264" t="s">
        <v>1010</v>
      </c>
      <c r="S328" s="264" t="s">
        <v>996</v>
      </c>
      <c r="T328" s="264" t="s">
        <v>997</v>
      </c>
      <c r="U328" s="264" t="s">
        <v>995</v>
      </c>
      <c r="V328" s="264" t="s">
        <v>995</v>
      </c>
      <c r="W328" s="264" t="s">
        <v>995</v>
      </c>
      <c r="X328" s="264" t="s">
        <v>828</v>
      </c>
      <c r="Y328" s="264" t="s">
        <v>998</v>
      </c>
      <c r="Z328" s="264">
        <v>31</v>
      </c>
      <c r="AA328" s="264" t="s">
        <v>999</v>
      </c>
      <c r="AB328" s="264">
        <v>31</v>
      </c>
      <c r="AC328" s="264" t="s">
        <v>999</v>
      </c>
      <c r="AD328" s="264" t="s">
        <v>1000</v>
      </c>
      <c r="AE328" s="264" t="s">
        <v>1000</v>
      </c>
      <c r="AF328" s="264" t="s">
        <v>1000</v>
      </c>
      <c r="AG328" s="264" t="s">
        <v>1000</v>
      </c>
      <c r="AH328" s="264" t="s">
        <v>1002</v>
      </c>
      <c r="AI328" s="264" t="s">
        <v>1002</v>
      </c>
      <c r="AJ328" s="264" t="s">
        <v>995</v>
      </c>
      <c r="AK328" s="264" t="s">
        <v>995</v>
      </c>
      <c r="AL328" s="264" t="s">
        <v>995</v>
      </c>
    </row>
    <row r="329" spans="1:38">
      <c r="A329" s="264">
        <v>3345</v>
      </c>
      <c r="B329" s="264" t="s">
        <v>372</v>
      </c>
      <c r="C329" s="264" t="s">
        <v>1274</v>
      </c>
      <c r="D329" s="264" t="s">
        <v>1004</v>
      </c>
      <c r="E329" s="264">
        <v>43211</v>
      </c>
      <c r="F329" s="264" t="s">
        <v>364</v>
      </c>
      <c r="G329" s="389">
        <v>33880</v>
      </c>
      <c r="H329" s="264">
        <v>31</v>
      </c>
      <c r="I329" s="389">
        <v>40623</v>
      </c>
      <c r="K329" s="390">
        <v>42278</v>
      </c>
      <c r="L329" s="264">
        <v>20</v>
      </c>
      <c r="M329" s="264" t="s">
        <v>1015</v>
      </c>
      <c r="N329" s="264">
        <v>1</v>
      </c>
      <c r="O329" s="264" t="s">
        <v>829</v>
      </c>
      <c r="P329" s="264" t="s">
        <v>994</v>
      </c>
      <c r="Q329" s="264" t="s">
        <v>1009</v>
      </c>
      <c r="R329" s="264" t="s">
        <v>1010</v>
      </c>
      <c r="S329" s="264" t="s">
        <v>996</v>
      </c>
      <c r="T329" s="264" t="s">
        <v>997</v>
      </c>
      <c r="U329" s="264" t="s">
        <v>995</v>
      </c>
      <c r="V329" s="264" t="s">
        <v>995</v>
      </c>
      <c r="W329" s="264" t="s">
        <v>995</v>
      </c>
      <c r="X329" s="264" t="s">
        <v>828</v>
      </c>
      <c r="Y329" s="264" t="s">
        <v>998</v>
      </c>
      <c r="Z329" s="264">
        <v>31</v>
      </c>
      <c r="AA329" s="264" t="s">
        <v>999</v>
      </c>
      <c r="AB329" s="264">
        <v>31</v>
      </c>
      <c r="AC329" s="264" t="s">
        <v>999</v>
      </c>
      <c r="AD329" s="264" t="s">
        <v>1000</v>
      </c>
      <c r="AE329" s="264" t="s">
        <v>1000</v>
      </c>
      <c r="AF329" s="264" t="s">
        <v>1000</v>
      </c>
      <c r="AG329" s="264" t="s">
        <v>1000</v>
      </c>
      <c r="AH329" s="264" t="s">
        <v>1002</v>
      </c>
      <c r="AI329" s="264" t="s">
        <v>1002</v>
      </c>
      <c r="AJ329" s="264" t="s">
        <v>995</v>
      </c>
      <c r="AK329" s="264" t="s">
        <v>995</v>
      </c>
      <c r="AL329" s="264" t="s">
        <v>995</v>
      </c>
    </row>
    <row r="330" spans="1:38">
      <c r="A330" s="264">
        <v>3368</v>
      </c>
      <c r="B330" s="264" t="s">
        <v>373</v>
      </c>
      <c r="C330" s="264" t="s">
        <v>1275</v>
      </c>
      <c r="D330" s="264" t="s">
        <v>1004</v>
      </c>
      <c r="E330" s="264">
        <v>43211</v>
      </c>
      <c r="F330" s="264" t="s">
        <v>364</v>
      </c>
      <c r="G330" s="389">
        <v>34296</v>
      </c>
      <c r="H330" s="264">
        <v>30</v>
      </c>
      <c r="I330" s="389">
        <v>40989</v>
      </c>
      <c r="K330" s="390">
        <v>42278</v>
      </c>
      <c r="L330" s="264">
        <v>20</v>
      </c>
      <c r="M330" s="264" t="s">
        <v>1015</v>
      </c>
      <c r="N330" s="264">
        <v>1</v>
      </c>
      <c r="O330" s="264" t="s">
        <v>829</v>
      </c>
      <c r="P330" s="264" t="s">
        <v>994</v>
      </c>
      <c r="Q330" s="264" t="s">
        <v>1009</v>
      </c>
      <c r="R330" s="264" t="s">
        <v>1010</v>
      </c>
      <c r="S330" s="264" t="s">
        <v>996</v>
      </c>
      <c r="T330" s="264" t="s">
        <v>997</v>
      </c>
      <c r="U330" s="264" t="s">
        <v>995</v>
      </c>
      <c r="V330" s="264" t="s">
        <v>995</v>
      </c>
      <c r="W330" s="264" t="s">
        <v>995</v>
      </c>
      <c r="X330" s="264" t="s">
        <v>828</v>
      </c>
      <c r="Y330" s="264" t="s">
        <v>998</v>
      </c>
      <c r="Z330" s="264">
        <v>31</v>
      </c>
      <c r="AA330" s="264" t="s">
        <v>999</v>
      </c>
      <c r="AB330" s="264">
        <v>31</v>
      </c>
      <c r="AC330" s="264" t="s">
        <v>999</v>
      </c>
      <c r="AD330" s="264" t="s">
        <v>1000</v>
      </c>
      <c r="AE330" s="264" t="s">
        <v>1000</v>
      </c>
      <c r="AF330" s="264" t="s">
        <v>1000</v>
      </c>
      <c r="AG330" s="264" t="s">
        <v>1000</v>
      </c>
      <c r="AH330" s="264" t="s">
        <v>1002</v>
      </c>
      <c r="AI330" s="264" t="s">
        <v>1002</v>
      </c>
      <c r="AJ330" s="264" t="s">
        <v>995</v>
      </c>
      <c r="AK330" s="264" t="s">
        <v>995</v>
      </c>
      <c r="AL330" s="264" t="s">
        <v>995</v>
      </c>
    </row>
    <row r="331" spans="1:38">
      <c r="A331" s="264">
        <v>3407</v>
      </c>
      <c r="B331" s="264" t="s">
        <v>374</v>
      </c>
      <c r="C331" s="264" t="s">
        <v>1276</v>
      </c>
      <c r="D331" s="264" t="s">
        <v>1004</v>
      </c>
      <c r="E331" s="264">
        <v>43211</v>
      </c>
      <c r="F331" s="264" t="s">
        <v>364</v>
      </c>
      <c r="G331" s="389">
        <v>34564</v>
      </c>
      <c r="H331" s="264">
        <v>29</v>
      </c>
      <c r="I331" s="389">
        <v>41354</v>
      </c>
      <c r="K331" s="390">
        <v>42278</v>
      </c>
      <c r="L331" s="264">
        <v>20</v>
      </c>
      <c r="M331" s="264" t="s">
        <v>1015</v>
      </c>
      <c r="N331" s="264">
        <v>1</v>
      </c>
      <c r="O331" s="264" t="s">
        <v>829</v>
      </c>
      <c r="P331" s="264" t="s">
        <v>994</v>
      </c>
      <c r="Q331" s="264" t="s">
        <v>1009</v>
      </c>
      <c r="R331" s="264" t="s">
        <v>1010</v>
      </c>
      <c r="S331" s="264" t="s">
        <v>996</v>
      </c>
      <c r="T331" s="264" t="s">
        <v>997</v>
      </c>
      <c r="U331" s="264" t="s">
        <v>995</v>
      </c>
      <c r="V331" s="264" t="s">
        <v>995</v>
      </c>
      <c r="W331" s="264" t="s">
        <v>995</v>
      </c>
      <c r="X331" s="264" t="s">
        <v>828</v>
      </c>
      <c r="Y331" s="264" t="s">
        <v>998</v>
      </c>
      <c r="Z331" s="264">
        <v>31</v>
      </c>
      <c r="AA331" s="264" t="s">
        <v>999</v>
      </c>
      <c r="AB331" s="264">
        <v>31</v>
      </c>
      <c r="AC331" s="264" t="s">
        <v>999</v>
      </c>
      <c r="AD331" s="264" t="s">
        <v>1000</v>
      </c>
      <c r="AE331" s="264" t="s">
        <v>1000</v>
      </c>
      <c r="AF331" s="264" t="s">
        <v>1000</v>
      </c>
      <c r="AG331" s="264" t="s">
        <v>1000</v>
      </c>
      <c r="AH331" s="264" t="s">
        <v>1002</v>
      </c>
      <c r="AI331" s="264" t="s">
        <v>1002</v>
      </c>
      <c r="AJ331" s="264" t="s">
        <v>995</v>
      </c>
      <c r="AK331" s="264" t="s">
        <v>995</v>
      </c>
      <c r="AL331" s="264" t="s">
        <v>995</v>
      </c>
    </row>
    <row r="332" spans="1:38">
      <c r="A332" s="264">
        <v>3543</v>
      </c>
      <c r="B332" s="264" t="s">
        <v>1277</v>
      </c>
      <c r="C332" s="264" t="s">
        <v>1278</v>
      </c>
      <c r="D332" s="264" t="s">
        <v>991</v>
      </c>
      <c r="E332" s="264">
        <v>43211</v>
      </c>
      <c r="F332" s="264" t="s">
        <v>364</v>
      </c>
      <c r="G332" s="389">
        <v>38104</v>
      </c>
      <c r="H332" s="264">
        <v>19</v>
      </c>
      <c r="I332" s="389">
        <v>45017</v>
      </c>
      <c r="K332" s="390">
        <v>45047</v>
      </c>
      <c r="L332" s="264">
        <v>20</v>
      </c>
      <c r="M332" s="264" t="s">
        <v>1015</v>
      </c>
      <c r="N332" s="264">
        <v>1</v>
      </c>
      <c r="O332" s="264" t="s">
        <v>829</v>
      </c>
      <c r="P332" s="264" t="s">
        <v>994</v>
      </c>
      <c r="Q332" s="264" t="s">
        <v>1009</v>
      </c>
      <c r="R332" s="264" t="s">
        <v>1010</v>
      </c>
      <c r="S332" s="264" t="s">
        <v>996</v>
      </c>
      <c r="T332" s="264" t="s">
        <v>997</v>
      </c>
      <c r="U332" s="264" t="s">
        <v>995</v>
      </c>
      <c r="V332" s="264" t="s">
        <v>995</v>
      </c>
      <c r="W332" s="264" t="s">
        <v>995</v>
      </c>
      <c r="X332" s="264" t="s">
        <v>828</v>
      </c>
      <c r="Y332" s="264" t="s">
        <v>998</v>
      </c>
      <c r="Z332" s="264">
        <v>31</v>
      </c>
      <c r="AA332" s="264" t="s">
        <v>999</v>
      </c>
      <c r="AB332" s="264">
        <v>31</v>
      </c>
      <c r="AC332" s="264" t="s">
        <v>999</v>
      </c>
      <c r="AD332" s="264" t="s">
        <v>1000</v>
      </c>
      <c r="AE332" s="264" t="s">
        <v>1000</v>
      </c>
      <c r="AF332" s="264" t="s">
        <v>1000</v>
      </c>
      <c r="AG332" s="264" t="s">
        <v>1000</v>
      </c>
      <c r="AH332" s="264" t="s">
        <v>1002</v>
      </c>
      <c r="AI332" s="264" t="s">
        <v>1002</v>
      </c>
      <c r="AJ332" s="264" t="s">
        <v>995</v>
      </c>
      <c r="AK332" s="264" t="s">
        <v>995</v>
      </c>
      <c r="AL332" s="264" t="s">
        <v>995</v>
      </c>
    </row>
    <row r="333" spans="1:38">
      <c r="A333" s="264">
        <v>3833</v>
      </c>
      <c r="B333" s="264" t="s">
        <v>368</v>
      </c>
      <c r="C333" s="264" t="s">
        <v>1279</v>
      </c>
      <c r="D333" s="264" t="s">
        <v>1004</v>
      </c>
      <c r="E333" s="264">
        <v>43211</v>
      </c>
      <c r="F333" s="264" t="s">
        <v>364</v>
      </c>
      <c r="G333" s="389">
        <v>26148</v>
      </c>
      <c r="H333" s="264">
        <v>52</v>
      </c>
      <c r="I333" s="389">
        <v>33651</v>
      </c>
      <c r="K333" s="390">
        <v>42278</v>
      </c>
      <c r="L333" s="264">
        <v>20</v>
      </c>
      <c r="M333" s="264" t="s">
        <v>1015</v>
      </c>
      <c r="N333" s="264">
        <v>1</v>
      </c>
      <c r="O333" s="264" t="s">
        <v>829</v>
      </c>
      <c r="P333" s="264" t="s">
        <v>994</v>
      </c>
      <c r="Q333" s="264" t="s">
        <v>1009</v>
      </c>
      <c r="R333" s="264" t="s">
        <v>1010</v>
      </c>
      <c r="S333" s="264" t="s">
        <v>996</v>
      </c>
      <c r="T333" s="264" t="s">
        <v>997</v>
      </c>
      <c r="U333" s="264" t="s">
        <v>995</v>
      </c>
      <c r="V333" s="264" t="s">
        <v>995</v>
      </c>
      <c r="W333" s="264" t="s">
        <v>995</v>
      </c>
      <c r="X333" s="264" t="s">
        <v>828</v>
      </c>
      <c r="Y333" s="264" t="s">
        <v>998</v>
      </c>
      <c r="Z333" s="264">
        <v>31</v>
      </c>
      <c r="AA333" s="264" t="s">
        <v>999</v>
      </c>
      <c r="AB333" s="264">
        <v>31</v>
      </c>
      <c r="AC333" s="264" t="s">
        <v>999</v>
      </c>
      <c r="AD333" s="264" t="s">
        <v>1000</v>
      </c>
      <c r="AE333" s="264" t="s">
        <v>1000</v>
      </c>
      <c r="AF333" s="264" t="s">
        <v>1000</v>
      </c>
      <c r="AG333" s="264" t="s">
        <v>1000</v>
      </c>
      <c r="AH333" s="264" t="s">
        <v>1002</v>
      </c>
      <c r="AI333" s="264" t="s">
        <v>1002</v>
      </c>
      <c r="AJ333" s="264" t="s">
        <v>995</v>
      </c>
      <c r="AK333" s="264" t="s">
        <v>995</v>
      </c>
      <c r="AL333" s="264" t="s">
        <v>995</v>
      </c>
    </row>
    <row r="334" spans="1:38">
      <c r="A334" s="264">
        <v>3890</v>
      </c>
      <c r="B334" s="264" t="s">
        <v>514</v>
      </c>
      <c r="C334" s="264" t="s">
        <v>1280</v>
      </c>
      <c r="D334" s="264" t="s">
        <v>991</v>
      </c>
      <c r="E334" s="264">
        <v>43211</v>
      </c>
      <c r="F334" s="264" t="s">
        <v>364</v>
      </c>
      <c r="G334" s="389">
        <v>27282</v>
      </c>
      <c r="H334" s="264">
        <v>49</v>
      </c>
      <c r="I334" s="389">
        <v>34628</v>
      </c>
      <c r="K334" s="390">
        <v>42278</v>
      </c>
      <c r="L334" s="264">
        <v>20</v>
      </c>
      <c r="M334" s="264" t="s">
        <v>1015</v>
      </c>
      <c r="N334" s="264">
        <v>1</v>
      </c>
      <c r="O334" s="264" t="s">
        <v>829</v>
      </c>
      <c r="P334" s="264" t="s">
        <v>994</v>
      </c>
      <c r="Q334" s="264" t="s">
        <v>1009</v>
      </c>
      <c r="R334" s="264" t="s">
        <v>1010</v>
      </c>
      <c r="S334" s="264" t="s">
        <v>996</v>
      </c>
      <c r="T334" s="264" t="s">
        <v>997</v>
      </c>
      <c r="U334" s="264" t="s">
        <v>995</v>
      </c>
      <c r="V334" s="264" t="s">
        <v>995</v>
      </c>
      <c r="W334" s="264" t="s">
        <v>995</v>
      </c>
      <c r="X334" s="264" t="s">
        <v>828</v>
      </c>
      <c r="Y334" s="264" t="s">
        <v>998</v>
      </c>
      <c r="Z334" s="264">
        <v>31</v>
      </c>
      <c r="AA334" s="264" t="s">
        <v>999</v>
      </c>
      <c r="AB334" s="264">
        <v>31</v>
      </c>
      <c r="AC334" s="264" t="s">
        <v>999</v>
      </c>
      <c r="AD334" s="264" t="s">
        <v>1000</v>
      </c>
      <c r="AE334" s="264" t="s">
        <v>1000</v>
      </c>
      <c r="AF334" s="264" t="s">
        <v>1000</v>
      </c>
      <c r="AG334" s="264" t="s">
        <v>1000</v>
      </c>
      <c r="AH334" s="264" t="s">
        <v>1002</v>
      </c>
      <c r="AI334" s="264" t="s">
        <v>1002</v>
      </c>
      <c r="AJ334" s="264" t="s">
        <v>995</v>
      </c>
      <c r="AK334" s="264" t="s">
        <v>995</v>
      </c>
      <c r="AL334" s="264" t="s">
        <v>995</v>
      </c>
    </row>
    <row r="335" spans="1:38">
      <c r="A335" s="264">
        <v>3891</v>
      </c>
      <c r="B335" s="264" t="s">
        <v>371</v>
      </c>
      <c r="C335" s="264" t="s">
        <v>1281</v>
      </c>
      <c r="D335" s="264" t="s">
        <v>1004</v>
      </c>
      <c r="E335" s="264">
        <v>43211</v>
      </c>
      <c r="F335" s="264" t="s">
        <v>364</v>
      </c>
      <c r="G335" s="389">
        <v>28430</v>
      </c>
      <c r="H335" s="264">
        <v>46</v>
      </c>
      <c r="I335" s="389">
        <v>35145</v>
      </c>
      <c r="K335" s="390">
        <v>42278</v>
      </c>
      <c r="L335" s="264">
        <v>20</v>
      </c>
      <c r="M335" s="264" t="s">
        <v>1015</v>
      </c>
      <c r="N335" s="264">
        <v>1</v>
      </c>
      <c r="O335" s="264" t="s">
        <v>829</v>
      </c>
      <c r="P335" s="264" t="s">
        <v>994</v>
      </c>
      <c r="Q335" s="264" t="s">
        <v>1009</v>
      </c>
      <c r="R335" s="264" t="s">
        <v>1010</v>
      </c>
      <c r="S335" s="264" t="s">
        <v>996</v>
      </c>
      <c r="T335" s="264" t="s">
        <v>997</v>
      </c>
      <c r="U335" s="264" t="s">
        <v>995</v>
      </c>
      <c r="V335" s="264" t="s">
        <v>995</v>
      </c>
      <c r="W335" s="264" t="s">
        <v>995</v>
      </c>
      <c r="X335" s="264" t="s">
        <v>828</v>
      </c>
      <c r="Y335" s="264" t="s">
        <v>998</v>
      </c>
      <c r="Z335" s="264">
        <v>31</v>
      </c>
      <c r="AA335" s="264" t="s">
        <v>999</v>
      </c>
      <c r="AB335" s="264">
        <v>31</v>
      </c>
      <c r="AC335" s="264" t="s">
        <v>999</v>
      </c>
      <c r="AD335" s="264" t="s">
        <v>1000</v>
      </c>
      <c r="AE335" s="264" t="s">
        <v>1000</v>
      </c>
      <c r="AF335" s="264" t="s">
        <v>1000</v>
      </c>
      <c r="AG335" s="264" t="s">
        <v>1000</v>
      </c>
      <c r="AH335" s="264" t="s">
        <v>1002</v>
      </c>
      <c r="AI335" s="264" t="s">
        <v>1002</v>
      </c>
      <c r="AJ335" s="264" t="s">
        <v>995</v>
      </c>
      <c r="AK335" s="264" t="s">
        <v>995</v>
      </c>
      <c r="AL335" s="264" t="s">
        <v>995</v>
      </c>
    </row>
    <row r="336" spans="1:38">
      <c r="A336" s="264">
        <v>3892</v>
      </c>
      <c r="B336" s="264" t="s">
        <v>516</v>
      </c>
      <c r="C336" s="264" t="s">
        <v>1282</v>
      </c>
      <c r="D336" s="264" t="s">
        <v>991</v>
      </c>
      <c r="E336" s="264">
        <v>43211</v>
      </c>
      <c r="F336" s="264" t="s">
        <v>364</v>
      </c>
      <c r="G336" s="389">
        <v>30180</v>
      </c>
      <c r="H336" s="264">
        <v>41</v>
      </c>
      <c r="I336" s="389">
        <v>36971</v>
      </c>
      <c r="K336" s="390">
        <v>42278</v>
      </c>
      <c r="L336" s="264">
        <v>20</v>
      </c>
      <c r="M336" s="264" t="s">
        <v>1015</v>
      </c>
      <c r="N336" s="264">
        <v>1</v>
      </c>
      <c r="O336" s="264" t="s">
        <v>829</v>
      </c>
      <c r="P336" s="264" t="s">
        <v>994</v>
      </c>
      <c r="Q336" s="264" t="s">
        <v>1009</v>
      </c>
      <c r="R336" s="264" t="s">
        <v>1010</v>
      </c>
      <c r="S336" s="264" t="s">
        <v>996</v>
      </c>
      <c r="T336" s="264" t="s">
        <v>997</v>
      </c>
      <c r="U336" s="264" t="s">
        <v>995</v>
      </c>
      <c r="V336" s="264" t="s">
        <v>995</v>
      </c>
      <c r="W336" s="264" t="s">
        <v>995</v>
      </c>
      <c r="X336" s="264" t="s">
        <v>828</v>
      </c>
      <c r="Y336" s="264" t="s">
        <v>998</v>
      </c>
      <c r="Z336" s="264">
        <v>31</v>
      </c>
      <c r="AA336" s="264" t="s">
        <v>999</v>
      </c>
      <c r="AB336" s="264">
        <v>31</v>
      </c>
      <c r="AC336" s="264" t="s">
        <v>999</v>
      </c>
      <c r="AD336" s="264" t="s">
        <v>1000</v>
      </c>
      <c r="AE336" s="264" t="s">
        <v>1000</v>
      </c>
      <c r="AF336" s="264" t="s">
        <v>1000</v>
      </c>
      <c r="AG336" s="264" t="s">
        <v>1000</v>
      </c>
      <c r="AH336" s="264" t="s">
        <v>1002</v>
      </c>
      <c r="AI336" s="264" t="s">
        <v>1002</v>
      </c>
      <c r="AJ336" s="264" t="s">
        <v>995</v>
      </c>
      <c r="AK336" s="264" t="s">
        <v>995</v>
      </c>
      <c r="AL336" s="264" t="s">
        <v>995</v>
      </c>
    </row>
    <row r="337" spans="1:38">
      <c r="A337" s="264">
        <v>7776</v>
      </c>
      <c r="B337" s="264" t="s">
        <v>1283</v>
      </c>
      <c r="C337" s="264" t="s">
        <v>1284</v>
      </c>
      <c r="D337" s="264" t="s">
        <v>991</v>
      </c>
      <c r="E337" s="264">
        <v>43221</v>
      </c>
      <c r="F337" s="264" t="s">
        <v>364</v>
      </c>
      <c r="G337" s="389">
        <v>27793</v>
      </c>
      <c r="H337" s="264">
        <v>47</v>
      </c>
      <c r="I337" s="389">
        <v>37867</v>
      </c>
      <c r="K337" s="390">
        <v>42675</v>
      </c>
      <c r="L337" s="264">
        <v>70</v>
      </c>
      <c r="M337" s="264" t="s">
        <v>1024</v>
      </c>
      <c r="N337" s="264">
        <v>1</v>
      </c>
      <c r="O337" s="264" t="s">
        <v>829</v>
      </c>
      <c r="P337" s="264" t="s">
        <v>994</v>
      </c>
      <c r="Q337" s="264" t="s">
        <v>1009</v>
      </c>
      <c r="R337" s="264" t="s">
        <v>1010</v>
      </c>
      <c r="S337" s="264" t="s">
        <v>996</v>
      </c>
      <c r="T337" s="264" t="s">
        <v>997</v>
      </c>
      <c r="U337" s="264" t="s">
        <v>995</v>
      </c>
      <c r="V337" s="264" t="s">
        <v>995</v>
      </c>
      <c r="W337" s="264" t="s">
        <v>995</v>
      </c>
      <c r="X337" s="264" t="s">
        <v>828</v>
      </c>
      <c r="Y337" s="264" t="s">
        <v>998</v>
      </c>
      <c r="Z337" s="264">
        <v>31</v>
      </c>
      <c r="AA337" s="264" t="s">
        <v>999</v>
      </c>
      <c r="AB337" s="264">
        <v>31</v>
      </c>
      <c r="AC337" s="264" t="s">
        <v>999</v>
      </c>
      <c r="AD337" s="264" t="s">
        <v>1000</v>
      </c>
      <c r="AE337" s="264" t="s">
        <v>1000</v>
      </c>
      <c r="AF337" s="264" t="s">
        <v>1000</v>
      </c>
      <c r="AG337" s="264" t="s">
        <v>1000</v>
      </c>
      <c r="AH337" s="264" t="s">
        <v>1002</v>
      </c>
      <c r="AI337" s="264" t="s">
        <v>1002</v>
      </c>
      <c r="AJ337" s="264" t="s">
        <v>995</v>
      </c>
      <c r="AK337" s="264" t="s">
        <v>995</v>
      </c>
      <c r="AL337" s="264" t="s">
        <v>995</v>
      </c>
    </row>
    <row r="338" spans="1:38">
      <c r="A338" s="264">
        <v>7839</v>
      </c>
      <c r="B338" s="264" t="s">
        <v>589</v>
      </c>
      <c r="C338" s="264" t="s">
        <v>1285</v>
      </c>
      <c r="D338" s="264" t="s">
        <v>991</v>
      </c>
      <c r="E338" s="264">
        <v>43221</v>
      </c>
      <c r="F338" s="264" t="s">
        <v>364</v>
      </c>
      <c r="G338" s="389">
        <v>19803</v>
      </c>
      <c r="H338" s="264">
        <v>69</v>
      </c>
      <c r="I338" s="389">
        <v>38393</v>
      </c>
      <c r="K338" s="390">
        <v>42278</v>
      </c>
      <c r="L338" s="264">
        <v>70</v>
      </c>
      <c r="M338" s="264" t="s">
        <v>1024</v>
      </c>
      <c r="N338" s="264">
        <v>1</v>
      </c>
      <c r="O338" s="264" t="s">
        <v>829</v>
      </c>
      <c r="P338" s="264" t="s">
        <v>994</v>
      </c>
      <c r="Q338" s="264" t="s">
        <v>1009</v>
      </c>
      <c r="R338" s="264" t="s">
        <v>1010</v>
      </c>
      <c r="S338" s="264" t="s">
        <v>996</v>
      </c>
      <c r="T338" s="264" t="s">
        <v>997</v>
      </c>
      <c r="U338" s="264" t="s">
        <v>995</v>
      </c>
      <c r="V338" s="264" t="s">
        <v>995</v>
      </c>
      <c r="W338" s="264" t="s">
        <v>995</v>
      </c>
      <c r="X338" s="264" t="s">
        <v>828</v>
      </c>
      <c r="Y338" s="264" t="s">
        <v>998</v>
      </c>
      <c r="Z338" s="264">
        <v>31</v>
      </c>
      <c r="AA338" s="264" t="s">
        <v>999</v>
      </c>
      <c r="AB338" s="264">
        <v>31</v>
      </c>
      <c r="AC338" s="264" t="s">
        <v>999</v>
      </c>
      <c r="AD338" s="264" t="s">
        <v>1000</v>
      </c>
      <c r="AE338" s="264" t="s">
        <v>1000</v>
      </c>
      <c r="AF338" s="264" t="s">
        <v>1000</v>
      </c>
      <c r="AG338" s="264" t="s">
        <v>1000</v>
      </c>
      <c r="AH338" s="264" t="s">
        <v>1002</v>
      </c>
      <c r="AI338" s="264" t="s">
        <v>1002</v>
      </c>
      <c r="AJ338" s="264" t="s">
        <v>995</v>
      </c>
      <c r="AK338" s="264" t="s">
        <v>995</v>
      </c>
      <c r="AL338" s="264" t="s">
        <v>995</v>
      </c>
    </row>
    <row r="339" spans="1:38">
      <c r="A339" s="264">
        <v>7934</v>
      </c>
      <c r="B339" s="264" t="s">
        <v>592</v>
      </c>
      <c r="C339" s="264" t="s">
        <v>1286</v>
      </c>
      <c r="D339" s="264" t="s">
        <v>991</v>
      </c>
      <c r="E339" s="264">
        <v>43221</v>
      </c>
      <c r="F339" s="264" t="s">
        <v>364</v>
      </c>
      <c r="G339" s="389">
        <v>24497</v>
      </c>
      <c r="H339" s="264">
        <v>57</v>
      </c>
      <c r="I339" s="389">
        <v>39209</v>
      </c>
      <c r="K339" s="390">
        <v>42278</v>
      </c>
      <c r="L339" s="264">
        <v>70</v>
      </c>
      <c r="M339" s="264" t="s">
        <v>1024</v>
      </c>
      <c r="N339" s="264">
        <v>1</v>
      </c>
      <c r="O339" s="264" t="s">
        <v>829</v>
      </c>
      <c r="P339" s="264" t="s">
        <v>994</v>
      </c>
      <c r="Q339" s="264" t="s">
        <v>1009</v>
      </c>
      <c r="R339" s="264" t="s">
        <v>1010</v>
      </c>
      <c r="S339" s="264" t="s">
        <v>996</v>
      </c>
      <c r="T339" s="264" t="s">
        <v>997</v>
      </c>
      <c r="U339" s="264" t="s">
        <v>995</v>
      </c>
      <c r="V339" s="264" t="s">
        <v>995</v>
      </c>
      <c r="W339" s="264" t="s">
        <v>995</v>
      </c>
      <c r="X339" s="264" t="s">
        <v>828</v>
      </c>
      <c r="Y339" s="264" t="s">
        <v>998</v>
      </c>
      <c r="Z339" s="264">
        <v>31</v>
      </c>
      <c r="AA339" s="264" t="s">
        <v>999</v>
      </c>
      <c r="AB339" s="264">
        <v>31</v>
      </c>
      <c r="AC339" s="264" t="s">
        <v>999</v>
      </c>
      <c r="AD339" s="264" t="s">
        <v>1000</v>
      </c>
      <c r="AE339" s="264" t="s">
        <v>1000</v>
      </c>
      <c r="AF339" s="264" t="s">
        <v>1000</v>
      </c>
      <c r="AG339" s="264" t="s">
        <v>1000</v>
      </c>
      <c r="AH339" s="264" t="s">
        <v>1002</v>
      </c>
      <c r="AI339" s="264" t="s">
        <v>1002</v>
      </c>
      <c r="AJ339" s="264" t="s">
        <v>995</v>
      </c>
      <c r="AK339" s="264" t="s">
        <v>995</v>
      </c>
      <c r="AL339" s="264" t="s">
        <v>995</v>
      </c>
    </row>
    <row r="340" spans="1:38">
      <c r="A340" s="264">
        <v>8218</v>
      </c>
      <c r="B340" s="264" t="s">
        <v>1287</v>
      </c>
      <c r="C340" s="264" t="s">
        <v>1288</v>
      </c>
      <c r="D340" s="264" t="s">
        <v>991</v>
      </c>
      <c r="E340" s="264">
        <v>43221</v>
      </c>
      <c r="F340" s="264" t="s">
        <v>364</v>
      </c>
      <c r="G340" s="389">
        <v>25591</v>
      </c>
      <c r="H340" s="264">
        <v>54</v>
      </c>
      <c r="I340" s="389">
        <v>44882</v>
      </c>
      <c r="K340" s="390">
        <v>44896</v>
      </c>
      <c r="L340" s="264">
        <v>70</v>
      </c>
      <c r="M340" s="264" t="s">
        <v>1024</v>
      </c>
      <c r="N340" s="264">
        <v>1</v>
      </c>
      <c r="O340" s="264" t="s">
        <v>829</v>
      </c>
      <c r="P340" s="264" t="s">
        <v>994</v>
      </c>
      <c r="Q340" s="264" t="s">
        <v>1009</v>
      </c>
      <c r="R340" s="264" t="s">
        <v>1010</v>
      </c>
      <c r="S340" s="264" t="s">
        <v>996</v>
      </c>
      <c r="T340" s="264" t="s">
        <v>997</v>
      </c>
      <c r="U340" s="264" t="s">
        <v>995</v>
      </c>
      <c r="V340" s="264" t="s">
        <v>995</v>
      </c>
      <c r="W340" s="264" t="s">
        <v>995</v>
      </c>
      <c r="X340" s="264" t="s">
        <v>828</v>
      </c>
      <c r="Y340" s="264" t="s">
        <v>998</v>
      </c>
      <c r="Z340" s="264">
        <v>31</v>
      </c>
      <c r="AA340" s="264" t="s">
        <v>999</v>
      </c>
      <c r="AB340" s="264">
        <v>31</v>
      </c>
      <c r="AC340" s="264" t="s">
        <v>999</v>
      </c>
      <c r="AD340" s="264" t="s">
        <v>1000</v>
      </c>
      <c r="AE340" s="264" t="s">
        <v>1000</v>
      </c>
      <c r="AF340" s="264" t="s">
        <v>1000</v>
      </c>
      <c r="AG340" s="264" t="s">
        <v>1000</v>
      </c>
      <c r="AH340" s="264" t="s">
        <v>1002</v>
      </c>
      <c r="AI340" s="264" t="s">
        <v>1002</v>
      </c>
      <c r="AJ340" s="264" t="s">
        <v>995</v>
      </c>
      <c r="AK340" s="264" t="s">
        <v>995</v>
      </c>
      <c r="AL340" s="264" t="s">
        <v>995</v>
      </c>
    </row>
    <row r="341" spans="1:38">
      <c r="A341" s="264">
        <v>8244</v>
      </c>
      <c r="B341" s="264" t="s">
        <v>1289</v>
      </c>
      <c r="C341" s="264" t="s">
        <v>1290</v>
      </c>
      <c r="D341" s="264" t="s">
        <v>991</v>
      </c>
      <c r="E341" s="264">
        <v>43221</v>
      </c>
      <c r="F341" s="264" t="s">
        <v>364</v>
      </c>
      <c r="G341" s="389">
        <v>31240</v>
      </c>
      <c r="H341" s="264">
        <v>38</v>
      </c>
      <c r="I341" s="389">
        <v>45078</v>
      </c>
      <c r="K341" s="390">
        <v>45078</v>
      </c>
      <c r="L341" s="264">
        <v>70</v>
      </c>
      <c r="M341" s="264" t="s">
        <v>1024</v>
      </c>
      <c r="N341" s="264">
        <v>1</v>
      </c>
      <c r="O341" s="264" t="s">
        <v>829</v>
      </c>
      <c r="P341" s="264" t="s">
        <v>994</v>
      </c>
      <c r="Q341" s="264" t="s">
        <v>1009</v>
      </c>
      <c r="R341" s="264" t="s">
        <v>1010</v>
      </c>
      <c r="S341" s="264" t="s">
        <v>996</v>
      </c>
      <c r="T341" s="264" t="s">
        <v>1291</v>
      </c>
      <c r="U341" s="264" t="s">
        <v>995</v>
      </c>
      <c r="V341" s="264" t="s">
        <v>995</v>
      </c>
      <c r="W341" s="264" t="s">
        <v>995</v>
      </c>
      <c r="X341" s="264" t="s">
        <v>828</v>
      </c>
      <c r="Y341" s="264" t="s">
        <v>998</v>
      </c>
      <c r="Z341" s="264">
        <v>31</v>
      </c>
      <c r="AA341" s="264" t="s">
        <v>999</v>
      </c>
      <c r="AB341" s="264">
        <v>31</v>
      </c>
      <c r="AC341" s="264" t="s">
        <v>999</v>
      </c>
      <c r="AD341" s="264" t="s">
        <v>1000</v>
      </c>
      <c r="AE341" s="264" t="s">
        <v>1000</v>
      </c>
      <c r="AF341" s="264" t="s">
        <v>1000</v>
      </c>
      <c r="AG341" s="264" t="s">
        <v>1000</v>
      </c>
      <c r="AH341" s="264" t="s">
        <v>1002</v>
      </c>
      <c r="AI341" s="264" t="s">
        <v>1002</v>
      </c>
      <c r="AJ341" s="264" t="s">
        <v>995</v>
      </c>
      <c r="AK341" s="264" t="s">
        <v>995</v>
      </c>
      <c r="AL341" s="264" t="s">
        <v>995</v>
      </c>
    </row>
    <row r="342" spans="1:38">
      <c r="A342" s="264">
        <v>8249</v>
      </c>
      <c r="B342" s="264" t="s">
        <v>1292</v>
      </c>
      <c r="C342" s="264" t="s">
        <v>1293</v>
      </c>
      <c r="D342" s="264" t="s">
        <v>991</v>
      </c>
      <c r="E342" s="264">
        <v>43221</v>
      </c>
      <c r="F342" s="264" t="s">
        <v>364</v>
      </c>
      <c r="G342" s="389">
        <v>26745</v>
      </c>
      <c r="H342" s="264">
        <v>50</v>
      </c>
      <c r="I342" s="389">
        <v>45170</v>
      </c>
      <c r="K342" s="390">
        <v>45200</v>
      </c>
      <c r="L342" s="264">
        <v>70</v>
      </c>
      <c r="M342" s="264" t="s">
        <v>1024</v>
      </c>
      <c r="N342" s="264">
        <v>1</v>
      </c>
      <c r="O342" s="264" t="s">
        <v>829</v>
      </c>
      <c r="P342" s="264" t="s">
        <v>994</v>
      </c>
      <c r="Q342" s="264" t="s">
        <v>1009</v>
      </c>
      <c r="R342" s="264" t="s">
        <v>1010</v>
      </c>
      <c r="S342" s="264" t="s">
        <v>996</v>
      </c>
      <c r="T342" s="264" t="s">
        <v>997</v>
      </c>
      <c r="U342" s="264" t="s">
        <v>995</v>
      </c>
      <c r="V342" s="264" t="s">
        <v>995</v>
      </c>
      <c r="W342" s="264" t="s">
        <v>995</v>
      </c>
      <c r="X342" s="264" t="s">
        <v>828</v>
      </c>
      <c r="Y342" s="264" t="s">
        <v>998</v>
      </c>
      <c r="Z342" s="264">
        <v>31</v>
      </c>
      <c r="AA342" s="264" t="s">
        <v>999</v>
      </c>
      <c r="AB342" s="264">
        <v>31</v>
      </c>
      <c r="AC342" s="264" t="s">
        <v>999</v>
      </c>
      <c r="AD342" s="264" t="s">
        <v>1000</v>
      </c>
      <c r="AE342" s="264" t="s">
        <v>1000</v>
      </c>
      <c r="AF342" s="264" t="s">
        <v>1000</v>
      </c>
      <c r="AG342" s="264" t="s">
        <v>1000</v>
      </c>
      <c r="AH342" s="264" t="s">
        <v>1002</v>
      </c>
      <c r="AI342" s="264" t="s">
        <v>1002</v>
      </c>
      <c r="AJ342" s="264" t="s">
        <v>995</v>
      </c>
      <c r="AK342" s="264" t="s">
        <v>995</v>
      </c>
      <c r="AL342" s="264" t="s">
        <v>995</v>
      </c>
    </row>
    <row r="343" spans="1:38">
      <c r="A343" s="264">
        <v>8252</v>
      </c>
      <c r="B343" s="264" t="s">
        <v>1294</v>
      </c>
      <c r="C343" s="264" t="s">
        <v>1295</v>
      </c>
      <c r="D343" s="264" t="s">
        <v>1004</v>
      </c>
      <c r="E343" s="264">
        <v>43221</v>
      </c>
      <c r="F343" s="264" t="s">
        <v>364</v>
      </c>
      <c r="G343" s="389">
        <v>36465</v>
      </c>
      <c r="H343" s="264">
        <v>24</v>
      </c>
      <c r="I343" s="389">
        <v>45243</v>
      </c>
      <c r="K343" s="390">
        <v>45231</v>
      </c>
      <c r="L343" s="264">
        <v>70</v>
      </c>
      <c r="M343" s="264" t="s">
        <v>1024</v>
      </c>
      <c r="N343" s="264">
        <v>1</v>
      </c>
      <c r="O343" s="264" t="s">
        <v>829</v>
      </c>
      <c r="P343" s="264" t="s">
        <v>994</v>
      </c>
      <c r="Q343" s="264" t="s">
        <v>1009</v>
      </c>
      <c r="R343" s="264" t="s">
        <v>1010</v>
      </c>
      <c r="S343" s="264" t="s">
        <v>996</v>
      </c>
      <c r="T343" s="264" t="s">
        <v>997</v>
      </c>
      <c r="U343" s="264" t="s">
        <v>995</v>
      </c>
      <c r="V343" s="264" t="s">
        <v>995</v>
      </c>
      <c r="W343" s="264" t="s">
        <v>995</v>
      </c>
      <c r="X343" s="264" t="s">
        <v>828</v>
      </c>
      <c r="Y343" s="264" t="s">
        <v>998</v>
      </c>
      <c r="Z343" s="264">
        <v>31</v>
      </c>
      <c r="AA343" s="264" t="s">
        <v>999</v>
      </c>
      <c r="AB343" s="264">
        <v>31</v>
      </c>
      <c r="AC343" s="264" t="s">
        <v>999</v>
      </c>
      <c r="AD343" s="264" t="s">
        <v>1000</v>
      </c>
      <c r="AE343" s="264" t="s">
        <v>1000</v>
      </c>
      <c r="AF343" s="264" t="s">
        <v>1000</v>
      </c>
      <c r="AG343" s="264" t="s">
        <v>1000</v>
      </c>
      <c r="AH343" s="264" t="s">
        <v>1002</v>
      </c>
      <c r="AI343" s="264" t="s">
        <v>1002</v>
      </c>
      <c r="AJ343" s="264" t="s">
        <v>995</v>
      </c>
      <c r="AK343" s="264" t="s">
        <v>995</v>
      </c>
      <c r="AL343" s="264" t="s">
        <v>995</v>
      </c>
    </row>
    <row r="344" spans="1:38">
      <c r="A344" s="264">
        <v>2892</v>
      </c>
      <c r="B344" s="264" t="s">
        <v>93</v>
      </c>
      <c r="C344" s="264" t="s">
        <v>1115</v>
      </c>
      <c r="D344" s="264" t="s">
        <v>1004</v>
      </c>
      <c r="E344" s="264">
        <v>40000</v>
      </c>
      <c r="F344" s="264" t="s">
        <v>87</v>
      </c>
      <c r="G344" s="389">
        <v>26515</v>
      </c>
      <c r="H344" s="264">
        <v>51</v>
      </c>
      <c r="I344" s="389">
        <v>33322</v>
      </c>
      <c r="K344" s="390">
        <v>42278</v>
      </c>
      <c r="L344" s="264">
        <v>20</v>
      </c>
      <c r="M344" s="264" t="s">
        <v>1015</v>
      </c>
      <c r="N344" s="264">
        <v>1</v>
      </c>
      <c r="O344" s="264" t="s">
        <v>829</v>
      </c>
      <c r="P344" s="264" t="s">
        <v>994</v>
      </c>
      <c r="Q344" s="264" t="s">
        <v>1009</v>
      </c>
      <c r="R344" s="264" t="s">
        <v>1010</v>
      </c>
      <c r="S344" s="264" t="s">
        <v>996</v>
      </c>
      <c r="T344" s="264" t="s">
        <v>997</v>
      </c>
      <c r="U344" s="264" t="s">
        <v>995</v>
      </c>
      <c r="V344" s="264" t="s">
        <v>995</v>
      </c>
      <c r="W344" s="264" t="s">
        <v>995</v>
      </c>
      <c r="X344" s="264" t="s">
        <v>828</v>
      </c>
      <c r="Y344" s="264" t="s">
        <v>998</v>
      </c>
      <c r="Z344" s="264">
        <v>31</v>
      </c>
      <c r="AA344" s="264" t="s">
        <v>999</v>
      </c>
      <c r="AB344" s="264">
        <v>31</v>
      </c>
      <c r="AC344" s="264" t="s">
        <v>999</v>
      </c>
      <c r="AD344" s="264" t="s">
        <v>1000</v>
      </c>
      <c r="AE344" s="264" t="s">
        <v>1000</v>
      </c>
      <c r="AF344" s="264" t="s">
        <v>1000</v>
      </c>
      <c r="AG344" s="264" t="s">
        <v>1000</v>
      </c>
      <c r="AH344" s="264" t="s">
        <v>1002</v>
      </c>
      <c r="AI344" s="264" t="s">
        <v>1002</v>
      </c>
      <c r="AJ344" s="264" t="s">
        <v>995</v>
      </c>
      <c r="AK344" s="264" t="s">
        <v>995</v>
      </c>
      <c r="AL344" s="264" t="s">
        <v>995</v>
      </c>
    </row>
    <row r="345" spans="1:38">
      <c r="A345" s="264">
        <v>3032</v>
      </c>
      <c r="B345" s="264" t="s">
        <v>306</v>
      </c>
      <c r="C345" s="264" t="s">
        <v>1296</v>
      </c>
      <c r="D345" s="264" t="s">
        <v>1004</v>
      </c>
      <c r="E345" s="264">
        <v>43311</v>
      </c>
      <c r="F345" s="264" t="s">
        <v>377</v>
      </c>
      <c r="G345" s="389">
        <v>27473</v>
      </c>
      <c r="H345" s="264">
        <v>48</v>
      </c>
      <c r="I345" s="389">
        <v>34780</v>
      </c>
      <c r="K345" s="390">
        <v>42278</v>
      </c>
      <c r="L345" s="264">
        <v>20</v>
      </c>
      <c r="M345" s="264" t="s">
        <v>1015</v>
      </c>
      <c r="N345" s="264">
        <v>1</v>
      </c>
      <c r="O345" s="264" t="s">
        <v>829</v>
      </c>
      <c r="P345" s="264" t="s">
        <v>994</v>
      </c>
      <c r="Q345" s="264" t="s">
        <v>1009</v>
      </c>
      <c r="R345" s="264" t="s">
        <v>1010</v>
      </c>
      <c r="S345" s="264" t="s">
        <v>996</v>
      </c>
      <c r="T345" s="264" t="s">
        <v>997</v>
      </c>
      <c r="U345" s="264" t="s">
        <v>995</v>
      </c>
      <c r="V345" s="264" t="s">
        <v>995</v>
      </c>
      <c r="W345" s="264" t="s">
        <v>995</v>
      </c>
      <c r="X345" s="264" t="s">
        <v>828</v>
      </c>
      <c r="Y345" s="264" t="s">
        <v>998</v>
      </c>
      <c r="Z345" s="264">
        <v>31</v>
      </c>
      <c r="AA345" s="264" t="s">
        <v>999</v>
      </c>
      <c r="AB345" s="264">
        <v>31</v>
      </c>
      <c r="AC345" s="264" t="s">
        <v>999</v>
      </c>
      <c r="AD345" s="264" t="s">
        <v>1000</v>
      </c>
      <c r="AE345" s="264" t="s">
        <v>1000</v>
      </c>
      <c r="AF345" s="264" t="s">
        <v>1000</v>
      </c>
      <c r="AG345" s="264" t="s">
        <v>1000</v>
      </c>
      <c r="AH345" s="264" t="s">
        <v>1002</v>
      </c>
      <c r="AI345" s="264" t="s">
        <v>1002</v>
      </c>
      <c r="AJ345" s="264" t="s">
        <v>995</v>
      </c>
      <c r="AK345" s="264" t="s">
        <v>995</v>
      </c>
      <c r="AL345" s="264" t="s">
        <v>995</v>
      </c>
    </row>
    <row r="346" spans="1:38">
      <c r="A346" s="264">
        <v>3435</v>
      </c>
      <c r="B346" s="264" t="s">
        <v>359</v>
      </c>
      <c r="C346" s="264" t="s">
        <v>1297</v>
      </c>
      <c r="D346" s="264" t="s">
        <v>1004</v>
      </c>
      <c r="E346" s="264">
        <v>43311</v>
      </c>
      <c r="F346" s="264" t="s">
        <v>377</v>
      </c>
      <c r="G346" s="389">
        <v>35452</v>
      </c>
      <c r="H346" s="264">
        <v>27</v>
      </c>
      <c r="I346" s="389">
        <v>42095</v>
      </c>
      <c r="K346" s="390">
        <v>42278</v>
      </c>
      <c r="L346" s="264">
        <v>20</v>
      </c>
      <c r="M346" s="264" t="s">
        <v>1015</v>
      </c>
      <c r="N346" s="264">
        <v>1</v>
      </c>
      <c r="O346" s="264" t="s">
        <v>829</v>
      </c>
      <c r="P346" s="264" t="s">
        <v>994</v>
      </c>
      <c r="Q346" s="264" t="s">
        <v>1009</v>
      </c>
      <c r="R346" s="264" t="s">
        <v>1010</v>
      </c>
      <c r="S346" s="264" t="s">
        <v>996</v>
      </c>
      <c r="T346" s="264" t="s">
        <v>997</v>
      </c>
      <c r="U346" s="264" t="s">
        <v>995</v>
      </c>
      <c r="V346" s="264" t="s">
        <v>995</v>
      </c>
      <c r="W346" s="264" t="s">
        <v>995</v>
      </c>
      <c r="X346" s="264" t="s">
        <v>828</v>
      </c>
      <c r="Y346" s="264" t="s">
        <v>998</v>
      </c>
      <c r="Z346" s="264">
        <v>31</v>
      </c>
      <c r="AA346" s="264" t="s">
        <v>999</v>
      </c>
      <c r="AB346" s="264">
        <v>31</v>
      </c>
      <c r="AC346" s="264" t="s">
        <v>999</v>
      </c>
      <c r="AD346" s="264" t="s">
        <v>1000</v>
      </c>
      <c r="AE346" s="264" t="s">
        <v>1000</v>
      </c>
      <c r="AF346" s="264" t="s">
        <v>1000</v>
      </c>
      <c r="AG346" s="264" t="s">
        <v>1000</v>
      </c>
      <c r="AH346" s="264" t="s">
        <v>1002</v>
      </c>
      <c r="AI346" s="264" t="s">
        <v>1002</v>
      </c>
      <c r="AJ346" s="264" t="s">
        <v>995</v>
      </c>
      <c r="AK346" s="264" t="s">
        <v>995</v>
      </c>
      <c r="AL346" s="264" t="s">
        <v>995</v>
      </c>
    </row>
    <row r="347" spans="1:38">
      <c r="A347" s="264">
        <v>3855</v>
      </c>
      <c r="B347" s="264" t="s">
        <v>378</v>
      </c>
      <c r="C347" s="264" t="s">
        <v>1298</v>
      </c>
      <c r="D347" s="264" t="s">
        <v>1004</v>
      </c>
      <c r="E347" s="264">
        <v>43311</v>
      </c>
      <c r="F347" s="264" t="s">
        <v>377</v>
      </c>
      <c r="G347" s="389">
        <v>26315</v>
      </c>
      <c r="H347" s="264">
        <v>52</v>
      </c>
      <c r="I347" s="389">
        <v>34810</v>
      </c>
      <c r="K347" s="390">
        <v>42278</v>
      </c>
      <c r="L347" s="264">
        <v>20</v>
      </c>
      <c r="M347" s="264" t="s">
        <v>1015</v>
      </c>
      <c r="N347" s="264">
        <v>1</v>
      </c>
      <c r="O347" s="264" t="s">
        <v>829</v>
      </c>
      <c r="P347" s="264" t="s">
        <v>994</v>
      </c>
      <c r="Q347" s="264" t="s">
        <v>1009</v>
      </c>
      <c r="R347" s="264" t="s">
        <v>1010</v>
      </c>
      <c r="S347" s="264" t="s">
        <v>996</v>
      </c>
      <c r="T347" s="264" t="s">
        <v>997</v>
      </c>
      <c r="U347" s="264" t="s">
        <v>1021</v>
      </c>
      <c r="V347" s="264" t="s">
        <v>995</v>
      </c>
      <c r="W347" s="264" t="s">
        <v>995</v>
      </c>
      <c r="X347" s="264" t="s">
        <v>828</v>
      </c>
      <c r="Y347" s="264" t="s">
        <v>998</v>
      </c>
      <c r="Z347" s="264">
        <v>31</v>
      </c>
      <c r="AA347" s="264" t="s">
        <v>999</v>
      </c>
      <c r="AB347" s="264">
        <v>31</v>
      </c>
      <c r="AC347" s="264" t="s">
        <v>999</v>
      </c>
      <c r="AD347" s="264" t="s">
        <v>1000</v>
      </c>
      <c r="AE347" s="264" t="s">
        <v>1000</v>
      </c>
      <c r="AF347" s="264" t="s">
        <v>1000</v>
      </c>
      <c r="AG347" s="264" t="s">
        <v>1000</v>
      </c>
      <c r="AH347" s="264" t="s">
        <v>1002</v>
      </c>
      <c r="AI347" s="264" t="s">
        <v>1002</v>
      </c>
      <c r="AJ347" s="264" t="s">
        <v>995</v>
      </c>
      <c r="AK347" s="264" t="s">
        <v>995</v>
      </c>
      <c r="AL347" s="264" t="s">
        <v>995</v>
      </c>
    </row>
    <row r="348" spans="1:38">
      <c r="A348" s="264">
        <v>8162</v>
      </c>
      <c r="B348" s="264" t="s">
        <v>603</v>
      </c>
      <c r="C348" s="264" t="s">
        <v>1299</v>
      </c>
      <c r="D348" s="264" t="s">
        <v>991</v>
      </c>
      <c r="E348" s="264">
        <v>43321</v>
      </c>
      <c r="F348" s="264" t="s">
        <v>377</v>
      </c>
      <c r="G348" s="389">
        <v>22161</v>
      </c>
      <c r="H348" s="264">
        <v>63</v>
      </c>
      <c r="I348" s="389">
        <v>42807</v>
      </c>
      <c r="J348" s="389"/>
      <c r="K348" s="390">
        <v>42826</v>
      </c>
      <c r="L348" s="264">
        <v>70</v>
      </c>
      <c r="M348" s="264" t="s">
        <v>1024</v>
      </c>
      <c r="N348" s="264">
        <v>1</v>
      </c>
      <c r="O348" s="264" t="s">
        <v>829</v>
      </c>
      <c r="P348" s="264" t="s">
        <v>994</v>
      </c>
      <c r="Q348" s="264" t="s">
        <v>1009</v>
      </c>
      <c r="R348" s="264" t="s">
        <v>1010</v>
      </c>
      <c r="S348" s="264" t="s">
        <v>996</v>
      </c>
      <c r="T348" s="264" t="s">
        <v>997</v>
      </c>
      <c r="U348" s="264" t="s">
        <v>995</v>
      </c>
      <c r="V348" s="264" t="s">
        <v>995</v>
      </c>
      <c r="W348" s="264" t="s">
        <v>995</v>
      </c>
      <c r="X348" s="264" t="s">
        <v>828</v>
      </c>
      <c r="Y348" s="264" t="s">
        <v>998</v>
      </c>
      <c r="Z348" s="264">
        <v>31</v>
      </c>
      <c r="AA348" s="264" t="s">
        <v>999</v>
      </c>
      <c r="AB348" s="264">
        <v>31</v>
      </c>
      <c r="AC348" s="264" t="s">
        <v>999</v>
      </c>
      <c r="AD348" s="264" t="s">
        <v>1000</v>
      </c>
      <c r="AE348" s="264" t="s">
        <v>1000</v>
      </c>
      <c r="AF348" s="264" t="s">
        <v>1000</v>
      </c>
      <c r="AG348" s="264" t="s">
        <v>1000</v>
      </c>
      <c r="AH348" s="264" t="s">
        <v>1002</v>
      </c>
      <c r="AI348" s="264" t="s">
        <v>1002</v>
      </c>
      <c r="AJ348" s="264" t="s">
        <v>995</v>
      </c>
      <c r="AK348" s="264" t="s">
        <v>995</v>
      </c>
      <c r="AL348" s="264" t="s">
        <v>995</v>
      </c>
    </row>
    <row r="349" spans="1:38">
      <c r="A349" s="264">
        <v>8210</v>
      </c>
      <c r="B349" s="264" t="s">
        <v>791</v>
      </c>
      <c r="C349" s="264" t="s">
        <v>1300</v>
      </c>
      <c r="D349" s="264" t="s">
        <v>1004</v>
      </c>
      <c r="E349" s="264">
        <v>43321</v>
      </c>
      <c r="F349" s="264" t="s">
        <v>377</v>
      </c>
      <c r="G349" s="389">
        <v>22740</v>
      </c>
      <c r="H349" s="264">
        <v>61</v>
      </c>
      <c r="I349" s="389">
        <v>37611</v>
      </c>
      <c r="K349" s="390">
        <v>44682</v>
      </c>
      <c r="L349" s="264">
        <v>70</v>
      </c>
      <c r="M349" s="264" t="s">
        <v>1024</v>
      </c>
      <c r="N349" s="264">
        <v>1</v>
      </c>
      <c r="O349" s="264" t="s">
        <v>829</v>
      </c>
      <c r="P349" s="264" t="s">
        <v>994</v>
      </c>
      <c r="Q349" s="264" t="s">
        <v>1009</v>
      </c>
      <c r="R349" s="264" t="s">
        <v>1010</v>
      </c>
      <c r="S349" s="264" t="s">
        <v>996</v>
      </c>
      <c r="T349" s="264" t="s">
        <v>997</v>
      </c>
      <c r="U349" s="264" t="s">
        <v>1021</v>
      </c>
      <c r="V349" s="264" t="s">
        <v>995</v>
      </c>
      <c r="W349" s="264" t="s">
        <v>995</v>
      </c>
      <c r="X349" s="264" t="s">
        <v>828</v>
      </c>
      <c r="Y349" s="264" t="s">
        <v>998</v>
      </c>
      <c r="Z349" s="264">
        <v>31</v>
      </c>
      <c r="AA349" s="264" t="s">
        <v>999</v>
      </c>
      <c r="AB349" s="264">
        <v>31</v>
      </c>
      <c r="AC349" s="264" t="s">
        <v>999</v>
      </c>
      <c r="AD349" s="264" t="s">
        <v>1000</v>
      </c>
      <c r="AE349" s="264" t="s">
        <v>1000</v>
      </c>
      <c r="AF349" s="264" t="s">
        <v>1000</v>
      </c>
      <c r="AG349" s="264" t="s">
        <v>1000</v>
      </c>
      <c r="AH349" s="264" t="s">
        <v>1002</v>
      </c>
      <c r="AI349" s="264" t="s">
        <v>1002</v>
      </c>
      <c r="AJ349" s="264" t="s">
        <v>995</v>
      </c>
      <c r="AK349" s="264" t="s">
        <v>995</v>
      </c>
      <c r="AL349" s="264" t="s">
        <v>995</v>
      </c>
    </row>
    <row r="350" spans="1:38">
      <c r="A350" s="264">
        <v>1368</v>
      </c>
      <c r="B350" s="264" t="s">
        <v>356</v>
      </c>
      <c r="C350" s="264" t="s">
        <v>1163</v>
      </c>
      <c r="D350" s="264" t="s">
        <v>1004</v>
      </c>
      <c r="E350" s="264">
        <v>41200</v>
      </c>
      <c r="F350" s="264" t="s">
        <v>103</v>
      </c>
      <c r="G350" s="389">
        <v>26613</v>
      </c>
      <c r="H350" s="264">
        <v>51</v>
      </c>
      <c r="I350" s="389">
        <v>40564</v>
      </c>
      <c r="K350" s="390">
        <v>42278</v>
      </c>
      <c r="L350" s="264">
        <v>20</v>
      </c>
      <c r="M350" s="264" t="s">
        <v>1015</v>
      </c>
      <c r="N350" s="264">
        <v>1</v>
      </c>
      <c r="O350" s="264" t="s">
        <v>829</v>
      </c>
      <c r="P350" s="264" t="s">
        <v>994</v>
      </c>
      <c r="Q350" s="264" t="s">
        <v>1009</v>
      </c>
      <c r="R350" s="264" t="s">
        <v>1010</v>
      </c>
      <c r="S350" s="264" t="s">
        <v>996</v>
      </c>
      <c r="T350" s="264" t="s">
        <v>997</v>
      </c>
      <c r="U350" s="264" t="s">
        <v>995</v>
      </c>
      <c r="V350" s="264" t="s">
        <v>995</v>
      </c>
      <c r="W350" s="264" t="s">
        <v>995</v>
      </c>
      <c r="X350" s="264" t="s">
        <v>828</v>
      </c>
      <c r="Y350" s="264" t="s">
        <v>998</v>
      </c>
      <c r="Z350" s="264">
        <v>31</v>
      </c>
      <c r="AA350" s="264" t="s">
        <v>999</v>
      </c>
      <c r="AB350" s="264">
        <v>31</v>
      </c>
      <c r="AC350" s="264" t="s">
        <v>999</v>
      </c>
      <c r="AD350" s="264" t="s">
        <v>1000</v>
      </c>
      <c r="AE350" s="264" t="s">
        <v>1000</v>
      </c>
      <c r="AF350" s="264" t="s">
        <v>1000</v>
      </c>
      <c r="AG350" s="264" t="s">
        <v>1000</v>
      </c>
      <c r="AH350" s="264" t="s">
        <v>1002</v>
      </c>
      <c r="AI350" s="264" t="s">
        <v>1002</v>
      </c>
      <c r="AJ350" s="264" t="s">
        <v>995</v>
      </c>
      <c r="AK350" s="264" t="s">
        <v>995</v>
      </c>
      <c r="AL350" s="264" t="s">
        <v>995</v>
      </c>
    </row>
    <row r="351" spans="1:38">
      <c r="A351" s="264">
        <v>1385</v>
      </c>
      <c r="B351" s="264" t="s">
        <v>112</v>
      </c>
      <c r="C351" s="264" t="s">
        <v>1164</v>
      </c>
      <c r="D351" s="264" t="s">
        <v>1004</v>
      </c>
      <c r="E351" s="264">
        <v>41200</v>
      </c>
      <c r="F351" s="264" t="s">
        <v>103</v>
      </c>
      <c r="G351" s="389">
        <v>27862</v>
      </c>
      <c r="H351" s="264">
        <v>47</v>
      </c>
      <c r="I351" s="389">
        <v>41538</v>
      </c>
      <c r="K351" s="390">
        <v>42278</v>
      </c>
      <c r="L351" s="264">
        <v>20</v>
      </c>
      <c r="M351" s="264" t="s">
        <v>1015</v>
      </c>
      <c r="N351" s="264">
        <v>1</v>
      </c>
      <c r="O351" s="264" t="s">
        <v>829</v>
      </c>
      <c r="P351" s="264" t="s">
        <v>994</v>
      </c>
      <c r="Q351" s="264" t="s">
        <v>1009</v>
      </c>
      <c r="R351" s="264" t="s">
        <v>1010</v>
      </c>
      <c r="S351" s="264" t="s">
        <v>996</v>
      </c>
      <c r="T351" s="264" t="s">
        <v>997</v>
      </c>
      <c r="U351" s="264" t="s">
        <v>995</v>
      </c>
      <c r="V351" s="264" t="s">
        <v>995</v>
      </c>
      <c r="W351" s="264" t="s">
        <v>995</v>
      </c>
      <c r="X351" s="264" t="s">
        <v>828</v>
      </c>
      <c r="Y351" s="264" t="s">
        <v>998</v>
      </c>
      <c r="Z351" s="264">
        <v>31</v>
      </c>
      <c r="AA351" s="264" t="s">
        <v>999</v>
      </c>
      <c r="AB351" s="264">
        <v>31</v>
      </c>
      <c r="AC351" s="264" t="s">
        <v>999</v>
      </c>
      <c r="AD351" s="264" t="s">
        <v>1000</v>
      </c>
      <c r="AE351" s="264" t="s">
        <v>1000</v>
      </c>
      <c r="AF351" s="264" t="s">
        <v>1000</v>
      </c>
      <c r="AG351" s="264" t="s">
        <v>1000</v>
      </c>
      <c r="AH351" s="264" t="s">
        <v>1002</v>
      </c>
      <c r="AI351" s="264" t="s">
        <v>1002</v>
      </c>
      <c r="AJ351" s="264" t="s">
        <v>995</v>
      </c>
      <c r="AK351" s="264" t="s">
        <v>995</v>
      </c>
      <c r="AL351" s="264" t="s">
        <v>995</v>
      </c>
    </row>
    <row r="352" spans="1:38">
      <c r="A352" s="264">
        <v>1430</v>
      </c>
      <c r="B352" s="264" t="s">
        <v>1165</v>
      </c>
      <c r="C352" s="264" t="s">
        <v>1166</v>
      </c>
      <c r="D352" s="264" t="s">
        <v>1004</v>
      </c>
      <c r="E352" s="264">
        <v>41200</v>
      </c>
      <c r="F352" s="264" t="s">
        <v>103</v>
      </c>
      <c r="G352" s="389">
        <v>34753</v>
      </c>
      <c r="H352" s="264">
        <v>28</v>
      </c>
      <c r="I352" s="389">
        <v>44743</v>
      </c>
      <c r="K352" s="390">
        <v>44774</v>
      </c>
      <c r="L352" s="264">
        <v>20</v>
      </c>
      <c r="M352" s="264" t="s">
        <v>1015</v>
      </c>
      <c r="N352" s="264">
        <v>1</v>
      </c>
      <c r="O352" s="264" t="s">
        <v>829</v>
      </c>
      <c r="P352" s="264" t="s">
        <v>994</v>
      </c>
      <c r="Q352" s="264" t="s">
        <v>1009</v>
      </c>
      <c r="R352" s="264" t="s">
        <v>1010</v>
      </c>
      <c r="S352" s="264" t="s">
        <v>996</v>
      </c>
      <c r="T352" s="264" t="s">
        <v>997</v>
      </c>
      <c r="U352" s="264" t="s">
        <v>995</v>
      </c>
      <c r="V352" s="264" t="s">
        <v>995</v>
      </c>
      <c r="W352" s="264" t="s">
        <v>995</v>
      </c>
      <c r="X352" s="264" t="s">
        <v>828</v>
      </c>
      <c r="Y352" s="264" t="s">
        <v>998</v>
      </c>
      <c r="Z352" s="264">
        <v>31</v>
      </c>
      <c r="AA352" s="264" t="s">
        <v>999</v>
      </c>
      <c r="AB352" s="264">
        <v>31</v>
      </c>
      <c r="AC352" s="264" t="s">
        <v>999</v>
      </c>
      <c r="AD352" s="264" t="s">
        <v>1000</v>
      </c>
      <c r="AE352" s="264" t="s">
        <v>1000</v>
      </c>
      <c r="AF352" s="264" t="s">
        <v>1000</v>
      </c>
      <c r="AG352" s="264" t="s">
        <v>1000</v>
      </c>
      <c r="AH352" s="264" t="s">
        <v>1002</v>
      </c>
      <c r="AI352" s="264" t="s">
        <v>1002</v>
      </c>
      <c r="AJ352" s="264" t="s">
        <v>995</v>
      </c>
      <c r="AK352" s="264" t="s">
        <v>995</v>
      </c>
      <c r="AL352" s="264" t="s">
        <v>995</v>
      </c>
    </row>
    <row r="353" spans="1:38">
      <c r="A353" s="264">
        <v>2658</v>
      </c>
      <c r="B353" s="264" t="s">
        <v>107</v>
      </c>
      <c r="C353" s="264" t="s">
        <v>1167</v>
      </c>
      <c r="D353" s="264" t="s">
        <v>1004</v>
      </c>
      <c r="E353" s="264">
        <v>41200</v>
      </c>
      <c r="F353" s="264" t="s">
        <v>103</v>
      </c>
      <c r="G353" s="389">
        <v>23775</v>
      </c>
      <c r="H353" s="264">
        <v>58</v>
      </c>
      <c r="I353" s="389">
        <v>30400</v>
      </c>
      <c r="K353" s="390">
        <v>42278</v>
      </c>
      <c r="L353" s="264">
        <v>20</v>
      </c>
      <c r="M353" s="264" t="s">
        <v>1015</v>
      </c>
      <c r="N353" s="264">
        <v>1</v>
      </c>
      <c r="O353" s="264" t="s">
        <v>829</v>
      </c>
      <c r="P353" s="264" t="s">
        <v>994</v>
      </c>
      <c r="Q353" s="264" t="s">
        <v>1009</v>
      </c>
      <c r="R353" s="264" t="s">
        <v>1010</v>
      </c>
      <c r="S353" s="264" t="s">
        <v>996</v>
      </c>
      <c r="T353" s="264" t="s">
        <v>997</v>
      </c>
      <c r="U353" s="264" t="s">
        <v>995</v>
      </c>
      <c r="V353" s="264" t="s">
        <v>995</v>
      </c>
      <c r="W353" s="264" t="s">
        <v>995</v>
      </c>
      <c r="X353" s="264" t="s">
        <v>828</v>
      </c>
      <c r="Y353" s="264" t="s">
        <v>998</v>
      </c>
      <c r="Z353" s="264">
        <v>31</v>
      </c>
      <c r="AA353" s="264" t="s">
        <v>999</v>
      </c>
      <c r="AB353" s="264">
        <v>31</v>
      </c>
      <c r="AC353" s="264" t="s">
        <v>999</v>
      </c>
      <c r="AD353" s="264" t="s">
        <v>1000</v>
      </c>
      <c r="AE353" s="264" t="s">
        <v>1000</v>
      </c>
      <c r="AF353" s="264" t="s">
        <v>1000</v>
      </c>
      <c r="AG353" s="264" t="s">
        <v>1000</v>
      </c>
      <c r="AH353" s="264" t="s">
        <v>1002</v>
      </c>
      <c r="AI353" s="264" t="s">
        <v>1002</v>
      </c>
      <c r="AJ353" s="264" t="s">
        <v>995</v>
      </c>
      <c r="AK353" s="264" t="s">
        <v>995</v>
      </c>
      <c r="AL353" s="264" t="s">
        <v>995</v>
      </c>
    </row>
    <row r="354" spans="1:38">
      <c r="A354" s="264">
        <v>2831</v>
      </c>
      <c r="B354" s="264" t="s">
        <v>109</v>
      </c>
      <c r="C354" s="264" t="s">
        <v>1168</v>
      </c>
      <c r="D354" s="264" t="s">
        <v>1004</v>
      </c>
      <c r="E354" s="264">
        <v>41200</v>
      </c>
      <c r="F354" s="264" t="s">
        <v>103</v>
      </c>
      <c r="G354" s="389">
        <v>25623</v>
      </c>
      <c r="H354" s="264">
        <v>53</v>
      </c>
      <c r="I354" s="389">
        <v>32226</v>
      </c>
      <c r="K354" s="390">
        <v>42278</v>
      </c>
      <c r="L354" s="264">
        <v>20</v>
      </c>
      <c r="M354" s="264" t="s">
        <v>1015</v>
      </c>
      <c r="N354" s="264">
        <v>1</v>
      </c>
      <c r="O354" s="264" t="s">
        <v>829</v>
      </c>
      <c r="P354" s="264" t="s">
        <v>994</v>
      </c>
      <c r="Q354" s="264" t="s">
        <v>1009</v>
      </c>
      <c r="R354" s="264" t="s">
        <v>1010</v>
      </c>
      <c r="S354" s="264" t="s">
        <v>996</v>
      </c>
      <c r="T354" s="264" t="s">
        <v>997</v>
      </c>
      <c r="U354" s="264" t="s">
        <v>995</v>
      </c>
      <c r="V354" s="264" t="s">
        <v>995</v>
      </c>
      <c r="W354" s="264" t="s">
        <v>995</v>
      </c>
      <c r="X354" s="264" t="s">
        <v>828</v>
      </c>
      <c r="Y354" s="264" t="s">
        <v>998</v>
      </c>
      <c r="Z354" s="264">
        <v>31</v>
      </c>
      <c r="AA354" s="264" t="s">
        <v>999</v>
      </c>
      <c r="AB354" s="264">
        <v>31</v>
      </c>
      <c r="AC354" s="264" t="s">
        <v>999</v>
      </c>
      <c r="AD354" s="264" t="s">
        <v>1000</v>
      </c>
      <c r="AE354" s="264" t="s">
        <v>1000</v>
      </c>
      <c r="AF354" s="264" t="s">
        <v>1000</v>
      </c>
      <c r="AG354" s="264" t="s">
        <v>1000</v>
      </c>
      <c r="AH354" s="264" t="s">
        <v>1002</v>
      </c>
      <c r="AI354" s="264" t="s">
        <v>1002</v>
      </c>
      <c r="AJ354" s="264" t="s">
        <v>995</v>
      </c>
      <c r="AK354" s="264" t="s">
        <v>995</v>
      </c>
      <c r="AL354" s="264" t="s">
        <v>995</v>
      </c>
    </row>
    <row r="355" spans="1:38">
      <c r="A355" s="264">
        <v>2930</v>
      </c>
      <c r="B355" s="264" t="s">
        <v>110</v>
      </c>
      <c r="C355" s="264" t="s">
        <v>1169</v>
      </c>
      <c r="D355" s="264" t="s">
        <v>1004</v>
      </c>
      <c r="E355" s="264">
        <v>41200</v>
      </c>
      <c r="F355" s="264" t="s">
        <v>103</v>
      </c>
      <c r="G355" s="389">
        <v>24823</v>
      </c>
      <c r="H355" s="264">
        <v>56</v>
      </c>
      <c r="I355" s="389">
        <v>34050</v>
      </c>
      <c r="K355" s="390">
        <v>42278</v>
      </c>
      <c r="L355" s="264">
        <v>20</v>
      </c>
      <c r="M355" s="264" t="s">
        <v>1015</v>
      </c>
      <c r="N355" s="264">
        <v>1</v>
      </c>
      <c r="O355" s="264" t="s">
        <v>829</v>
      </c>
      <c r="P355" s="264" t="s">
        <v>994</v>
      </c>
      <c r="Q355" s="264" t="s">
        <v>1009</v>
      </c>
      <c r="R355" s="264" t="s">
        <v>1010</v>
      </c>
      <c r="S355" s="264" t="s">
        <v>996</v>
      </c>
      <c r="T355" s="264" t="s">
        <v>997</v>
      </c>
      <c r="U355" s="264" t="s">
        <v>995</v>
      </c>
      <c r="V355" s="264" t="s">
        <v>995</v>
      </c>
      <c r="W355" s="264" t="s">
        <v>995</v>
      </c>
      <c r="X355" s="264" t="s">
        <v>828</v>
      </c>
      <c r="Y355" s="264" t="s">
        <v>998</v>
      </c>
      <c r="Z355" s="264">
        <v>31</v>
      </c>
      <c r="AA355" s="264" t="s">
        <v>999</v>
      </c>
      <c r="AB355" s="264">
        <v>31</v>
      </c>
      <c r="AC355" s="264" t="s">
        <v>999</v>
      </c>
      <c r="AD355" s="264" t="s">
        <v>1000</v>
      </c>
      <c r="AE355" s="264" t="s">
        <v>1000</v>
      </c>
      <c r="AF355" s="264" t="s">
        <v>1000</v>
      </c>
      <c r="AG355" s="264" t="s">
        <v>1000</v>
      </c>
      <c r="AH355" s="264" t="s">
        <v>1002</v>
      </c>
      <c r="AI355" s="264" t="s">
        <v>1002</v>
      </c>
      <c r="AJ355" s="264" t="s">
        <v>995</v>
      </c>
      <c r="AK355" s="264" t="s">
        <v>995</v>
      </c>
      <c r="AL355" s="264" t="s">
        <v>995</v>
      </c>
    </row>
    <row r="356" spans="1:38">
      <c r="A356" s="264">
        <v>2971</v>
      </c>
      <c r="B356" s="264" t="s">
        <v>335</v>
      </c>
      <c r="C356" s="264" t="s">
        <v>1170</v>
      </c>
      <c r="D356" s="264" t="s">
        <v>1004</v>
      </c>
      <c r="E356" s="264">
        <v>41200</v>
      </c>
      <c r="F356" s="264" t="s">
        <v>103</v>
      </c>
      <c r="G356" s="389">
        <v>26788</v>
      </c>
      <c r="H356" s="264">
        <v>50</v>
      </c>
      <c r="I356" s="389">
        <v>34415</v>
      </c>
      <c r="K356" s="390">
        <v>42278</v>
      </c>
      <c r="L356" s="264">
        <v>20</v>
      </c>
      <c r="M356" s="264" t="s">
        <v>1015</v>
      </c>
      <c r="N356" s="264">
        <v>1</v>
      </c>
      <c r="O356" s="264" t="s">
        <v>829</v>
      </c>
      <c r="P356" s="264" t="s">
        <v>994</v>
      </c>
      <c r="Q356" s="264" t="s">
        <v>1009</v>
      </c>
      <c r="R356" s="264" t="s">
        <v>1010</v>
      </c>
      <c r="S356" s="264" t="s">
        <v>996</v>
      </c>
      <c r="T356" s="264" t="s">
        <v>997</v>
      </c>
      <c r="U356" s="264" t="s">
        <v>995</v>
      </c>
      <c r="V356" s="264" t="s">
        <v>995</v>
      </c>
      <c r="W356" s="264" t="s">
        <v>995</v>
      </c>
      <c r="X356" s="264" t="s">
        <v>828</v>
      </c>
      <c r="Y356" s="264" t="s">
        <v>998</v>
      </c>
      <c r="Z356" s="264">
        <v>31</v>
      </c>
      <c r="AA356" s="264" t="s">
        <v>999</v>
      </c>
      <c r="AB356" s="264">
        <v>31</v>
      </c>
      <c r="AC356" s="264" t="s">
        <v>999</v>
      </c>
      <c r="AD356" s="264" t="s">
        <v>1000</v>
      </c>
      <c r="AE356" s="264" t="s">
        <v>1000</v>
      </c>
      <c r="AF356" s="264" t="s">
        <v>1000</v>
      </c>
      <c r="AG356" s="264" t="s">
        <v>1000</v>
      </c>
      <c r="AH356" s="264" t="s">
        <v>1002</v>
      </c>
      <c r="AI356" s="264" t="s">
        <v>1002</v>
      </c>
      <c r="AJ356" s="264" t="s">
        <v>995</v>
      </c>
      <c r="AK356" s="264" t="s">
        <v>995</v>
      </c>
      <c r="AL356" s="264" t="s">
        <v>995</v>
      </c>
    </row>
    <row r="357" spans="1:38">
      <c r="A357" s="264">
        <v>3949</v>
      </c>
      <c r="B357" s="264" t="s">
        <v>376</v>
      </c>
      <c r="C357" s="264" t="s">
        <v>1171</v>
      </c>
      <c r="D357" s="264" t="s">
        <v>1004</v>
      </c>
      <c r="E357" s="264">
        <v>41200</v>
      </c>
      <c r="F357" s="264" t="s">
        <v>103</v>
      </c>
      <c r="G357" s="389">
        <v>23999</v>
      </c>
      <c r="H357" s="264">
        <v>58</v>
      </c>
      <c r="I357" s="389">
        <v>39254</v>
      </c>
      <c r="K357" s="390">
        <v>42278</v>
      </c>
      <c r="L357" s="264">
        <v>20</v>
      </c>
      <c r="M357" s="264" t="s">
        <v>1015</v>
      </c>
      <c r="N357" s="264">
        <v>1</v>
      </c>
      <c r="O357" s="264" t="s">
        <v>829</v>
      </c>
      <c r="P357" s="264" t="s">
        <v>994</v>
      </c>
      <c r="Q357" s="264" t="s">
        <v>1009</v>
      </c>
      <c r="R357" s="264" t="s">
        <v>1010</v>
      </c>
      <c r="S357" s="264" t="s">
        <v>996</v>
      </c>
      <c r="T357" s="264" t="s">
        <v>997</v>
      </c>
      <c r="U357" s="264" t="s">
        <v>995</v>
      </c>
      <c r="V357" s="264" t="s">
        <v>995</v>
      </c>
      <c r="W357" s="264" t="s">
        <v>995</v>
      </c>
      <c r="X357" s="264" t="s">
        <v>828</v>
      </c>
      <c r="Y357" s="264" t="s">
        <v>998</v>
      </c>
      <c r="Z357" s="264">
        <v>31</v>
      </c>
      <c r="AA357" s="264" t="s">
        <v>999</v>
      </c>
      <c r="AB357" s="264">
        <v>31</v>
      </c>
      <c r="AC357" s="264" t="s">
        <v>999</v>
      </c>
      <c r="AD357" s="264" t="s">
        <v>1000</v>
      </c>
      <c r="AE357" s="264" t="s">
        <v>1000</v>
      </c>
      <c r="AF357" s="264" t="s">
        <v>1000</v>
      </c>
      <c r="AG357" s="264" t="s">
        <v>1000</v>
      </c>
      <c r="AH357" s="264" t="s">
        <v>1002</v>
      </c>
      <c r="AI357" s="264" t="s">
        <v>1002</v>
      </c>
      <c r="AJ357" s="264" t="s">
        <v>995</v>
      </c>
      <c r="AK357" s="264" t="s">
        <v>995</v>
      </c>
      <c r="AL357" s="264" t="s">
        <v>995</v>
      </c>
    </row>
    <row r="358" spans="1:38">
      <c r="A358" s="264">
        <v>7755</v>
      </c>
      <c r="B358" s="264" t="s">
        <v>534</v>
      </c>
      <c r="C358" s="264" t="s">
        <v>1172</v>
      </c>
      <c r="D358" s="264" t="s">
        <v>1004</v>
      </c>
      <c r="E358" s="264">
        <v>41220</v>
      </c>
      <c r="F358" s="264" t="s">
        <v>103</v>
      </c>
      <c r="G358" s="389">
        <v>28000</v>
      </c>
      <c r="H358" s="264">
        <v>47</v>
      </c>
      <c r="I358" s="389">
        <v>37802</v>
      </c>
      <c r="K358" s="390">
        <v>42278</v>
      </c>
      <c r="L358" s="264">
        <v>70</v>
      </c>
      <c r="M358" s="264" t="s">
        <v>1024</v>
      </c>
      <c r="N358" s="264">
        <v>1</v>
      </c>
      <c r="O358" s="264" t="s">
        <v>829</v>
      </c>
      <c r="P358" s="264" t="s">
        <v>994</v>
      </c>
      <c r="Q358" s="264" t="s">
        <v>1009</v>
      </c>
      <c r="R358" s="264" t="s">
        <v>1010</v>
      </c>
      <c r="S358" s="264" t="s">
        <v>996</v>
      </c>
      <c r="T358" s="264" t="s">
        <v>997</v>
      </c>
      <c r="U358" s="264" t="s">
        <v>995</v>
      </c>
      <c r="V358" s="264" t="s">
        <v>995</v>
      </c>
      <c r="W358" s="264" t="s">
        <v>995</v>
      </c>
      <c r="X358" s="264" t="s">
        <v>828</v>
      </c>
      <c r="Y358" s="264" t="s">
        <v>998</v>
      </c>
      <c r="Z358" s="264">
        <v>31</v>
      </c>
      <c r="AA358" s="264" t="s">
        <v>999</v>
      </c>
      <c r="AB358" s="264">
        <v>31</v>
      </c>
      <c r="AC358" s="264" t="s">
        <v>999</v>
      </c>
      <c r="AD358" s="264" t="s">
        <v>1000</v>
      </c>
      <c r="AE358" s="264" t="s">
        <v>1000</v>
      </c>
      <c r="AF358" s="264" t="s">
        <v>1000</v>
      </c>
      <c r="AG358" s="264" t="s">
        <v>1000</v>
      </c>
      <c r="AH358" s="264" t="s">
        <v>1002</v>
      </c>
      <c r="AI358" s="264" t="s">
        <v>1002</v>
      </c>
      <c r="AJ358" s="264" t="s">
        <v>995</v>
      </c>
      <c r="AK358" s="264" t="s">
        <v>995</v>
      </c>
      <c r="AL358" s="264" t="s">
        <v>995</v>
      </c>
    </row>
    <row r="359" spans="1:38">
      <c r="A359" s="264">
        <v>8117</v>
      </c>
      <c r="B359" s="264" t="s">
        <v>552</v>
      </c>
      <c r="C359" s="264" t="s">
        <v>1173</v>
      </c>
      <c r="D359" s="264" t="s">
        <v>1004</v>
      </c>
      <c r="E359" s="264">
        <v>41220</v>
      </c>
      <c r="F359" s="264" t="s">
        <v>103</v>
      </c>
      <c r="G359" s="389">
        <v>19520</v>
      </c>
      <c r="H359" s="264">
        <v>70</v>
      </c>
      <c r="I359" s="389">
        <v>31307</v>
      </c>
      <c r="K359" s="390">
        <v>43282</v>
      </c>
      <c r="L359" s="264">
        <v>70</v>
      </c>
      <c r="M359" s="264" t="s">
        <v>1024</v>
      </c>
      <c r="N359" s="264">
        <v>1</v>
      </c>
      <c r="O359" s="264" t="s">
        <v>829</v>
      </c>
      <c r="P359" s="264" t="s">
        <v>994</v>
      </c>
      <c r="Q359" s="264" t="s">
        <v>1009</v>
      </c>
      <c r="R359" s="264" t="s">
        <v>1010</v>
      </c>
      <c r="S359" s="264" t="s">
        <v>996</v>
      </c>
      <c r="T359" s="264" t="s">
        <v>997</v>
      </c>
      <c r="U359" s="264" t="s">
        <v>995</v>
      </c>
      <c r="V359" s="264" t="s">
        <v>995</v>
      </c>
      <c r="W359" s="264" t="s">
        <v>995</v>
      </c>
      <c r="X359" s="264" t="s">
        <v>828</v>
      </c>
      <c r="Y359" s="264" t="s">
        <v>998</v>
      </c>
      <c r="Z359" s="264">
        <v>31</v>
      </c>
      <c r="AA359" s="264" t="s">
        <v>999</v>
      </c>
      <c r="AB359" s="264">
        <v>31</v>
      </c>
      <c r="AC359" s="264" t="s">
        <v>999</v>
      </c>
      <c r="AD359" s="264" t="s">
        <v>1000</v>
      </c>
      <c r="AE359" s="264" t="s">
        <v>1000</v>
      </c>
      <c r="AF359" s="264" t="s">
        <v>1000</v>
      </c>
      <c r="AG359" s="264" t="s">
        <v>1000</v>
      </c>
      <c r="AH359" s="264" t="s">
        <v>1002</v>
      </c>
      <c r="AI359" s="264" t="s">
        <v>1002</v>
      </c>
      <c r="AJ359" s="264" t="s">
        <v>995</v>
      </c>
      <c r="AK359" s="264" t="s">
        <v>1010</v>
      </c>
      <c r="AL359" s="264" t="s">
        <v>995</v>
      </c>
    </row>
    <row r="360" spans="1:38">
      <c r="A360" s="264">
        <v>8195</v>
      </c>
      <c r="B360" s="264" t="s">
        <v>781</v>
      </c>
      <c r="C360" s="264" t="s">
        <v>1174</v>
      </c>
      <c r="D360" s="264" t="s">
        <v>1004</v>
      </c>
      <c r="E360" s="264">
        <v>41220</v>
      </c>
      <c r="F360" s="264" t="s">
        <v>103</v>
      </c>
      <c r="G360" s="389">
        <v>22187</v>
      </c>
      <c r="H360" s="264">
        <v>63</v>
      </c>
      <c r="I360" s="389">
        <v>28936</v>
      </c>
      <c r="K360" s="390">
        <v>44105</v>
      </c>
      <c r="L360" s="264">
        <v>70</v>
      </c>
      <c r="M360" s="264" t="s">
        <v>1024</v>
      </c>
      <c r="N360" s="264">
        <v>1</v>
      </c>
      <c r="O360" s="264" t="s">
        <v>829</v>
      </c>
      <c r="P360" s="264" t="s">
        <v>994</v>
      </c>
      <c r="Q360" s="264" t="s">
        <v>1009</v>
      </c>
      <c r="R360" s="264" t="s">
        <v>1010</v>
      </c>
      <c r="S360" s="264" t="s">
        <v>996</v>
      </c>
      <c r="T360" s="264" t="s">
        <v>997</v>
      </c>
      <c r="U360" s="264" t="s">
        <v>995</v>
      </c>
      <c r="V360" s="264" t="s">
        <v>995</v>
      </c>
      <c r="W360" s="264" t="s">
        <v>995</v>
      </c>
      <c r="X360" s="264" t="s">
        <v>828</v>
      </c>
      <c r="Y360" s="264" t="s">
        <v>998</v>
      </c>
      <c r="Z360" s="264">
        <v>31</v>
      </c>
      <c r="AA360" s="264" t="s">
        <v>999</v>
      </c>
      <c r="AB360" s="264">
        <v>31</v>
      </c>
      <c r="AC360" s="264" t="s">
        <v>999</v>
      </c>
      <c r="AD360" s="264" t="s">
        <v>1000</v>
      </c>
      <c r="AE360" s="264" t="s">
        <v>1000</v>
      </c>
      <c r="AF360" s="264" t="s">
        <v>1000</v>
      </c>
      <c r="AG360" s="264" t="s">
        <v>1000</v>
      </c>
      <c r="AH360" s="264" t="s">
        <v>1002</v>
      </c>
      <c r="AI360" s="264" t="s">
        <v>1002</v>
      </c>
      <c r="AJ360" s="264" t="s">
        <v>995</v>
      </c>
      <c r="AK360" s="264" t="s">
        <v>995</v>
      </c>
      <c r="AL360" s="264" t="s">
        <v>995</v>
      </c>
    </row>
    <row r="361" spans="1:38">
      <c r="A361" s="264">
        <v>8207</v>
      </c>
      <c r="B361" s="264" t="s">
        <v>788</v>
      </c>
      <c r="C361" s="264" t="s">
        <v>1175</v>
      </c>
      <c r="D361" s="264" t="s">
        <v>1004</v>
      </c>
      <c r="E361" s="264">
        <v>41220</v>
      </c>
      <c r="F361" s="264" t="s">
        <v>103</v>
      </c>
      <c r="G361" s="389">
        <v>22548</v>
      </c>
      <c r="H361" s="264">
        <v>62</v>
      </c>
      <c r="I361" s="389">
        <v>28572</v>
      </c>
      <c r="K361" s="390">
        <v>44166</v>
      </c>
      <c r="L361" s="264">
        <v>70</v>
      </c>
      <c r="M361" s="264" t="s">
        <v>1024</v>
      </c>
      <c r="N361" s="264">
        <v>1</v>
      </c>
      <c r="O361" s="264" t="s">
        <v>829</v>
      </c>
      <c r="P361" s="264" t="s">
        <v>994</v>
      </c>
      <c r="Q361" s="264" t="s">
        <v>1009</v>
      </c>
      <c r="R361" s="264" t="s">
        <v>1010</v>
      </c>
      <c r="S361" s="264" t="s">
        <v>996</v>
      </c>
      <c r="T361" s="264" t="s">
        <v>997</v>
      </c>
      <c r="U361" s="264" t="s">
        <v>995</v>
      </c>
      <c r="V361" s="264" t="s">
        <v>995</v>
      </c>
      <c r="W361" s="264" t="s">
        <v>995</v>
      </c>
      <c r="X361" s="264" t="s">
        <v>828</v>
      </c>
      <c r="Y361" s="264" t="s">
        <v>998</v>
      </c>
      <c r="Z361" s="264">
        <v>31</v>
      </c>
      <c r="AA361" s="264" t="s">
        <v>999</v>
      </c>
      <c r="AB361" s="264">
        <v>31</v>
      </c>
      <c r="AC361" s="264" t="s">
        <v>999</v>
      </c>
      <c r="AD361" s="264" t="s">
        <v>1000</v>
      </c>
      <c r="AE361" s="264" t="s">
        <v>1000</v>
      </c>
      <c r="AF361" s="264" t="s">
        <v>1000</v>
      </c>
      <c r="AG361" s="264" t="s">
        <v>1000</v>
      </c>
      <c r="AH361" s="264" t="s">
        <v>1002</v>
      </c>
      <c r="AI361" s="264" t="s">
        <v>1002</v>
      </c>
      <c r="AJ361" s="264" t="s">
        <v>995</v>
      </c>
      <c r="AK361" s="264" t="s">
        <v>995</v>
      </c>
      <c r="AL361" s="264" t="s">
        <v>995</v>
      </c>
    </row>
    <row r="362" spans="1:38">
      <c r="A362" s="264">
        <v>8224</v>
      </c>
      <c r="B362" s="264" t="s">
        <v>1176</v>
      </c>
      <c r="C362" s="264" t="s">
        <v>1177</v>
      </c>
      <c r="D362" s="264" t="s">
        <v>1004</v>
      </c>
      <c r="E362" s="264">
        <v>41220</v>
      </c>
      <c r="F362" s="264" t="s">
        <v>103</v>
      </c>
      <c r="G362" s="389">
        <v>24292</v>
      </c>
      <c r="H362" s="264">
        <v>57</v>
      </c>
      <c r="I362" s="389">
        <v>44970</v>
      </c>
      <c r="K362" s="390">
        <v>44986</v>
      </c>
      <c r="L362" s="264">
        <v>70</v>
      </c>
      <c r="M362" s="264" t="s">
        <v>1024</v>
      </c>
      <c r="N362" s="264">
        <v>1</v>
      </c>
      <c r="O362" s="264" t="s">
        <v>829</v>
      </c>
      <c r="P362" s="264" t="s">
        <v>994</v>
      </c>
      <c r="Q362" s="264" t="s">
        <v>1009</v>
      </c>
      <c r="R362" s="264" t="s">
        <v>1010</v>
      </c>
      <c r="S362" s="264" t="s">
        <v>996</v>
      </c>
      <c r="T362" s="264" t="s">
        <v>997</v>
      </c>
      <c r="U362" s="264" t="s">
        <v>995</v>
      </c>
      <c r="V362" s="264" t="s">
        <v>995</v>
      </c>
      <c r="W362" s="264" t="s">
        <v>995</v>
      </c>
      <c r="X362" s="264" t="s">
        <v>828</v>
      </c>
      <c r="Y362" s="264" t="s">
        <v>998</v>
      </c>
      <c r="Z362" s="264">
        <v>31</v>
      </c>
      <c r="AA362" s="264" t="s">
        <v>999</v>
      </c>
      <c r="AB362" s="264">
        <v>31</v>
      </c>
      <c r="AC362" s="264" t="s">
        <v>999</v>
      </c>
      <c r="AD362" s="264" t="s">
        <v>1000</v>
      </c>
      <c r="AE362" s="264" t="s">
        <v>1000</v>
      </c>
      <c r="AF362" s="264" t="s">
        <v>1000</v>
      </c>
      <c r="AG362" s="264" t="s">
        <v>1000</v>
      </c>
      <c r="AH362" s="264" t="s">
        <v>1002</v>
      </c>
      <c r="AI362" s="264" t="s">
        <v>1002</v>
      </c>
      <c r="AJ362" s="264" t="s">
        <v>995</v>
      </c>
      <c r="AK362" s="264" t="s">
        <v>995</v>
      </c>
      <c r="AL362" s="264" t="s">
        <v>995</v>
      </c>
    </row>
    <row r="363" spans="1:38">
      <c r="A363" s="264">
        <v>8238</v>
      </c>
      <c r="B363" s="264" t="s">
        <v>1178</v>
      </c>
      <c r="C363" s="264" t="s">
        <v>1179</v>
      </c>
      <c r="D363" s="264" t="s">
        <v>1004</v>
      </c>
      <c r="E363" s="264">
        <v>41220</v>
      </c>
      <c r="F363" s="264" t="s">
        <v>103</v>
      </c>
      <c r="G363" s="389">
        <v>23156</v>
      </c>
      <c r="H363" s="264">
        <v>60</v>
      </c>
      <c r="I363" s="389">
        <v>45072</v>
      </c>
      <c r="K363" s="390">
        <v>44896</v>
      </c>
      <c r="L363" s="264">
        <v>70</v>
      </c>
      <c r="M363" s="264" t="s">
        <v>1024</v>
      </c>
      <c r="N363" s="264">
        <v>1</v>
      </c>
      <c r="O363" s="264" t="s">
        <v>829</v>
      </c>
      <c r="P363" s="264" t="s">
        <v>994</v>
      </c>
      <c r="Q363" s="264" t="s">
        <v>1009</v>
      </c>
      <c r="R363" s="264" t="s">
        <v>1010</v>
      </c>
      <c r="S363" s="264" t="s">
        <v>996</v>
      </c>
      <c r="T363" s="264" t="s">
        <v>997</v>
      </c>
      <c r="U363" s="264" t="s">
        <v>995</v>
      </c>
      <c r="V363" s="264" t="s">
        <v>995</v>
      </c>
      <c r="W363" s="264" t="s">
        <v>995</v>
      </c>
      <c r="X363" s="264" t="s">
        <v>828</v>
      </c>
      <c r="Y363" s="264" t="s">
        <v>998</v>
      </c>
      <c r="Z363" s="264">
        <v>31</v>
      </c>
      <c r="AA363" s="264" t="s">
        <v>999</v>
      </c>
      <c r="AB363" s="264">
        <v>31</v>
      </c>
      <c r="AC363" s="264" t="s">
        <v>999</v>
      </c>
      <c r="AD363" s="264" t="s">
        <v>1000</v>
      </c>
      <c r="AE363" s="264" t="s">
        <v>1000</v>
      </c>
      <c r="AF363" s="264" t="s">
        <v>1000</v>
      </c>
      <c r="AG363" s="264" t="s">
        <v>1000</v>
      </c>
      <c r="AH363" s="264" t="s">
        <v>1002</v>
      </c>
      <c r="AI363" s="264" t="s">
        <v>1002</v>
      </c>
      <c r="AJ363" s="264" t="s">
        <v>995</v>
      </c>
      <c r="AK363" s="264" t="s">
        <v>995</v>
      </c>
      <c r="AL363" s="264" t="s">
        <v>995</v>
      </c>
    </row>
    <row r="364" spans="1:38">
      <c r="A364" s="264">
        <v>8251</v>
      </c>
      <c r="B364" s="264" t="s">
        <v>1180</v>
      </c>
      <c r="C364" s="264" t="s">
        <v>1181</v>
      </c>
      <c r="D364" s="264" t="s">
        <v>1004</v>
      </c>
      <c r="E364" s="264">
        <v>41220</v>
      </c>
      <c r="F364" s="264" t="s">
        <v>103</v>
      </c>
      <c r="G364" s="389">
        <v>23627</v>
      </c>
      <c r="H364" s="264">
        <v>59</v>
      </c>
      <c r="I364" s="389">
        <v>45211</v>
      </c>
      <c r="K364" s="390">
        <v>45231</v>
      </c>
      <c r="L364" s="264">
        <v>70</v>
      </c>
      <c r="M364" s="264" t="s">
        <v>1024</v>
      </c>
      <c r="N364" s="264">
        <v>1</v>
      </c>
      <c r="O364" s="264" t="s">
        <v>829</v>
      </c>
      <c r="P364" s="264" t="s">
        <v>994</v>
      </c>
      <c r="Q364" s="264" t="s">
        <v>1009</v>
      </c>
      <c r="R364" s="264" t="s">
        <v>1010</v>
      </c>
      <c r="S364" s="264" t="s">
        <v>996</v>
      </c>
      <c r="T364" s="264" t="s">
        <v>997</v>
      </c>
      <c r="U364" s="264" t="s">
        <v>995</v>
      </c>
      <c r="V364" s="264" t="s">
        <v>995</v>
      </c>
      <c r="W364" s="264" t="s">
        <v>995</v>
      </c>
      <c r="X364" s="264" t="s">
        <v>828</v>
      </c>
      <c r="Y364" s="264" t="s">
        <v>998</v>
      </c>
      <c r="Z364" s="264">
        <v>31</v>
      </c>
      <c r="AA364" s="264" t="s">
        <v>999</v>
      </c>
      <c r="AB364" s="264">
        <v>31</v>
      </c>
      <c r="AC364" s="264" t="s">
        <v>999</v>
      </c>
      <c r="AD364" s="264" t="s">
        <v>1000</v>
      </c>
      <c r="AE364" s="264" t="s">
        <v>1000</v>
      </c>
      <c r="AF364" s="264" t="s">
        <v>1000</v>
      </c>
      <c r="AG364" s="264" t="s">
        <v>1000</v>
      </c>
      <c r="AH364" s="264" t="s">
        <v>1002</v>
      </c>
      <c r="AI364" s="264" t="s">
        <v>1002</v>
      </c>
      <c r="AJ364" s="264" t="s">
        <v>995</v>
      </c>
      <c r="AK364" s="264" t="s">
        <v>995</v>
      </c>
      <c r="AL364" s="264" t="s">
        <v>995</v>
      </c>
    </row>
    <row r="365" spans="1:38">
      <c r="A365" s="264">
        <v>2735</v>
      </c>
      <c r="B365" s="264" t="s">
        <v>116</v>
      </c>
      <c r="C365" s="264" t="s">
        <v>1116</v>
      </c>
      <c r="D365" s="264" t="s">
        <v>1004</v>
      </c>
      <c r="E365" s="264">
        <v>40400</v>
      </c>
      <c r="F365" s="264" t="s">
        <v>98</v>
      </c>
      <c r="G365" s="389">
        <v>24383</v>
      </c>
      <c r="H365" s="264">
        <v>57</v>
      </c>
      <c r="I365" s="389">
        <v>31131</v>
      </c>
      <c r="K365" s="390">
        <v>42278</v>
      </c>
      <c r="L365" s="264">
        <v>20</v>
      </c>
      <c r="M365" s="264" t="s">
        <v>1015</v>
      </c>
      <c r="N365" s="264">
        <v>1</v>
      </c>
      <c r="O365" s="264" t="s">
        <v>829</v>
      </c>
      <c r="P365" s="264" t="s">
        <v>994</v>
      </c>
      <c r="Q365" s="264" t="s">
        <v>1009</v>
      </c>
      <c r="R365" s="264" t="s">
        <v>1010</v>
      </c>
      <c r="S365" s="264" t="s">
        <v>996</v>
      </c>
      <c r="T365" s="264" t="s">
        <v>997</v>
      </c>
      <c r="U365" s="264" t="s">
        <v>995</v>
      </c>
      <c r="V365" s="264" t="s">
        <v>995</v>
      </c>
      <c r="W365" s="264" t="s">
        <v>995</v>
      </c>
      <c r="X365" s="264" t="s">
        <v>828</v>
      </c>
      <c r="Y365" s="264" t="s">
        <v>998</v>
      </c>
      <c r="Z365" s="264">
        <v>31</v>
      </c>
      <c r="AA365" s="264" t="s">
        <v>999</v>
      </c>
      <c r="AB365" s="264">
        <v>31</v>
      </c>
      <c r="AC365" s="264" t="s">
        <v>999</v>
      </c>
      <c r="AD365" s="264" t="s">
        <v>1000</v>
      </c>
      <c r="AE365" s="264" t="s">
        <v>1000</v>
      </c>
      <c r="AF365" s="264" t="s">
        <v>1000</v>
      </c>
      <c r="AG365" s="264" t="s">
        <v>1000</v>
      </c>
      <c r="AH365" s="264" t="s">
        <v>1002</v>
      </c>
      <c r="AI365" s="264" t="s">
        <v>1002</v>
      </c>
      <c r="AJ365" s="264" t="s">
        <v>995</v>
      </c>
      <c r="AK365" s="264" t="s">
        <v>995</v>
      </c>
      <c r="AL365" s="264" t="s">
        <v>995</v>
      </c>
    </row>
    <row r="366" spans="1:38">
      <c r="A366" s="264">
        <v>2805</v>
      </c>
      <c r="B366" s="264" t="s">
        <v>100</v>
      </c>
      <c r="C366" s="264" t="s">
        <v>1117</v>
      </c>
      <c r="D366" s="264" t="s">
        <v>1004</v>
      </c>
      <c r="E366" s="264">
        <v>40400</v>
      </c>
      <c r="F366" s="264" t="s">
        <v>98</v>
      </c>
      <c r="G366" s="389">
        <v>25171</v>
      </c>
      <c r="H366" s="264">
        <v>55</v>
      </c>
      <c r="I366" s="389">
        <v>31862</v>
      </c>
      <c r="K366" s="390">
        <v>42278</v>
      </c>
      <c r="L366" s="264">
        <v>20</v>
      </c>
      <c r="M366" s="264" t="s">
        <v>1015</v>
      </c>
      <c r="N366" s="264">
        <v>1</v>
      </c>
      <c r="O366" s="264" t="s">
        <v>829</v>
      </c>
      <c r="P366" s="264" t="s">
        <v>994</v>
      </c>
      <c r="Q366" s="264" t="s">
        <v>1009</v>
      </c>
      <c r="R366" s="264" t="s">
        <v>1010</v>
      </c>
      <c r="S366" s="264" t="s">
        <v>996</v>
      </c>
      <c r="T366" s="264" t="s">
        <v>997</v>
      </c>
      <c r="U366" s="264" t="s">
        <v>995</v>
      </c>
      <c r="V366" s="264" t="s">
        <v>995</v>
      </c>
      <c r="W366" s="264" t="s">
        <v>995</v>
      </c>
      <c r="X366" s="264" t="s">
        <v>828</v>
      </c>
      <c r="Y366" s="264" t="s">
        <v>998</v>
      </c>
      <c r="Z366" s="264">
        <v>31</v>
      </c>
      <c r="AA366" s="264" t="s">
        <v>999</v>
      </c>
      <c r="AB366" s="264">
        <v>31</v>
      </c>
      <c r="AC366" s="264" t="s">
        <v>999</v>
      </c>
      <c r="AD366" s="264" t="s">
        <v>1000</v>
      </c>
      <c r="AE366" s="264" t="s">
        <v>1000</v>
      </c>
      <c r="AF366" s="264" t="s">
        <v>1000</v>
      </c>
      <c r="AG366" s="264" t="s">
        <v>1000</v>
      </c>
      <c r="AH366" s="264" t="s">
        <v>1002</v>
      </c>
      <c r="AI366" s="264" t="s">
        <v>1002</v>
      </c>
      <c r="AJ366" s="264" t="s">
        <v>995</v>
      </c>
      <c r="AK366" s="264" t="s">
        <v>995</v>
      </c>
      <c r="AL366" s="264" t="s">
        <v>995</v>
      </c>
    </row>
    <row r="367" spans="1:38">
      <c r="A367" s="264">
        <v>3048</v>
      </c>
      <c r="B367" s="264" t="s">
        <v>97</v>
      </c>
      <c r="C367" s="264" t="s">
        <v>1118</v>
      </c>
      <c r="D367" s="264" t="s">
        <v>1004</v>
      </c>
      <c r="E367" s="264">
        <v>40400</v>
      </c>
      <c r="F367" s="264" t="s">
        <v>98</v>
      </c>
      <c r="G367" s="389">
        <v>27992</v>
      </c>
      <c r="H367" s="264">
        <v>47</v>
      </c>
      <c r="I367" s="389">
        <v>34780</v>
      </c>
      <c r="K367" s="390">
        <v>42278</v>
      </c>
      <c r="L367" s="264">
        <v>20</v>
      </c>
      <c r="M367" s="264" t="s">
        <v>1015</v>
      </c>
      <c r="N367" s="264">
        <v>1</v>
      </c>
      <c r="O367" s="264" t="s">
        <v>829</v>
      </c>
      <c r="P367" s="264" t="s">
        <v>994</v>
      </c>
      <c r="Q367" s="264" t="s">
        <v>1009</v>
      </c>
      <c r="R367" s="264" t="s">
        <v>1010</v>
      </c>
      <c r="S367" s="264" t="s">
        <v>996</v>
      </c>
      <c r="T367" s="264" t="s">
        <v>997</v>
      </c>
      <c r="U367" s="264" t="s">
        <v>995</v>
      </c>
      <c r="V367" s="264" t="s">
        <v>995</v>
      </c>
      <c r="W367" s="264" t="s">
        <v>995</v>
      </c>
      <c r="X367" s="264" t="s">
        <v>828</v>
      </c>
      <c r="Y367" s="264" t="s">
        <v>998</v>
      </c>
      <c r="Z367" s="264">
        <v>31</v>
      </c>
      <c r="AA367" s="264" t="s">
        <v>999</v>
      </c>
      <c r="AB367" s="264">
        <v>31</v>
      </c>
      <c r="AC367" s="264" t="s">
        <v>999</v>
      </c>
      <c r="AD367" s="264" t="s">
        <v>1000</v>
      </c>
      <c r="AE367" s="264" t="s">
        <v>1000</v>
      </c>
      <c r="AF367" s="264" t="s">
        <v>1000</v>
      </c>
      <c r="AG367" s="264" t="s">
        <v>1000</v>
      </c>
      <c r="AH367" s="264" t="s">
        <v>1002</v>
      </c>
      <c r="AI367" s="264" t="s">
        <v>1002</v>
      </c>
      <c r="AJ367" s="264" t="s">
        <v>995</v>
      </c>
      <c r="AK367" s="264" t="s">
        <v>1010</v>
      </c>
      <c r="AL367" s="264" t="s">
        <v>995</v>
      </c>
    </row>
    <row r="368" spans="1:38">
      <c r="A368" s="264">
        <v>8226</v>
      </c>
      <c r="B368" s="264" t="s">
        <v>1119</v>
      </c>
      <c r="C368" s="264" t="s">
        <v>1120</v>
      </c>
      <c r="D368" s="264" t="s">
        <v>1004</v>
      </c>
      <c r="E368" s="264">
        <v>40420</v>
      </c>
      <c r="F368" s="264" t="s">
        <v>98</v>
      </c>
      <c r="G368" s="389">
        <v>23054</v>
      </c>
      <c r="H368" s="264">
        <v>60</v>
      </c>
      <c r="I368" s="389">
        <v>30035</v>
      </c>
      <c r="K368" s="390">
        <v>44531</v>
      </c>
      <c r="L368" s="264">
        <v>70</v>
      </c>
      <c r="M368" s="264" t="s">
        <v>1024</v>
      </c>
      <c r="N368" s="264">
        <v>1</v>
      </c>
      <c r="O368" s="264" t="s">
        <v>829</v>
      </c>
      <c r="P368" s="264" t="s">
        <v>994</v>
      </c>
      <c r="Q368" s="264" t="s">
        <v>1009</v>
      </c>
      <c r="R368" s="264" t="s">
        <v>1010</v>
      </c>
      <c r="S368" s="264" t="s">
        <v>996</v>
      </c>
      <c r="T368" s="264" t="s">
        <v>997</v>
      </c>
      <c r="U368" s="264" t="s">
        <v>995</v>
      </c>
      <c r="V368" s="264" t="s">
        <v>995</v>
      </c>
      <c r="W368" s="264" t="s">
        <v>995</v>
      </c>
      <c r="X368" s="264" t="s">
        <v>828</v>
      </c>
      <c r="Y368" s="264" t="s">
        <v>998</v>
      </c>
      <c r="Z368" s="264">
        <v>31</v>
      </c>
      <c r="AA368" s="264" t="s">
        <v>999</v>
      </c>
      <c r="AB368" s="264">
        <v>31</v>
      </c>
      <c r="AC368" s="264" t="s">
        <v>999</v>
      </c>
      <c r="AD368" s="264" t="s">
        <v>1000</v>
      </c>
      <c r="AE368" s="264" t="s">
        <v>1000</v>
      </c>
      <c r="AF368" s="264" t="s">
        <v>1000</v>
      </c>
      <c r="AG368" s="264" t="s">
        <v>1000</v>
      </c>
      <c r="AH368" s="264" t="s">
        <v>1002</v>
      </c>
      <c r="AI368" s="264" t="s">
        <v>1002</v>
      </c>
      <c r="AJ368" s="264" t="s">
        <v>995</v>
      </c>
      <c r="AK368" s="264" t="s">
        <v>995</v>
      </c>
      <c r="AL368" s="264" t="s">
        <v>995</v>
      </c>
    </row>
    <row r="369" spans="1:38">
      <c r="A369" s="264">
        <v>8233</v>
      </c>
      <c r="B369" s="264" t="s">
        <v>1121</v>
      </c>
      <c r="C369" s="264" t="s">
        <v>1122</v>
      </c>
      <c r="D369" s="264" t="s">
        <v>1004</v>
      </c>
      <c r="E369" s="264">
        <v>40420</v>
      </c>
      <c r="F369" s="264" t="s">
        <v>98</v>
      </c>
      <c r="G369" s="389">
        <v>23115</v>
      </c>
      <c r="H369" s="264">
        <v>60</v>
      </c>
      <c r="I369" s="389">
        <v>30033</v>
      </c>
      <c r="K369" s="390">
        <v>45047</v>
      </c>
      <c r="L369" s="264">
        <v>70</v>
      </c>
      <c r="M369" s="264" t="s">
        <v>1024</v>
      </c>
      <c r="N369" s="264">
        <v>1</v>
      </c>
      <c r="O369" s="264" t="s">
        <v>829</v>
      </c>
      <c r="P369" s="264" t="s">
        <v>994</v>
      </c>
      <c r="Q369" s="264" t="s">
        <v>1009</v>
      </c>
      <c r="R369" s="264" t="s">
        <v>1010</v>
      </c>
      <c r="S369" s="264" t="s">
        <v>996</v>
      </c>
      <c r="T369" s="264" t="s">
        <v>997</v>
      </c>
      <c r="U369" s="264" t="s">
        <v>995</v>
      </c>
      <c r="V369" s="264" t="s">
        <v>995</v>
      </c>
      <c r="W369" s="264" t="s">
        <v>995</v>
      </c>
      <c r="X369" s="264" t="s">
        <v>828</v>
      </c>
      <c r="Y369" s="264" t="s">
        <v>998</v>
      </c>
      <c r="Z369" s="264">
        <v>31</v>
      </c>
      <c r="AA369" s="264" t="s">
        <v>999</v>
      </c>
      <c r="AB369" s="264">
        <v>31</v>
      </c>
      <c r="AC369" s="264" t="s">
        <v>999</v>
      </c>
      <c r="AD369" s="264" t="s">
        <v>1000</v>
      </c>
      <c r="AE369" s="264" t="s">
        <v>1000</v>
      </c>
      <c r="AF369" s="264" t="s">
        <v>1000</v>
      </c>
      <c r="AG369" s="264" t="s">
        <v>1000</v>
      </c>
      <c r="AH369" s="264" t="s">
        <v>1002</v>
      </c>
      <c r="AI369" s="264" t="s">
        <v>1002</v>
      </c>
      <c r="AJ369" s="264" t="s">
        <v>995</v>
      </c>
      <c r="AK369" s="264" t="s">
        <v>995</v>
      </c>
      <c r="AL369" s="264" t="s">
        <v>995</v>
      </c>
    </row>
    <row r="370" spans="1:38">
      <c r="A370" s="264">
        <v>5064</v>
      </c>
      <c r="B370" s="264" t="s">
        <v>507</v>
      </c>
      <c r="C370" s="264" t="s">
        <v>1402</v>
      </c>
      <c r="D370" s="264" t="s">
        <v>1004</v>
      </c>
      <c r="E370" s="264">
        <v>61300</v>
      </c>
      <c r="F370" s="264" t="s">
        <v>162</v>
      </c>
      <c r="G370" s="389">
        <v>24532</v>
      </c>
      <c r="H370" s="264">
        <v>56</v>
      </c>
      <c r="I370" s="389">
        <v>30035</v>
      </c>
      <c r="K370" s="390">
        <v>42278</v>
      </c>
      <c r="L370" s="264">
        <v>20</v>
      </c>
      <c r="M370" s="264" t="s">
        <v>1015</v>
      </c>
      <c r="N370" s="264">
        <v>1</v>
      </c>
      <c r="O370" s="264" t="s">
        <v>829</v>
      </c>
      <c r="P370" s="264" t="s">
        <v>994</v>
      </c>
      <c r="Q370" s="264" t="s">
        <v>1009</v>
      </c>
      <c r="R370" s="264" t="s">
        <v>1010</v>
      </c>
      <c r="S370" s="264" t="s">
        <v>996</v>
      </c>
      <c r="T370" s="264" t="s">
        <v>997</v>
      </c>
      <c r="U370" s="264" t="s">
        <v>995</v>
      </c>
      <c r="V370" s="264" t="s">
        <v>995</v>
      </c>
      <c r="W370" s="264" t="s">
        <v>995</v>
      </c>
      <c r="X370" s="264" t="s">
        <v>828</v>
      </c>
      <c r="Y370" s="264" t="s">
        <v>998</v>
      </c>
      <c r="Z370" s="264">
        <v>31</v>
      </c>
      <c r="AA370" s="264" t="s">
        <v>999</v>
      </c>
      <c r="AB370" s="264">
        <v>31</v>
      </c>
      <c r="AC370" s="264" t="s">
        <v>999</v>
      </c>
      <c r="AD370" s="264" t="s">
        <v>1000</v>
      </c>
      <c r="AE370" s="264" t="s">
        <v>1000</v>
      </c>
      <c r="AF370" s="264" t="s">
        <v>1000</v>
      </c>
      <c r="AG370" s="264" t="s">
        <v>1000</v>
      </c>
      <c r="AH370" s="264" t="s">
        <v>1002</v>
      </c>
      <c r="AI370" s="264" t="s">
        <v>1002</v>
      </c>
      <c r="AJ370" s="264" t="s">
        <v>995</v>
      </c>
      <c r="AK370" s="264" t="s">
        <v>995</v>
      </c>
      <c r="AL370" s="264" t="s">
        <v>995</v>
      </c>
    </row>
    <row r="371" spans="1:38">
      <c r="A371" s="264">
        <v>8196</v>
      </c>
      <c r="B371" s="264" t="s">
        <v>577</v>
      </c>
      <c r="C371" s="264" t="s">
        <v>1410</v>
      </c>
      <c r="D371" s="264" t="s">
        <v>1004</v>
      </c>
      <c r="E371" s="264">
        <v>61320</v>
      </c>
      <c r="F371" s="264" t="s">
        <v>162</v>
      </c>
      <c r="G371" s="389">
        <v>22232</v>
      </c>
      <c r="H371" s="264">
        <v>63</v>
      </c>
      <c r="I371" s="389">
        <v>34659</v>
      </c>
      <c r="K371" s="390">
        <v>44105</v>
      </c>
      <c r="L371" s="264">
        <v>70</v>
      </c>
      <c r="M371" s="264" t="s">
        <v>1024</v>
      </c>
      <c r="N371" s="264">
        <v>1</v>
      </c>
      <c r="O371" s="264" t="s">
        <v>829</v>
      </c>
      <c r="P371" s="264" t="s">
        <v>994</v>
      </c>
      <c r="Q371" s="264" t="s">
        <v>1009</v>
      </c>
      <c r="R371" s="264" t="s">
        <v>1010</v>
      </c>
      <c r="S371" s="264" t="s">
        <v>996</v>
      </c>
      <c r="T371" s="264" t="s">
        <v>997</v>
      </c>
      <c r="U371" s="264" t="s">
        <v>995</v>
      </c>
      <c r="V371" s="264" t="s">
        <v>995</v>
      </c>
      <c r="W371" s="264" t="s">
        <v>995</v>
      </c>
      <c r="X371" s="264" t="s">
        <v>828</v>
      </c>
      <c r="Y371" s="264" t="s">
        <v>998</v>
      </c>
      <c r="Z371" s="264">
        <v>31</v>
      </c>
      <c r="AA371" s="264" t="s">
        <v>999</v>
      </c>
      <c r="AB371" s="264">
        <v>31</v>
      </c>
      <c r="AC371" s="264" t="s">
        <v>999</v>
      </c>
      <c r="AD371" s="264" t="s">
        <v>1000</v>
      </c>
      <c r="AE371" s="264" t="s">
        <v>1000</v>
      </c>
      <c r="AF371" s="264" t="s">
        <v>1000</v>
      </c>
      <c r="AG371" s="264" t="s">
        <v>1000</v>
      </c>
      <c r="AH371" s="264" t="s">
        <v>1002</v>
      </c>
      <c r="AI371" s="264" t="s">
        <v>1002</v>
      </c>
      <c r="AJ371" s="264" t="s">
        <v>995</v>
      </c>
      <c r="AK371" s="264" t="s">
        <v>995</v>
      </c>
      <c r="AL371" s="264" t="s">
        <v>995</v>
      </c>
    </row>
    <row r="372" spans="1:38">
      <c r="A372" s="264">
        <v>3040</v>
      </c>
      <c r="B372" s="264" t="s">
        <v>161</v>
      </c>
      <c r="C372" s="264" t="s">
        <v>1403</v>
      </c>
      <c r="D372" s="264" t="s">
        <v>1004</v>
      </c>
      <c r="E372" s="264">
        <v>61300</v>
      </c>
      <c r="F372" s="264" t="s">
        <v>162</v>
      </c>
      <c r="G372" s="389">
        <v>27395</v>
      </c>
      <c r="H372" s="264">
        <v>49</v>
      </c>
      <c r="I372" s="389">
        <v>34780</v>
      </c>
      <c r="K372" s="390">
        <v>42278</v>
      </c>
      <c r="L372" s="264">
        <v>20</v>
      </c>
      <c r="M372" s="264" t="s">
        <v>1015</v>
      </c>
      <c r="N372" s="264">
        <v>1</v>
      </c>
      <c r="O372" s="264" t="s">
        <v>829</v>
      </c>
      <c r="P372" s="264" t="s">
        <v>994</v>
      </c>
      <c r="Q372" s="264" t="s">
        <v>1009</v>
      </c>
      <c r="R372" s="264" t="s">
        <v>1010</v>
      </c>
      <c r="S372" s="264" t="s">
        <v>996</v>
      </c>
      <c r="T372" s="264" t="s">
        <v>997</v>
      </c>
      <c r="U372" s="264" t="s">
        <v>995</v>
      </c>
      <c r="V372" s="264" t="s">
        <v>995</v>
      </c>
      <c r="W372" s="264" t="s">
        <v>995</v>
      </c>
      <c r="X372" s="264" t="s">
        <v>828</v>
      </c>
      <c r="Y372" s="264" t="s">
        <v>998</v>
      </c>
      <c r="Z372" s="264">
        <v>31</v>
      </c>
      <c r="AA372" s="264" t="s">
        <v>999</v>
      </c>
      <c r="AB372" s="264">
        <v>31</v>
      </c>
      <c r="AC372" s="264" t="s">
        <v>999</v>
      </c>
      <c r="AD372" s="264" t="s">
        <v>1000</v>
      </c>
      <c r="AE372" s="264" t="s">
        <v>1000</v>
      </c>
      <c r="AF372" s="264" t="s">
        <v>1000</v>
      </c>
      <c r="AG372" s="264" t="s">
        <v>1000</v>
      </c>
      <c r="AH372" s="264" t="s">
        <v>1002</v>
      </c>
      <c r="AI372" s="264" t="s">
        <v>1002</v>
      </c>
      <c r="AJ372" s="264" t="s">
        <v>995</v>
      </c>
      <c r="AK372" s="264" t="s">
        <v>995</v>
      </c>
      <c r="AL372" s="264" t="s">
        <v>995</v>
      </c>
    </row>
    <row r="373" spans="1:38">
      <c r="A373" s="264">
        <v>3239</v>
      </c>
      <c r="B373" s="264" t="s">
        <v>244</v>
      </c>
      <c r="C373" s="264" t="s">
        <v>1404</v>
      </c>
      <c r="D373" s="264" t="s">
        <v>991</v>
      </c>
      <c r="E373" s="264">
        <v>61300</v>
      </c>
      <c r="F373" s="264" t="s">
        <v>162</v>
      </c>
      <c r="G373" s="389">
        <v>31770</v>
      </c>
      <c r="H373" s="264">
        <v>37</v>
      </c>
      <c r="I373" s="389">
        <v>38432</v>
      </c>
      <c r="K373" s="390">
        <v>42278</v>
      </c>
      <c r="L373" s="264">
        <v>20</v>
      </c>
      <c r="M373" s="264" t="s">
        <v>1015</v>
      </c>
      <c r="N373" s="264">
        <v>1</v>
      </c>
      <c r="O373" s="264" t="s">
        <v>829</v>
      </c>
      <c r="P373" s="264" t="s">
        <v>994</v>
      </c>
      <c r="Q373" s="264" t="s">
        <v>1009</v>
      </c>
      <c r="R373" s="264" t="s">
        <v>1010</v>
      </c>
      <c r="S373" s="264" t="s">
        <v>996</v>
      </c>
      <c r="T373" s="264" t="s">
        <v>997</v>
      </c>
      <c r="U373" s="264" t="s">
        <v>995</v>
      </c>
      <c r="V373" s="264" t="s">
        <v>995</v>
      </c>
      <c r="W373" s="264" t="s">
        <v>995</v>
      </c>
      <c r="X373" s="264" t="s">
        <v>828</v>
      </c>
      <c r="Y373" s="264" t="s">
        <v>998</v>
      </c>
      <c r="Z373" s="264">
        <v>31</v>
      </c>
      <c r="AA373" s="264" t="s">
        <v>999</v>
      </c>
      <c r="AB373" s="264">
        <v>31</v>
      </c>
      <c r="AC373" s="264" t="s">
        <v>999</v>
      </c>
      <c r="AD373" s="264" t="s">
        <v>1000</v>
      </c>
      <c r="AE373" s="264" t="s">
        <v>1000</v>
      </c>
      <c r="AF373" s="264" t="s">
        <v>1000</v>
      </c>
      <c r="AG373" s="264" t="s">
        <v>1000</v>
      </c>
      <c r="AH373" s="264" t="s">
        <v>1002</v>
      </c>
      <c r="AI373" s="264" t="s">
        <v>1002</v>
      </c>
      <c r="AJ373" s="264" t="s">
        <v>995</v>
      </c>
      <c r="AK373" s="264" t="s">
        <v>995</v>
      </c>
      <c r="AL373" s="264" t="s">
        <v>995</v>
      </c>
    </row>
    <row r="374" spans="1:38">
      <c r="A374" s="264">
        <v>3364</v>
      </c>
      <c r="B374" s="264" t="s">
        <v>163</v>
      </c>
      <c r="C374" s="264" t="s">
        <v>1405</v>
      </c>
      <c r="D374" s="264" t="s">
        <v>1004</v>
      </c>
      <c r="E374" s="264">
        <v>61300</v>
      </c>
      <c r="F374" s="264" t="s">
        <v>162</v>
      </c>
      <c r="G374" s="389">
        <v>32476</v>
      </c>
      <c r="H374" s="264">
        <v>35</v>
      </c>
      <c r="I374" s="389">
        <v>40989</v>
      </c>
      <c r="K374" s="390">
        <v>42278</v>
      </c>
      <c r="L374" s="264">
        <v>20</v>
      </c>
      <c r="M374" s="264" t="s">
        <v>1015</v>
      </c>
      <c r="N374" s="264">
        <v>1</v>
      </c>
      <c r="O374" s="264" t="s">
        <v>829</v>
      </c>
      <c r="P374" s="264" t="s">
        <v>994</v>
      </c>
      <c r="Q374" s="264" t="s">
        <v>1009</v>
      </c>
      <c r="R374" s="264" t="s">
        <v>1010</v>
      </c>
      <c r="S374" s="264" t="s">
        <v>996</v>
      </c>
      <c r="T374" s="264" t="s">
        <v>997</v>
      </c>
      <c r="U374" s="264" t="s">
        <v>995</v>
      </c>
      <c r="V374" s="264" t="s">
        <v>995</v>
      </c>
      <c r="W374" s="264" t="s">
        <v>995</v>
      </c>
      <c r="X374" s="264" t="s">
        <v>828</v>
      </c>
      <c r="Y374" s="264" t="s">
        <v>998</v>
      </c>
      <c r="Z374" s="264">
        <v>31</v>
      </c>
      <c r="AA374" s="264" t="s">
        <v>999</v>
      </c>
      <c r="AB374" s="264">
        <v>31</v>
      </c>
      <c r="AC374" s="264" t="s">
        <v>999</v>
      </c>
      <c r="AD374" s="264" t="s">
        <v>1000</v>
      </c>
      <c r="AE374" s="264" t="s">
        <v>1000</v>
      </c>
      <c r="AF374" s="264" t="s">
        <v>1000</v>
      </c>
      <c r="AG374" s="264" t="s">
        <v>1000</v>
      </c>
      <c r="AH374" s="264" t="s">
        <v>1002</v>
      </c>
      <c r="AI374" s="264" t="s">
        <v>1002</v>
      </c>
      <c r="AJ374" s="264" t="s">
        <v>995</v>
      </c>
      <c r="AK374" s="264" t="s">
        <v>995</v>
      </c>
      <c r="AL374" s="264" t="s">
        <v>995</v>
      </c>
    </row>
    <row r="375" spans="1:38">
      <c r="A375" s="264">
        <v>3869</v>
      </c>
      <c r="B375" s="264" t="s">
        <v>166</v>
      </c>
      <c r="C375" s="264" t="s">
        <v>1406</v>
      </c>
      <c r="D375" s="264" t="s">
        <v>1004</v>
      </c>
      <c r="E375" s="264">
        <v>61300</v>
      </c>
      <c r="F375" s="264" t="s">
        <v>162</v>
      </c>
      <c r="G375" s="389">
        <v>24560</v>
      </c>
      <c r="H375" s="264">
        <v>56</v>
      </c>
      <c r="I375" s="389">
        <v>35510</v>
      </c>
      <c r="K375" s="390">
        <v>42278</v>
      </c>
      <c r="L375" s="264">
        <v>20</v>
      </c>
      <c r="M375" s="264" t="s">
        <v>1015</v>
      </c>
      <c r="N375" s="264">
        <v>1</v>
      </c>
      <c r="O375" s="264" t="s">
        <v>829</v>
      </c>
      <c r="P375" s="264" t="s">
        <v>994</v>
      </c>
      <c r="Q375" s="264" t="s">
        <v>1009</v>
      </c>
      <c r="R375" s="264" t="s">
        <v>1010</v>
      </c>
      <c r="S375" s="264" t="s">
        <v>996</v>
      </c>
      <c r="T375" s="264" t="s">
        <v>997</v>
      </c>
      <c r="U375" s="264" t="s">
        <v>995</v>
      </c>
      <c r="V375" s="264" t="s">
        <v>995</v>
      </c>
      <c r="W375" s="264" t="s">
        <v>995</v>
      </c>
      <c r="X375" s="264" t="s">
        <v>828</v>
      </c>
      <c r="Y375" s="264" t="s">
        <v>998</v>
      </c>
      <c r="Z375" s="264">
        <v>31</v>
      </c>
      <c r="AA375" s="264" t="s">
        <v>999</v>
      </c>
      <c r="AB375" s="264">
        <v>31</v>
      </c>
      <c r="AC375" s="264" t="s">
        <v>999</v>
      </c>
      <c r="AD375" s="264" t="s">
        <v>1000</v>
      </c>
      <c r="AE375" s="264" t="s">
        <v>1000</v>
      </c>
      <c r="AF375" s="264" t="s">
        <v>1000</v>
      </c>
      <c r="AG375" s="264" t="s">
        <v>1000</v>
      </c>
      <c r="AH375" s="264" t="s">
        <v>1002</v>
      </c>
      <c r="AI375" s="264" t="s">
        <v>1002</v>
      </c>
      <c r="AJ375" s="264" t="s">
        <v>995</v>
      </c>
      <c r="AK375" s="264" t="s">
        <v>995</v>
      </c>
      <c r="AL375" s="264" t="s">
        <v>995</v>
      </c>
    </row>
    <row r="376" spans="1:38">
      <c r="A376" s="264">
        <v>2772</v>
      </c>
      <c r="B376" s="264" t="s">
        <v>432</v>
      </c>
      <c r="C376" s="264" t="s">
        <v>1407</v>
      </c>
      <c r="D376" s="264" t="s">
        <v>1004</v>
      </c>
      <c r="E376" s="264">
        <v>61300</v>
      </c>
      <c r="F376" s="264" t="s">
        <v>162</v>
      </c>
      <c r="G376" s="389">
        <v>24843</v>
      </c>
      <c r="H376" s="264">
        <v>56</v>
      </c>
      <c r="I376" s="389">
        <v>31497</v>
      </c>
      <c r="K376" s="390">
        <v>42278</v>
      </c>
      <c r="L376" s="264">
        <v>20</v>
      </c>
      <c r="M376" s="264" t="s">
        <v>1015</v>
      </c>
      <c r="N376" s="264">
        <v>1</v>
      </c>
      <c r="O376" s="264" t="s">
        <v>829</v>
      </c>
      <c r="P376" s="264" t="s">
        <v>994</v>
      </c>
      <c r="Q376" s="264" t="s">
        <v>1009</v>
      </c>
      <c r="R376" s="264" t="s">
        <v>1010</v>
      </c>
      <c r="S376" s="264" t="s">
        <v>996</v>
      </c>
      <c r="T376" s="264" t="s">
        <v>997</v>
      </c>
      <c r="U376" s="264" t="s">
        <v>995</v>
      </c>
      <c r="V376" s="264" t="s">
        <v>995</v>
      </c>
      <c r="W376" s="264" t="s">
        <v>995</v>
      </c>
      <c r="X376" s="264" t="s">
        <v>828</v>
      </c>
      <c r="Y376" s="264" t="s">
        <v>998</v>
      </c>
      <c r="Z376" s="264">
        <v>31</v>
      </c>
      <c r="AA376" s="264" t="s">
        <v>999</v>
      </c>
      <c r="AB376" s="264">
        <v>31</v>
      </c>
      <c r="AC376" s="264" t="s">
        <v>999</v>
      </c>
      <c r="AD376" s="264" t="s">
        <v>1000</v>
      </c>
      <c r="AE376" s="264" t="s">
        <v>1000</v>
      </c>
      <c r="AF376" s="264" t="s">
        <v>1000</v>
      </c>
      <c r="AG376" s="264" t="s">
        <v>1000</v>
      </c>
      <c r="AH376" s="264" t="s">
        <v>1002</v>
      </c>
      <c r="AI376" s="264" t="s">
        <v>1002</v>
      </c>
      <c r="AJ376" s="264" t="s">
        <v>995</v>
      </c>
      <c r="AK376" s="264" t="s">
        <v>995</v>
      </c>
      <c r="AL376" s="264" t="s">
        <v>995</v>
      </c>
    </row>
    <row r="377" spans="1:38">
      <c r="A377" s="264">
        <v>3102</v>
      </c>
      <c r="B377" s="264" t="s">
        <v>475</v>
      </c>
      <c r="C377" s="264" t="s">
        <v>1493</v>
      </c>
      <c r="D377" s="264" t="s">
        <v>1004</v>
      </c>
      <c r="E377" s="264">
        <v>67211</v>
      </c>
      <c r="F377" s="264" t="s">
        <v>476</v>
      </c>
      <c r="G377" s="389">
        <v>27828</v>
      </c>
      <c r="H377" s="264">
        <v>47</v>
      </c>
      <c r="I377" s="389">
        <v>35145</v>
      </c>
      <c r="K377" s="390">
        <v>42278</v>
      </c>
      <c r="L377" s="264">
        <v>20</v>
      </c>
      <c r="M377" s="264" t="s">
        <v>1015</v>
      </c>
      <c r="N377" s="264">
        <v>1</v>
      </c>
      <c r="O377" s="264" t="s">
        <v>829</v>
      </c>
      <c r="P377" s="264" t="s">
        <v>994</v>
      </c>
      <c r="Q377" s="264" t="s">
        <v>1009</v>
      </c>
      <c r="R377" s="264" t="s">
        <v>1010</v>
      </c>
      <c r="S377" s="264" t="s">
        <v>996</v>
      </c>
      <c r="T377" s="264" t="s">
        <v>997</v>
      </c>
      <c r="U377" s="264" t="s">
        <v>995</v>
      </c>
      <c r="V377" s="264" t="s">
        <v>995</v>
      </c>
      <c r="W377" s="264" t="s">
        <v>995</v>
      </c>
      <c r="X377" s="264" t="s">
        <v>828</v>
      </c>
      <c r="Y377" s="264" t="s">
        <v>998</v>
      </c>
      <c r="Z377" s="264">
        <v>31</v>
      </c>
      <c r="AA377" s="264" t="s">
        <v>999</v>
      </c>
      <c r="AB377" s="264">
        <v>31</v>
      </c>
      <c r="AC377" s="264" t="s">
        <v>999</v>
      </c>
      <c r="AD377" s="264" t="s">
        <v>1000</v>
      </c>
      <c r="AE377" s="264" t="s">
        <v>1000</v>
      </c>
      <c r="AF377" s="264" t="s">
        <v>1000</v>
      </c>
      <c r="AG377" s="264" t="s">
        <v>1000</v>
      </c>
      <c r="AH377" s="264" t="s">
        <v>1002</v>
      </c>
      <c r="AI377" s="264" t="s">
        <v>1002</v>
      </c>
      <c r="AJ377" s="264" t="s">
        <v>995</v>
      </c>
      <c r="AK377" s="264" t="s">
        <v>995</v>
      </c>
      <c r="AL377" s="264" t="s">
        <v>995</v>
      </c>
    </row>
    <row r="378" spans="1:38">
      <c r="A378" s="264">
        <v>3379</v>
      </c>
      <c r="B378" s="264" t="s">
        <v>452</v>
      </c>
      <c r="C378" s="264" t="s">
        <v>1494</v>
      </c>
      <c r="D378" s="264" t="s">
        <v>1004</v>
      </c>
      <c r="E378" s="264">
        <v>67211</v>
      </c>
      <c r="F378" s="264" t="s">
        <v>476</v>
      </c>
      <c r="G378" s="389">
        <v>34207</v>
      </c>
      <c r="H378" s="264">
        <v>30</v>
      </c>
      <c r="I378" s="389">
        <v>40989</v>
      </c>
      <c r="K378" s="390">
        <v>42278</v>
      </c>
      <c r="L378" s="264">
        <v>20</v>
      </c>
      <c r="M378" s="264" t="s">
        <v>1015</v>
      </c>
      <c r="N378" s="264">
        <v>1</v>
      </c>
      <c r="O378" s="264" t="s">
        <v>829</v>
      </c>
      <c r="P378" s="264" t="s">
        <v>994</v>
      </c>
      <c r="Q378" s="264" t="s">
        <v>1009</v>
      </c>
      <c r="R378" s="264" t="s">
        <v>1010</v>
      </c>
      <c r="S378" s="264" t="s">
        <v>996</v>
      </c>
      <c r="T378" s="264" t="s">
        <v>997</v>
      </c>
      <c r="U378" s="264" t="s">
        <v>995</v>
      </c>
      <c r="V378" s="264" t="s">
        <v>995</v>
      </c>
      <c r="W378" s="264" t="s">
        <v>995</v>
      </c>
      <c r="X378" s="264" t="s">
        <v>828</v>
      </c>
      <c r="Y378" s="264" t="s">
        <v>998</v>
      </c>
      <c r="Z378" s="264">
        <v>31</v>
      </c>
      <c r="AA378" s="264" t="s">
        <v>999</v>
      </c>
      <c r="AB378" s="264">
        <v>31</v>
      </c>
      <c r="AC378" s="264" t="s">
        <v>999</v>
      </c>
      <c r="AD378" s="264" t="s">
        <v>1000</v>
      </c>
      <c r="AE378" s="264" t="s">
        <v>1000</v>
      </c>
      <c r="AF378" s="264" t="s">
        <v>1000</v>
      </c>
      <c r="AG378" s="264" t="s">
        <v>1000</v>
      </c>
      <c r="AH378" s="264" t="s">
        <v>1002</v>
      </c>
      <c r="AI378" s="264" t="s">
        <v>1002</v>
      </c>
      <c r="AJ378" s="264" t="s">
        <v>995</v>
      </c>
      <c r="AK378" s="264" t="s">
        <v>995</v>
      </c>
      <c r="AL378" s="264" t="s">
        <v>995</v>
      </c>
    </row>
    <row r="379" spans="1:38">
      <c r="A379" s="264">
        <v>3527</v>
      </c>
      <c r="B379" s="264" t="s">
        <v>761</v>
      </c>
      <c r="C379" s="264" t="s">
        <v>1495</v>
      </c>
      <c r="D379" s="264" t="s">
        <v>1004</v>
      </c>
      <c r="E379" s="264">
        <v>67211</v>
      </c>
      <c r="F379" s="264" t="s">
        <v>476</v>
      </c>
      <c r="G379" s="389">
        <v>37487</v>
      </c>
      <c r="H379" s="264">
        <v>21</v>
      </c>
      <c r="I379" s="389">
        <v>44287</v>
      </c>
      <c r="K379" s="390">
        <v>44287</v>
      </c>
      <c r="L379" s="264">
        <v>20</v>
      </c>
      <c r="M379" s="264" t="s">
        <v>1015</v>
      </c>
      <c r="N379" s="264">
        <v>1</v>
      </c>
      <c r="O379" s="264" t="s">
        <v>829</v>
      </c>
      <c r="P379" s="264" t="s">
        <v>994</v>
      </c>
      <c r="Q379" s="264" t="s">
        <v>1009</v>
      </c>
      <c r="R379" s="264" t="s">
        <v>1010</v>
      </c>
      <c r="S379" s="264" t="s">
        <v>996</v>
      </c>
      <c r="T379" s="264" t="s">
        <v>997</v>
      </c>
      <c r="U379" s="264" t="s">
        <v>995</v>
      </c>
      <c r="V379" s="264" t="s">
        <v>995</v>
      </c>
      <c r="W379" s="264" t="s">
        <v>995</v>
      </c>
      <c r="X379" s="264" t="s">
        <v>828</v>
      </c>
      <c r="Y379" s="264" t="s">
        <v>998</v>
      </c>
      <c r="Z379" s="264">
        <v>31</v>
      </c>
      <c r="AA379" s="264" t="s">
        <v>999</v>
      </c>
      <c r="AB379" s="264">
        <v>31</v>
      </c>
      <c r="AC379" s="264" t="s">
        <v>999</v>
      </c>
      <c r="AD379" s="264" t="s">
        <v>1000</v>
      </c>
      <c r="AE379" s="264" t="s">
        <v>1000</v>
      </c>
      <c r="AF379" s="264" t="s">
        <v>1000</v>
      </c>
      <c r="AG379" s="264" t="s">
        <v>1000</v>
      </c>
      <c r="AH379" s="264" t="s">
        <v>1002</v>
      </c>
      <c r="AI379" s="264" t="s">
        <v>1002</v>
      </c>
      <c r="AJ379" s="264" t="s">
        <v>995</v>
      </c>
      <c r="AK379" s="264" t="s">
        <v>995</v>
      </c>
      <c r="AL379" s="264" t="s">
        <v>995</v>
      </c>
    </row>
    <row r="380" spans="1:38">
      <c r="A380" s="264">
        <v>5266</v>
      </c>
      <c r="B380" s="264" t="s">
        <v>281</v>
      </c>
      <c r="C380" s="264" t="s">
        <v>1496</v>
      </c>
      <c r="D380" s="264" t="s">
        <v>1004</v>
      </c>
      <c r="E380" s="264">
        <v>67211</v>
      </c>
      <c r="F380" s="264" t="s">
        <v>476</v>
      </c>
      <c r="G380" s="389">
        <v>29401</v>
      </c>
      <c r="H380" s="264">
        <v>43</v>
      </c>
      <c r="I380" s="389">
        <v>35152</v>
      </c>
      <c r="K380" s="390">
        <v>42278</v>
      </c>
      <c r="L380" s="264">
        <v>20</v>
      </c>
      <c r="M380" s="264" t="s">
        <v>1015</v>
      </c>
      <c r="N380" s="264">
        <v>1</v>
      </c>
      <c r="O380" s="264" t="s">
        <v>829</v>
      </c>
      <c r="P380" s="264" t="s">
        <v>994</v>
      </c>
      <c r="Q380" s="264" t="s">
        <v>1009</v>
      </c>
      <c r="R380" s="264" t="s">
        <v>1010</v>
      </c>
      <c r="S380" s="264" t="s">
        <v>996</v>
      </c>
      <c r="T380" s="264" t="s">
        <v>997</v>
      </c>
      <c r="U380" s="264" t="s">
        <v>995</v>
      </c>
      <c r="V380" s="264" t="s">
        <v>995</v>
      </c>
      <c r="W380" s="264" t="s">
        <v>995</v>
      </c>
      <c r="X380" s="264" t="s">
        <v>828</v>
      </c>
      <c r="Y380" s="264" t="s">
        <v>998</v>
      </c>
      <c r="Z380" s="264">
        <v>31</v>
      </c>
      <c r="AA380" s="264" t="s">
        <v>999</v>
      </c>
      <c r="AB380" s="264">
        <v>31</v>
      </c>
      <c r="AC380" s="264" t="s">
        <v>999</v>
      </c>
      <c r="AD380" s="264" t="s">
        <v>1000</v>
      </c>
      <c r="AE380" s="264" t="s">
        <v>1000</v>
      </c>
      <c r="AF380" s="264" t="s">
        <v>1000</v>
      </c>
      <c r="AG380" s="264" t="s">
        <v>1000</v>
      </c>
      <c r="AH380" s="264" t="s">
        <v>1002</v>
      </c>
      <c r="AI380" s="264" t="s">
        <v>1002</v>
      </c>
      <c r="AJ380" s="264" t="s">
        <v>995</v>
      </c>
      <c r="AK380" s="264" t="s">
        <v>995</v>
      </c>
      <c r="AL380" s="264" t="s">
        <v>995</v>
      </c>
    </row>
    <row r="381" spans="1:38">
      <c r="A381" s="264">
        <v>8154</v>
      </c>
      <c r="B381" s="264" t="s">
        <v>558</v>
      </c>
      <c r="C381" s="264" t="s">
        <v>1500</v>
      </c>
      <c r="D381" s="264" t="s">
        <v>1004</v>
      </c>
      <c r="E381" s="264">
        <v>67221</v>
      </c>
      <c r="F381" s="264" t="s">
        <v>476</v>
      </c>
      <c r="G381" s="389">
        <v>20361</v>
      </c>
      <c r="H381" s="264">
        <v>68</v>
      </c>
      <c r="I381" s="389">
        <v>26379</v>
      </c>
      <c r="K381" s="390">
        <v>42278</v>
      </c>
      <c r="L381" s="264">
        <v>70</v>
      </c>
      <c r="M381" s="264" t="s">
        <v>1024</v>
      </c>
      <c r="N381" s="264">
        <v>1</v>
      </c>
      <c r="O381" s="264" t="s">
        <v>829</v>
      </c>
      <c r="P381" s="264" t="s">
        <v>994</v>
      </c>
      <c r="Q381" s="264" t="s">
        <v>1009</v>
      </c>
      <c r="R381" s="264" t="s">
        <v>1010</v>
      </c>
      <c r="S381" s="264" t="s">
        <v>996</v>
      </c>
      <c r="T381" s="264" t="s">
        <v>997</v>
      </c>
      <c r="U381" s="264" t="s">
        <v>995</v>
      </c>
      <c r="V381" s="264" t="s">
        <v>995</v>
      </c>
      <c r="W381" s="264" t="s">
        <v>995</v>
      </c>
      <c r="X381" s="264" t="s">
        <v>828</v>
      </c>
      <c r="Y381" s="264" t="s">
        <v>998</v>
      </c>
      <c r="Z381" s="264">
        <v>31</v>
      </c>
      <c r="AA381" s="264" t="s">
        <v>999</v>
      </c>
      <c r="AB381" s="264">
        <v>31</v>
      </c>
      <c r="AC381" s="264" t="s">
        <v>999</v>
      </c>
      <c r="AD381" s="264" t="s">
        <v>1000</v>
      </c>
      <c r="AE381" s="264" t="s">
        <v>1000</v>
      </c>
      <c r="AF381" s="264" t="s">
        <v>1000</v>
      </c>
      <c r="AG381" s="264" t="s">
        <v>1000</v>
      </c>
      <c r="AH381" s="264" t="s">
        <v>1002</v>
      </c>
      <c r="AI381" s="264" t="s">
        <v>1002</v>
      </c>
      <c r="AJ381" s="264" t="s">
        <v>995</v>
      </c>
      <c r="AK381" s="264" t="s">
        <v>995</v>
      </c>
      <c r="AL381" s="264" t="s">
        <v>995</v>
      </c>
    </row>
    <row r="382" spans="1:38">
      <c r="A382" s="264">
        <v>8206</v>
      </c>
      <c r="B382" s="264" t="s">
        <v>787</v>
      </c>
      <c r="C382" s="264" t="s">
        <v>1411</v>
      </c>
      <c r="D382" s="264" t="s">
        <v>1004</v>
      </c>
      <c r="E382" s="264">
        <v>61320</v>
      </c>
      <c r="F382" s="264" t="s">
        <v>162</v>
      </c>
      <c r="G382" s="389">
        <v>22528</v>
      </c>
      <c r="H382" s="264">
        <v>62</v>
      </c>
      <c r="I382" s="389">
        <v>28207</v>
      </c>
      <c r="K382" s="390">
        <v>44166</v>
      </c>
      <c r="L382" s="264">
        <v>70</v>
      </c>
      <c r="M382" s="264" t="s">
        <v>1024</v>
      </c>
      <c r="N382" s="264">
        <v>1</v>
      </c>
      <c r="O382" s="264" t="s">
        <v>829</v>
      </c>
      <c r="P382" s="264" t="s">
        <v>994</v>
      </c>
      <c r="Q382" s="264" t="s">
        <v>1009</v>
      </c>
      <c r="R382" s="264" t="s">
        <v>1010</v>
      </c>
      <c r="S382" s="264" t="s">
        <v>996</v>
      </c>
      <c r="T382" s="264" t="s">
        <v>997</v>
      </c>
      <c r="U382" s="264" t="s">
        <v>995</v>
      </c>
      <c r="V382" s="264" t="s">
        <v>995</v>
      </c>
      <c r="W382" s="264" t="s">
        <v>995</v>
      </c>
      <c r="X382" s="264" t="s">
        <v>828</v>
      </c>
      <c r="Y382" s="264" t="s">
        <v>998</v>
      </c>
      <c r="Z382" s="264">
        <v>31</v>
      </c>
      <c r="AA382" s="264" t="s">
        <v>999</v>
      </c>
      <c r="AB382" s="264">
        <v>31</v>
      </c>
      <c r="AC382" s="264" t="s">
        <v>999</v>
      </c>
      <c r="AD382" s="264" t="s">
        <v>1000</v>
      </c>
      <c r="AE382" s="264" t="s">
        <v>1000</v>
      </c>
      <c r="AF382" s="264" t="s">
        <v>1000</v>
      </c>
      <c r="AG382" s="264" t="s">
        <v>1000</v>
      </c>
      <c r="AH382" s="264" t="s">
        <v>1002</v>
      </c>
      <c r="AI382" s="264" t="s">
        <v>1002</v>
      </c>
      <c r="AJ382" s="264" t="s">
        <v>995</v>
      </c>
      <c r="AK382" s="264" t="s">
        <v>995</v>
      </c>
      <c r="AL382" s="264" t="s">
        <v>995</v>
      </c>
    </row>
    <row r="383" spans="1:38">
      <c r="A383" s="264">
        <v>1424</v>
      </c>
      <c r="B383" s="264" t="s">
        <v>750</v>
      </c>
      <c r="C383" s="264" t="s">
        <v>1501</v>
      </c>
      <c r="D383" s="264" t="s">
        <v>1004</v>
      </c>
      <c r="E383" s="264">
        <v>68011</v>
      </c>
      <c r="F383" s="264" t="s">
        <v>483</v>
      </c>
      <c r="G383" s="389">
        <v>30158</v>
      </c>
      <c r="H383" s="264">
        <v>41</v>
      </c>
      <c r="I383" s="389">
        <v>44662</v>
      </c>
      <c r="K383" s="390">
        <v>44652</v>
      </c>
      <c r="L383" s="264">
        <v>20</v>
      </c>
      <c r="M383" s="264" t="s">
        <v>1015</v>
      </c>
      <c r="N383" s="264">
        <v>1</v>
      </c>
      <c r="O383" s="264" t="s">
        <v>829</v>
      </c>
      <c r="P383" s="264" t="s">
        <v>994</v>
      </c>
      <c r="Q383" s="264" t="s">
        <v>1009</v>
      </c>
      <c r="R383" s="264" t="s">
        <v>1010</v>
      </c>
      <c r="S383" s="264" t="s">
        <v>996</v>
      </c>
      <c r="T383" s="264" t="s">
        <v>997</v>
      </c>
      <c r="U383" s="264" t="s">
        <v>995</v>
      </c>
      <c r="V383" s="264" t="s">
        <v>995</v>
      </c>
      <c r="W383" s="264" t="s">
        <v>995</v>
      </c>
      <c r="X383" s="264" t="s">
        <v>828</v>
      </c>
      <c r="Y383" s="264" t="s">
        <v>998</v>
      </c>
      <c r="Z383" s="264">
        <v>31</v>
      </c>
      <c r="AA383" s="264" t="s">
        <v>999</v>
      </c>
      <c r="AB383" s="264">
        <v>31</v>
      </c>
      <c r="AC383" s="264" t="s">
        <v>999</v>
      </c>
      <c r="AD383" s="264" t="s">
        <v>1000</v>
      </c>
      <c r="AE383" s="264" t="s">
        <v>1000</v>
      </c>
      <c r="AF383" s="264" t="s">
        <v>1000</v>
      </c>
      <c r="AG383" s="264" t="s">
        <v>1000</v>
      </c>
      <c r="AH383" s="264" t="s">
        <v>1002</v>
      </c>
      <c r="AI383" s="264" t="s">
        <v>1002</v>
      </c>
      <c r="AJ383" s="264" t="s">
        <v>995</v>
      </c>
      <c r="AK383" s="264" t="s">
        <v>995</v>
      </c>
      <c r="AL383" s="264" t="s">
        <v>995</v>
      </c>
    </row>
    <row r="384" spans="1:38">
      <c r="A384" s="264">
        <v>3103</v>
      </c>
      <c r="B384" s="264" t="s">
        <v>477</v>
      </c>
      <c r="C384" s="264" t="s">
        <v>1497</v>
      </c>
      <c r="D384" s="264" t="s">
        <v>1004</v>
      </c>
      <c r="E384" s="264">
        <v>67211</v>
      </c>
      <c r="F384" s="264" t="s">
        <v>476</v>
      </c>
      <c r="G384" s="389">
        <v>27812</v>
      </c>
      <c r="H384" s="264">
        <v>47</v>
      </c>
      <c r="I384" s="389">
        <v>35145</v>
      </c>
      <c r="K384" s="390">
        <v>42278</v>
      </c>
      <c r="L384" s="264">
        <v>20</v>
      </c>
      <c r="M384" s="264" t="s">
        <v>1015</v>
      </c>
      <c r="N384" s="264">
        <v>1</v>
      </c>
      <c r="O384" s="264" t="s">
        <v>829</v>
      </c>
      <c r="P384" s="264" t="s">
        <v>994</v>
      </c>
      <c r="Q384" s="264" t="s">
        <v>1009</v>
      </c>
      <c r="R384" s="264" t="s">
        <v>1010</v>
      </c>
      <c r="S384" s="264" t="s">
        <v>996</v>
      </c>
      <c r="T384" s="264" t="s">
        <v>997</v>
      </c>
      <c r="U384" s="264" t="s">
        <v>995</v>
      </c>
      <c r="V384" s="264" t="s">
        <v>995</v>
      </c>
      <c r="W384" s="264" t="s">
        <v>995</v>
      </c>
      <c r="X384" s="264" t="s">
        <v>828</v>
      </c>
      <c r="Y384" s="264" t="s">
        <v>998</v>
      </c>
      <c r="Z384" s="264">
        <v>31</v>
      </c>
      <c r="AA384" s="264" t="s">
        <v>999</v>
      </c>
      <c r="AB384" s="264">
        <v>31</v>
      </c>
      <c r="AC384" s="264" t="s">
        <v>999</v>
      </c>
      <c r="AD384" s="264" t="s">
        <v>1000</v>
      </c>
      <c r="AE384" s="264" t="s">
        <v>1000</v>
      </c>
      <c r="AF384" s="264" t="s">
        <v>1000</v>
      </c>
      <c r="AG384" s="264" t="s">
        <v>1000</v>
      </c>
      <c r="AH384" s="264" t="s">
        <v>1002</v>
      </c>
      <c r="AI384" s="264" t="s">
        <v>1002</v>
      </c>
      <c r="AJ384" s="264" t="s">
        <v>995</v>
      </c>
      <c r="AK384" s="264" t="s">
        <v>995</v>
      </c>
      <c r="AL384" s="264" t="s">
        <v>995</v>
      </c>
    </row>
    <row r="385" spans="1:38">
      <c r="A385" s="264">
        <v>3166</v>
      </c>
      <c r="B385" s="264" t="s">
        <v>185</v>
      </c>
      <c r="C385" s="264" t="s">
        <v>1502</v>
      </c>
      <c r="D385" s="264" t="s">
        <v>1004</v>
      </c>
      <c r="E385" s="264">
        <v>68011</v>
      </c>
      <c r="F385" s="264" t="s">
        <v>483</v>
      </c>
      <c r="G385" s="389">
        <v>29812</v>
      </c>
      <c r="H385" s="264">
        <v>42</v>
      </c>
      <c r="I385" s="389">
        <v>36606</v>
      </c>
      <c r="K385" s="390">
        <v>42278</v>
      </c>
      <c r="L385" s="264">
        <v>20</v>
      </c>
      <c r="M385" s="264" t="s">
        <v>1015</v>
      </c>
      <c r="N385" s="264">
        <v>1</v>
      </c>
      <c r="O385" s="264" t="s">
        <v>829</v>
      </c>
      <c r="P385" s="264" t="s">
        <v>994</v>
      </c>
      <c r="Q385" s="264" t="s">
        <v>1009</v>
      </c>
      <c r="R385" s="264" t="s">
        <v>1010</v>
      </c>
      <c r="S385" s="264" t="s">
        <v>996</v>
      </c>
      <c r="T385" s="264" t="s">
        <v>997</v>
      </c>
      <c r="U385" s="264" t="s">
        <v>995</v>
      </c>
      <c r="V385" s="264" t="s">
        <v>995</v>
      </c>
      <c r="W385" s="264" t="s">
        <v>995</v>
      </c>
      <c r="X385" s="264" t="s">
        <v>828</v>
      </c>
      <c r="Y385" s="264" t="s">
        <v>998</v>
      </c>
      <c r="Z385" s="264">
        <v>31</v>
      </c>
      <c r="AA385" s="264" t="s">
        <v>999</v>
      </c>
      <c r="AB385" s="264">
        <v>31</v>
      </c>
      <c r="AC385" s="264" t="s">
        <v>999</v>
      </c>
      <c r="AD385" s="264" t="s">
        <v>1000</v>
      </c>
      <c r="AE385" s="264" t="s">
        <v>1000</v>
      </c>
      <c r="AF385" s="264" t="s">
        <v>1000</v>
      </c>
      <c r="AG385" s="264" t="s">
        <v>1000</v>
      </c>
      <c r="AH385" s="264" t="s">
        <v>1002</v>
      </c>
      <c r="AI385" s="264" t="s">
        <v>1002</v>
      </c>
      <c r="AJ385" s="264" t="s">
        <v>995</v>
      </c>
      <c r="AK385" s="264" t="s">
        <v>995</v>
      </c>
      <c r="AL385" s="264" t="s">
        <v>995</v>
      </c>
    </row>
    <row r="386" spans="1:38">
      <c r="A386" s="264">
        <v>3937</v>
      </c>
      <c r="B386" s="264" t="s">
        <v>482</v>
      </c>
      <c r="C386" s="264" t="s">
        <v>1537</v>
      </c>
      <c r="D386" s="264" t="s">
        <v>1004</v>
      </c>
      <c r="E386" s="264">
        <v>69211</v>
      </c>
      <c r="F386" s="264" t="s">
        <v>508</v>
      </c>
      <c r="G386" s="389">
        <v>29649</v>
      </c>
      <c r="H386" s="264">
        <v>42</v>
      </c>
      <c r="I386" s="389">
        <v>38777</v>
      </c>
      <c r="K386" s="390">
        <v>42278</v>
      </c>
      <c r="L386" s="264">
        <v>20</v>
      </c>
      <c r="M386" s="264" t="s">
        <v>1015</v>
      </c>
      <c r="N386" s="264">
        <v>1</v>
      </c>
      <c r="O386" s="264" t="s">
        <v>829</v>
      </c>
      <c r="P386" s="264" t="s">
        <v>994</v>
      </c>
      <c r="Q386" s="264" t="s">
        <v>1009</v>
      </c>
      <c r="R386" s="264" t="s">
        <v>1010</v>
      </c>
      <c r="S386" s="264" t="s">
        <v>996</v>
      </c>
      <c r="T386" s="264" t="s">
        <v>997</v>
      </c>
      <c r="U386" s="264" t="s">
        <v>995</v>
      </c>
      <c r="V386" s="264" t="s">
        <v>995</v>
      </c>
      <c r="W386" s="264" t="s">
        <v>995</v>
      </c>
      <c r="X386" s="264" t="s">
        <v>828</v>
      </c>
      <c r="Y386" s="264" t="s">
        <v>998</v>
      </c>
      <c r="Z386" s="264">
        <v>31</v>
      </c>
      <c r="AA386" s="264" t="s">
        <v>999</v>
      </c>
      <c r="AB386" s="264">
        <v>31</v>
      </c>
      <c r="AC386" s="264" t="s">
        <v>999</v>
      </c>
      <c r="AD386" s="264" t="s">
        <v>1000</v>
      </c>
      <c r="AE386" s="264" t="s">
        <v>1000</v>
      </c>
      <c r="AF386" s="264" t="s">
        <v>1000</v>
      </c>
      <c r="AG386" s="264" t="s">
        <v>1000</v>
      </c>
      <c r="AH386" s="264" t="s">
        <v>1002</v>
      </c>
      <c r="AI386" s="264" t="s">
        <v>1002</v>
      </c>
      <c r="AJ386" s="264" t="s">
        <v>995</v>
      </c>
      <c r="AK386" s="264" t="s">
        <v>995</v>
      </c>
      <c r="AL386" s="264" t="s">
        <v>995</v>
      </c>
    </row>
    <row r="387" spans="1:38">
      <c r="A387" s="264">
        <v>8202</v>
      </c>
      <c r="B387" s="264" t="s">
        <v>783</v>
      </c>
      <c r="C387" s="264" t="s">
        <v>1503</v>
      </c>
      <c r="D387" s="264" t="s">
        <v>1004</v>
      </c>
      <c r="E387" s="264">
        <v>68021</v>
      </c>
      <c r="F387" s="264" t="s">
        <v>483</v>
      </c>
      <c r="G387" s="389">
        <v>22448</v>
      </c>
      <c r="H387" s="264">
        <v>62</v>
      </c>
      <c r="I387" s="389">
        <v>28207</v>
      </c>
      <c r="K387" s="390">
        <v>44348</v>
      </c>
      <c r="L387" s="264">
        <v>70</v>
      </c>
      <c r="M387" s="264" t="s">
        <v>1024</v>
      </c>
      <c r="N387" s="264">
        <v>1</v>
      </c>
      <c r="O387" s="264" t="s">
        <v>829</v>
      </c>
      <c r="P387" s="264" t="s">
        <v>994</v>
      </c>
      <c r="Q387" s="264" t="s">
        <v>1009</v>
      </c>
      <c r="R387" s="264" t="s">
        <v>1010</v>
      </c>
      <c r="S387" s="264" t="s">
        <v>996</v>
      </c>
      <c r="T387" s="264" t="s">
        <v>997</v>
      </c>
      <c r="U387" s="264" t="s">
        <v>995</v>
      </c>
      <c r="V387" s="264" t="s">
        <v>995</v>
      </c>
      <c r="W387" s="264" t="s">
        <v>995</v>
      </c>
      <c r="X387" s="264" t="s">
        <v>828</v>
      </c>
      <c r="Y387" s="264" t="s">
        <v>998</v>
      </c>
      <c r="Z387" s="264">
        <v>31</v>
      </c>
      <c r="AA387" s="264" t="s">
        <v>999</v>
      </c>
      <c r="AB387" s="264">
        <v>31</v>
      </c>
      <c r="AC387" s="264" t="s">
        <v>999</v>
      </c>
      <c r="AD387" s="264" t="s">
        <v>1000</v>
      </c>
      <c r="AE387" s="264" t="s">
        <v>1000</v>
      </c>
      <c r="AF387" s="264" t="s">
        <v>1000</v>
      </c>
      <c r="AG387" s="264" t="s">
        <v>1000</v>
      </c>
      <c r="AH387" s="264" t="s">
        <v>1002</v>
      </c>
      <c r="AI387" s="264" t="s">
        <v>1002</v>
      </c>
      <c r="AJ387" s="264" t="s">
        <v>995</v>
      </c>
      <c r="AK387" s="264" t="s">
        <v>995</v>
      </c>
      <c r="AL387" s="264" t="s">
        <v>995</v>
      </c>
    </row>
    <row r="388" spans="1:38">
      <c r="A388" s="264">
        <v>1370</v>
      </c>
      <c r="B388" s="264" t="s">
        <v>472</v>
      </c>
      <c r="C388" s="264" t="s">
        <v>1481</v>
      </c>
      <c r="D388" s="264" t="s">
        <v>1004</v>
      </c>
      <c r="E388" s="264">
        <v>67011</v>
      </c>
      <c r="F388" s="264" t="s">
        <v>466</v>
      </c>
      <c r="G388" s="389">
        <v>27764</v>
      </c>
      <c r="H388" s="264">
        <v>48</v>
      </c>
      <c r="I388" s="389">
        <v>40564</v>
      </c>
      <c r="K388" s="390">
        <v>42278</v>
      </c>
      <c r="L388" s="264">
        <v>20</v>
      </c>
      <c r="M388" s="264" t="s">
        <v>1015</v>
      </c>
      <c r="N388" s="264">
        <v>1</v>
      </c>
      <c r="O388" s="264" t="s">
        <v>829</v>
      </c>
      <c r="P388" s="264" t="s">
        <v>994</v>
      </c>
      <c r="Q388" s="264" t="s">
        <v>1009</v>
      </c>
      <c r="R388" s="264" t="s">
        <v>1010</v>
      </c>
      <c r="S388" s="264" t="s">
        <v>996</v>
      </c>
      <c r="T388" s="264" t="s">
        <v>997</v>
      </c>
      <c r="U388" s="264" t="s">
        <v>995</v>
      </c>
      <c r="V388" s="264" t="s">
        <v>995</v>
      </c>
      <c r="W388" s="264" t="s">
        <v>995</v>
      </c>
      <c r="X388" s="264" t="s">
        <v>828</v>
      </c>
      <c r="Y388" s="264" t="s">
        <v>998</v>
      </c>
      <c r="Z388" s="264">
        <v>31</v>
      </c>
      <c r="AA388" s="264" t="s">
        <v>999</v>
      </c>
      <c r="AB388" s="264">
        <v>31</v>
      </c>
      <c r="AC388" s="264" t="s">
        <v>999</v>
      </c>
      <c r="AD388" s="264" t="s">
        <v>1000</v>
      </c>
      <c r="AE388" s="264" t="s">
        <v>1000</v>
      </c>
      <c r="AF388" s="264" t="s">
        <v>1000</v>
      </c>
      <c r="AG388" s="264" t="s">
        <v>1000</v>
      </c>
      <c r="AH388" s="264" t="s">
        <v>1002</v>
      </c>
      <c r="AI388" s="264" t="s">
        <v>1002</v>
      </c>
      <c r="AJ388" s="264" t="s">
        <v>995</v>
      </c>
      <c r="AK388" s="264" t="s">
        <v>995</v>
      </c>
      <c r="AL388" s="264" t="s">
        <v>995</v>
      </c>
    </row>
    <row r="389" spans="1:38">
      <c r="A389" s="264">
        <v>2687</v>
      </c>
      <c r="B389" s="264" t="s">
        <v>421</v>
      </c>
      <c r="C389" s="264" t="s">
        <v>1482</v>
      </c>
      <c r="D389" s="264" t="s">
        <v>1004</v>
      </c>
      <c r="E389" s="264">
        <v>67011</v>
      </c>
      <c r="F389" s="264" t="s">
        <v>466</v>
      </c>
      <c r="G389" s="389">
        <v>23982</v>
      </c>
      <c r="H389" s="264">
        <v>58</v>
      </c>
      <c r="I389" s="389">
        <v>30767</v>
      </c>
      <c r="K389" s="390">
        <v>42278</v>
      </c>
      <c r="L389" s="264">
        <v>20</v>
      </c>
      <c r="M389" s="264" t="s">
        <v>1015</v>
      </c>
      <c r="N389" s="264">
        <v>1</v>
      </c>
      <c r="O389" s="264" t="s">
        <v>829</v>
      </c>
      <c r="P389" s="264" t="s">
        <v>994</v>
      </c>
      <c r="Q389" s="264" t="s">
        <v>1009</v>
      </c>
      <c r="R389" s="264" t="s">
        <v>1010</v>
      </c>
      <c r="S389" s="264" t="s">
        <v>996</v>
      </c>
      <c r="T389" s="264" t="s">
        <v>997</v>
      </c>
      <c r="U389" s="264" t="s">
        <v>995</v>
      </c>
      <c r="V389" s="264" t="s">
        <v>995</v>
      </c>
      <c r="W389" s="264" t="s">
        <v>995</v>
      </c>
      <c r="X389" s="264" t="s">
        <v>828</v>
      </c>
      <c r="Y389" s="264" t="s">
        <v>998</v>
      </c>
      <c r="Z389" s="264">
        <v>31</v>
      </c>
      <c r="AA389" s="264" t="s">
        <v>999</v>
      </c>
      <c r="AB389" s="264">
        <v>31</v>
      </c>
      <c r="AC389" s="264" t="s">
        <v>999</v>
      </c>
      <c r="AD389" s="264" t="s">
        <v>1000</v>
      </c>
      <c r="AE389" s="264" t="s">
        <v>1000</v>
      </c>
      <c r="AF389" s="264" t="s">
        <v>1000</v>
      </c>
      <c r="AG389" s="264" t="s">
        <v>1000</v>
      </c>
      <c r="AH389" s="264" t="s">
        <v>1002</v>
      </c>
      <c r="AI389" s="264" t="s">
        <v>1002</v>
      </c>
      <c r="AJ389" s="264" t="s">
        <v>995</v>
      </c>
      <c r="AK389" s="264" t="s">
        <v>995</v>
      </c>
      <c r="AL389" s="264" t="s">
        <v>995</v>
      </c>
    </row>
    <row r="390" spans="1:38">
      <c r="A390" s="264">
        <v>3152</v>
      </c>
      <c r="B390" s="264" t="s">
        <v>415</v>
      </c>
      <c r="C390" s="264" t="s">
        <v>1483</v>
      </c>
      <c r="D390" s="264" t="s">
        <v>1004</v>
      </c>
      <c r="E390" s="264">
        <v>67011</v>
      </c>
      <c r="F390" s="264" t="s">
        <v>466</v>
      </c>
      <c r="G390" s="389">
        <v>28513</v>
      </c>
      <c r="H390" s="264">
        <v>46</v>
      </c>
      <c r="I390" s="389">
        <v>35877</v>
      </c>
      <c r="K390" s="390">
        <v>42278</v>
      </c>
      <c r="L390" s="264">
        <v>20</v>
      </c>
      <c r="M390" s="264" t="s">
        <v>1015</v>
      </c>
      <c r="N390" s="264">
        <v>1</v>
      </c>
      <c r="O390" s="264" t="s">
        <v>829</v>
      </c>
      <c r="P390" s="264" t="s">
        <v>994</v>
      </c>
      <c r="Q390" s="264" t="s">
        <v>1009</v>
      </c>
      <c r="R390" s="264" t="s">
        <v>1010</v>
      </c>
      <c r="S390" s="264" t="s">
        <v>996</v>
      </c>
      <c r="T390" s="264" t="s">
        <v>997</v>
      </c>
      <c r="U390" s="264" t="s">
        <v>995</v>
      </c>
      <c r="V390" s="264" t="s">
        <v>995</v>
      </c>
      <c r="W390" s="264" t="s">
        <v>995</v>
      </c>
      <c r="X390" s="264" t="s">
        <v>828</v>
      </c>
      <c r="Y390" s="264" t="s">
        <v>998</v>
      </c>
      <c r="Z390" s="264">
        <v>31</v>
      </c>
      <c r="AA390" s="264" t="s">
        <v>999</v>
      </c>
      <c r="AB390" s="264">
        <v>31</v>
      </c>
      <c r="AC390" s="264" t="s">
        <v>999</v>
      </c>
      <c r="AD390" s="264" t="s">
        <v>1000</v>
      </c>
      <c r="AE390" s="264" t="s">
        <v>1000</v>
      </c>
      <c r="AF390" s="264" t="s">
        <v>1000</v>
      </c>
      <c r="AG390" s="264" t="s">
        <v>1000</v>
      </c>
      <c r="AH390" s="264" t="s">
        <v>1002</v>
      </c>
      <c r="AI390" s="264" t="s">
        <v>1002</v>
      </c>
      <c r="AJ390" s="264" t="s">
        <v>995</v>
      </c>
      <c r="AK390" s="264" t="s">
        <v>995</v>
      </c>
      <c r="AL390" s="264" t="s">
        <v>995</v>
      </c>
    </row>
    <row r="391" spans="1:38">
      <c r="A391" s="264">
        <v>3282</v>
      </c>
      <c r="B391" s="264" t="s">
        <v>474</v>
      </c>
      <c r="C391" s="264" t="s">
        <v>1484</v>
      </c>
      <c r="D391" s="264" t="s">
        <v>1004</v>
      </c>
      <c r="E391" s="264">
        <v>67011</v>
      </c>
      <c r="F391" s="264" t="s">
        <v>466</v>
      </c>
      <c r="G391" s="389">
        <v>31597</v>
      </c>
      <c r="H391" s="264">
        <v>37</v>
      </c>
      <c r="I391" s="389">
        <v>39531</v>
      </c>
      <c r="K391" s="390">
        <v>42278</v>
      </c>
      <c r="L391" s="264">
        <v>20</v>
      </c>
      <c r="M391" s="264" t="s">
        <v>1015</v>
      </c>
      <c r="N391" s="264">
        <v>1</v>
      </c>
      <c r="O391" s="264" t="s">
        <v>829</v>
      </c>
      <c r="P391" s="264" t="s">
        <v>994</v>
      </c>
      <c r="Q391" s="264" t="s">
        <v>1009</v>
      </c>
      <c r="R391" s="264" t="s">
        <v>1010</v>
      </c>
      <c r="S391" s="264" t="s">
        <v>996</v>
      </c>
      <c r="T391" s="264" t="s">
        <v>997</v>
      </c>
      <c r="U391" s="264" t="s">
        <v>995</v>
      </c>
      <c r="V391" s="264" t="s">
        <v>995</v>
      </c>
      <c r="W391" s="264" t="s">
        <v>995</v>
      </c>
      <c r="X391" s="264" t="s">
        <v>828</v>
      </c>
      <c r="Y391" s="264" t="s">
        <v>998</v>
      </c>
      <c r="Z391" s="264">
        <v>31</v>
      </c>
      <c r="AA391" s="264" t="s">
        <v>999</v>
      </c>
      <c r="AB391" s="264">
        <v>31</v>
      </c>
      <c r="AC391" s="264" t="s">
        <v>999</v>
      </c>
      <c r="AD391" s="264" t="s">
        <v>1000</v>
      </c>
      <c r="AE391" s="264" t="s">
        <v>1000</v>
      </c>
      <c r="AF391" s="264" t="s">
        <v>1000</v>
      </c>
      <c r="AG391" s="264" t="s">
        <v>1000</v>
      </c>
      <c r="AH391" s="264" t="s">
        <v>1002</v>
      </c>
      <c r="AI391" s="264" t="s">
        <v>1002</v>
      </c>
      <c r="AJ391" s="264" t="s">
        <v>995</v>
      </c>
      <c r="AK391" s="264" t="s">
        <v>995</v>
      </c>
      <c r="AL391" s="264" t="s">
        <v>995</v>
      </c>
    </row>
    <row r="392" spans="1:38">
      <c r="A392" s="264">
        <v>3426</v>
      </c>
      <c r="B392" s="264" t="s">
        <v>428</v>
      </c>
      <c r="C392" s="264" t="s">
        <v>1485</v>
      </c>
      <c r="D392" s="264" t="s">
        <v>1004</v>
      </c>
      <c r="E392" s="264">
        <v>67011</v>
      </c>
      <c r="F392" s="264" t="s">
        <v>466</v>
      </c>
      <c r="G392" s="389">
        <v>35140</v>
      </c>
      <c r="H392" s="264">
        <v>27</v>
      </c>
      <c r="I392" s="389">
        <v>41719</v>
      </c>
      <c r="K392" s="390">
        <v>42278</v>
      </c>
      <c r="L392" s="264">
        <v>20</v>
      </c>
      <c r="M392" s="264" t="s">
        <v>1015</v>
      </c>
      <c r="N392" s="264">
        <v>1</v>
      </c>
      <c r="O392" s="264" t="s">
        <v>829</v>
      </c>
      <c r="P392" s="264" t="s">
        <v>994</v>
      </c>
      <c r="Q392" s="264" t="s">
        <v>1009</v>
      </c>
      <c r="R392" s="264" t="s">
        <v>1010</v>
      </c>
      <c r="S392" s="264" t="s">
        <v>996</v>
      </c>
      <c r="T392" s="264" t="s">
        <v>997</v>
      </c>
      <c r="U392" s="264" t="s">
        <v>995</v>
      </c>
      <c r="V392" s="264" t="s">
        <v>995</v>
      </c>
      <c r="W392" s="264" t="s">
        <v>995</v>
      </c>
      <c r="X392" s="264" t="s">
        <v>828</v>
      </c>
      <c r="Y392" s="264" t="s">
        <v>998</v>
      </c>
      <c r="Z392" s="264">
        <v>31</v>
      </c>
      <c r="AA392" s="264" t="s">
        <v>999</v>
      </c>
      <c r="AB392" s="264">
        <v>31</v>
      </c>
      <c r="AC392" s="264" t="s">
        <v>999</v>
      </c>
      <c r="AD392" s="264" t="s">
        <v>1000</v>
      </c>
      <c r="AE392" s="264" t="s">
        <v>1000</v>
      </c>
      <c r="AF392" s="264" t="s">
        <v>1000</v>
      </c>
      <c r="AG392" s="264" t="s">
        <v>1000</v>
      </c>
      <c r="AH392" s="264" t="s">
        <v>1002</v>
      </c>
      <c r="AI392" s="264" t="s">
        <v>1002</v>
      </c>
      <c r="AJ392" s="264" t="s">
        <v>995</v>
      </c>
      <c r="AK392" s="264" t="s">
        <v>995</v>
      </c>
      <c r="AL392" s="264" t="s">
        <v>995</v>
      </c>
    </row>
    <row r="393" spans="1:38">
      <c r="A393" s="264">
        <v>3876</v>
      </c>
      <c r="B393" s="264" t="s">
        <v>469</v>
      </c>
      <c r="C393" s="264" t="s">
        <v>1486</v>
      </c>
      <c r="D393" s="264" t="s">
        <v>1004</v>
      </c>
      <c r="E393" s="264">
        <v>67011</v>
      </c>
      <c r="F393" s="264" t="s">
        <v>466</v>
      </c>
      <c r="G393" s="389">
        <v>24601</v>
      </c>
      <c r="H393" s="264">
        <v>56</v>
      </c>
      <c r="I393" s="389">
        <v>36637</v>
      </c>
      <c r="K393" s="390">
        <v>42278</v>
      </c>
      <c r="L393" s="264">
        <v>20</v>
      </c>
      <c r="M393" s="264" t="s">
        <v>1015</v>
      </c>
      <c r="N393" s="264">
        <v>1</v>
      </c>
      <c r="O393" s="264" t="s">
        <v>829</v>
      </c>
      <c r="P393" s="264" t="s">
        <v>994</v>
      </c>
      <c r="Q393" s="264" t="s">
        <v>1009</v>
      </c>
      <c r="R393" s="264" t="s">
        <v>1010</v>
      </c>
      <c r="S393" s="264" t="s">
        <v>996</v>
      </c>
      <c r="T393" s="264" t="s">
        <v>997</v>
      </c>
      <c r="U393" s="264" t="s">
        <v>995</v>
      </c>
      <c r="V393" s="264" t="s">
        <v>995</v>
      </c>
      <c r="W393" s="264" t="s">
        <v>995</v>
      </c>
      <c r="X393" s="264" t="s">
        <v>828</v>
      </c>
      <c r="Y393" s="264" t="s">
        <v>998</v>
      </c>
      <c r="Z393" s="264">
        <v>31</v>
      </c>
      <c r="AA393" s="264" t="s">
        <v>999</v>
      </c>
      <c r="AB393" s="264">
        <v>31</v>
      </c>
      <c r="AC393" s="264" t="s">
        <v>999</v>
      </c>
      <c r="AD393" s="264" t="s">
        <v>1000</v>
      </c>
      <c r="AE393" s="264" t="s">
        <v>1000</v>
      </c>
      <c r="AF393" s="264" t="s">
        <v>1000</v>
      </c>
      <c r="AG393" s="264" t="s">
        <v>1000</v>
      </c>
      <c r="AH393" s="264" t="s">
        <v>1002</v>
      </c>
      <c r="AI393" s="264" t="s">
        <v>1002</v>
      </c>
      <c r="AJ393" s="264" t="s">
        <v>995</v>
      </c>
      <c r="AK393" s="264" t="s">
        <v>995</v>
      </c>
      <c r="AL393" s="264" t="s">
        <v>995</v>
      </c>
    </row>
    <row r="394" spans="1:38">
      <c r="A394" s="264">
        <v>3969</v>
      </c>
      <c r="B394" s="264" t="s">
        <v>473</v>
      </c>
      <c r="C394" s="264" t="s">
        <v>1487</v>
      </c>
      <c r="D394" s="264" t="s">
        <v>1004</v>
      </c>
      <c r="E394" s="264">
        <v>67011</v>
      </c>
      <c r="F394" s="264" t="s">
        <v>466</v>
      </c>
      <c r="G394" s="389">
        <v>30557</v>
      </c>
      <c r="H394" s="264">
        <v>40</v>
      </c>
      <c r="I394" s="389">
        <v>39328</v>
      </c>
      <c r="K394" s="390">
        <v>42278</v>
      </c>
      <c r="L394" s="264">
        <v>20</v>
      </c>
      <c r="M394" s="264" t="s">
        <v>1015</v>
      </c>
      <c r="N394" s="264">
        <v>1</v>
      </c>
      <c r="O394" s="264" t="s">
        <v>829</v>
      </c>
      <c r="P394" s="264" t="s">
        <v>994</v>
      </c>
      <c r="Q394" s="264" t="s">
        <v>1009</v>
      </c>
      <c r="R394" s="264" t="s">
        <v>1010</v>
      </c>
      <c r="S394" s="264" t="s">
        <v>996</v>
      </c>
      <c r="T394" s="264" t="s">
        <v>997</v>
      </c>
      <c r="U394" s="264" t="s">
        <v>995</v>
      </c>
      <c r="V394" s="264" t="s">
        <v>995</v>
      </c>
      <c r="W394" s="264" t="s">
        <v>995</v>
      </c>
      <c r="X394" s="264" t="s">
        <v>828</v>
      </c>
      <c r="Y394" s="264" t="s">
        <v>998</v>
      </c>
      <c r="Z394" s="264">
        <v>31</v>
      </c>
      <c r="AA394" s="264" t="s">
        <v>999</v>
      </c>
      <c r="AB394" s="264">
        <v>31</v>
      </c>
      <c r="AC394" s="264" t="s">
        <v>999</v>
      </c>
      <c r="AD394" s="264" t="s">
        <v>1000</v>
      </c>
      <c r="AE394" s="264" t="s">
        <v>1000</v>
      </c>
      <c r="AF394" s="264" t="s">
        <v>1000</v>
      </c>
      <c r="AG394" s="264" t="s">
        <v>1000</v>
      </c>
      <c r="AH394" s="264" t="s">
        <v>1002</v>
      </c>
      <c r="AI394" s="264" t="s">
        <v>1002</v>
      </c>
      <c r="AJ394" s="264" t="s">
        <v>995</v>
      </c>
      <c r="AK394" s="264" t="s">
        <v>995</v>
      </c>
      <c r="AL394" s="264" t="s">
        <v>995</v>
      </c>
    </row>
    <row r="395" spans="1:38">
      <c r="A395" s="264">
        <v>5024</v>
      </c>
      <c r="B395" s="264" t="s">
        <v>468</v>
      </c>
      <c r="C395" s="264" t="s">
        <v>1488</v>
      </c>
      <c r="D395" s="264" t="s">
        <v>1004</v>
      </c>
      <c r="E395" s="264">
        <v>67011</v>
      </c>
      <c r="F395" s="264" t="s">
        <v>466</v>
      </c>
      <c r="G395" s="389">
        <v>23556</v>
      </c>
      <c r="H395" s="264">
        <v>59</v>
      </c>
      <c r="I395" s="389">
        <v>29670</v>
      </c>
      <c r="K395" s="390">
        <v>42278</v>
      </c>
      <c r="L395" s="264">
        <v>20</v>
      </c>
      <c r="M395" s="264" t="s">
        <v>1015</v>
      </c>
      <c r="N395" s="264">
        <v>1</v>
      </c>
      <c r="O395" s="264" t="s">
        <v>829</v>
      </c>
      <c r="P395" s="264" t="s">
        <v>994</v>
      </c>
      <c r="Q395" s="264" t="s">
        <v>1009</v>
      </c>
      <c r="R395" s="264" t="s">
        <v>1010</v>
      </c>
      <c r="S395" s="264" t="s">
        <v>996</v>
      </c>
      <c r="T395" s="264" t="s">
        <v>997</v>
      </c>
      <c r="U395" s="264" t="s">
        <v>995</v>
      </c>
      <c r="V395" s="264" t="s">
        <v>995</v>
      </c>
      <c r="W395" s="264" t="s">
        <v>995</v>
      </c>
      <c r="X395" s="264" t="s">
        <v>828</v>
      </c>
      <c r="Y395" s="264" t="s">
        <v>998</v>
      </c>
      <c r="Z395" s="264">
        <v>31</v>
      </c>
      <c r="AA395" s="264" t="s">
        <v>999</v>
      </c>
      <c r="AB395" s="264">
        <v>31</v>
      </c>
      <c r="AC395" s="264" t="s">
        <v>999</v>
      </c>
      <c r="AD395" s="264" t="s">
        <v>1000</v>
      </c>
      <c r="AE395" s="264" t="s">
        <v>1000</v>
      </c>
      <c r="AF395" s="264" t="s">
        <v>1000</v>
      </c>
      <c r="AG395" s="264" t="s">
        <v>1000</v>
      </c>
      <c r="AH395" s="264" t="s">
        <v>1002</v>
      </c>
      <c r="AI395" s="264" t="s">
        <v>1002</v>
      </c>
      <c r="AJ395" s="264" t="s">
        <v>995</v>
      </c>
      <c r="AK395" s="264" t="s">
        <v>995</v>
      </c>
      <c r="AL395" s="264" t="s">
        <v>995</v>
      </c>
    </row>
    <row r="396" spans="1:38">
      <c r="A396" s="264">
        <v>5065</v>
      </c>
      <c r="B396" s="264" t="s">
        <v>465</v>
      </c>
      <c r="C396" s="264" t="s">
        <v>1489</v>
      </c>
      <c r="D396" s="264" t="s">
        <v>1004</v>
      </c>
      <c r="E396" s="264">
        <v>67011</v>
      </c>
      <c r="F396" s="264" t="s">
        <v>466</v>
      </c>
      <c r="G396" s="389">
        <v>24295</v>
      </c>
      <c r="H396" s="264">
        <v>57</v>
      </c>
      <c r="I396" s="389">
        <v>30035</v>
      </c>
      <c r="K396" s="390">
        <v>42278</v>
      </c>
      <c r="L396" s="264">
        <v>20</v>
      </c>
      <c r="M396" s="264" t="s">
        <v>1015</v>
      </c>
      <c r="N396" s="264">
        <v>1</v>
      </c>
      <c r="O396" s="264" t="s">
        <v>829</v>
      </c>
      <c r="P396" s="264" t="s">
        <v>994</v>
      </c>
      <c r="Q396" s="264" t="s">
        <v>1009</v>
      </c>
      <c r="R396" s="264" t="s">
        <v>1010</v>
      </c>
      <c r="S396" s="264" t="s">
        <v>996</v>
      </c>
      <c r="T396" s="264" t="s">
        <v>997</v>
      </c>
      <c r="U396" s="264" t="s">
        <v>995</v>
      </c>
      <c r="V396" s="264" t="s">
        <v>995</v>
      </c>
      <c r="W396" s="264" t="s">
        <v>995</v>
      </c>
      <c r="X396" s="264" t="s">
        <v>828</v>
      </c>
      <c r="Y396" s="264" t="s">
        <v>998</v>
      </c>
      <c r="Z396" s="264">
        <v>31</v>
      </c>
      <c r="AA396" s="264" t="s">
        <v>999</v>
      </c>
      <c r="AB396" s="264">
        <v>31</v>
      </c>
      <c r="AC396" s="264" t="s">
        <v>999</v>
      </c>
      <c r="AD396" s="264" t="s">
        <v>1000</v>
      </c>
      <c r="AE396" s="264" t="s">
        <v>1000</v>
      </c>
      <c r="AF396" s="264" t="s">
        <v>1000</v>
      </c>
      <c r="AG396" s="264" t="s">
        <v>1000</v>
      </c>
      <c r="AH396" s="264" t="s">
        <v>1002</v>
      </c>
      <c r="AI396" s="264" t="s">
        <v>1002</v>
      </c>
      <c r="AJ396" s="264" t="s">
        <v>995</v>
      </c>
      <c r="AK396" s="264" t="s">
        <v>995</v>
      </c>
      <c r="AL396" s="264" t="s">
        <v>995</v>
      </c>
    </row>
    <row r="397" spans="1:38">
      <c r="A397" s="264">
        <v>5080</v>
      </c>
      <c r="B397" s="264" t="s">
        <v>467</v>
      </c>
      <c r="C397" s="264" t="s">
        <v>1490</v>
      </c>
      <c r="D397" s="264" t="s">
        <v>1004</v>
      </c>
      <c r="E397" s="264">
        <v>67011</v>
      </c>
      <c r="F397" s="264" t="s">
        <v>466</v>
      </c>
      <c r="G397" s="389">
        <v>24395</v>
      </c>
      <c r="H397" s="264">
        <v>57</v>
      </c>
      <c r="I397" s="389">
        <v>30400</v>
      </c>
      <c r="K397" s="390">
        <v>42278</v>
      </c>
      <c r="L397" s="264">
        <v>20</v>
      </c>
      <c r="M397" s="264" t="s">
        <v>1015</v>
      </c>
      <c r="N397" s="264">
        <v>1</v>
      </c>
      <c r="O397" s="264" t="s">
        <v>829</v>
      </c>
      <c r="P397" s="264" t="s">
        <v>994</v>
      </c>
      <c r="Q397" s="264" t="s">
        <v>1009</v>
      </c>
      <c r="R397" s="264" t="s">
        <v>1010</v>
      </c>
      <c r="S397" s="264" t="s">
        <v>996</v>
      </c>
      <c r="T397" s="264" t="s">
        <v>997</v>
      </c>
      <c r="U397" s="264" t="s">
        <v>995</v>
      </c>
      <c r="V397" s="264" t="s">
        <v>995</v>
      </c>
      <c r="W397" s="264" t="s">
        <v>995</v>
      </c>
      <c r="X397" s="264" t="s">
        <v>828</v>
      </c>
      <c r="Y397" s="264" t="s">
        <v>998</v>
      </c>
      <c r="Z397" s="264">
        <v>31</v>
      </c>
      <c r="AA397" s="264" t="s">
        <v>999</v>
      </c>
      <c r="AB397" s="264">
        <v>31</v>
      </c>
      <c r="AC397" s="264" t="s">
        <v>999</v>
      </c>
      <c r="AD397" s="264" t="s">
        <v>1000</v>
      </c>
      <c r="AE397" s="264" t="s">
        <v>1000</v>
      </c>
      <c r="AF397" s="264" t="s">
        <v>1000</v>
      </c>
      <c r="AG397" s="264" t="s">
        <v>1000</v>
      </c>
      <c r="AH397" s="264" t="s">
        <v>1002</v>
      </c>
      <c r="AI397" s="264" t="s">
        <v>1002</v>
      </c>
      <c r="AJ397" s="264" t="s">
        <v>995</v>
      </c>
      <c r="AK397" s="264" t="s">
        <v>995</v>
      </c>
      <c r="AL397" s="264" t="s">
        <v>995</v>
      </c>
    </row>
    <row r="398" spans="1:38">
      <c r="A398" s="264">
        <v>5256</v>
      </c>
      <c r="B398" s="264" t="s">
        <v>471</v>
      </c>
      <c r="C398" s="264" t="s">
        <v>1491</v>
      </c>
      <c r="D398" s="264" t="s">
        <v>1004</v>
      </c>
      <c r="E398" s="264">
        <v>67011</v>
      </c>
      <c r="F398" s="264" t="s">
        <v>466</v>
      </c>
      <c r="G398" s="389">
        <v>28646</v>
      </c>
      <c r="H398" s="264">
        <v>45</v>
      </c>
      <c r="I398" s="389">
        <v>34423</v>
      </c>
      <c r="K398" s="390">
        <v>42278</v>
      </c>
      <c r="L398" s="264">
        <v>20</v>
      </c>
      <c r="M398" s="264" t="s">
        <v>1015</v>
      </c>
      <c r="N398" s="264">
        <v>1</v>
      </c>
      <c r="O398" s="264" t="s">
        <v>829</v>
      </c>
      <c r="P398" s="264" t="s">
        <v>994</v>
      </c>
      <c r="Q398" s="264" t="s">
        <v>1009</v>
      </c>
      <c r="R398" s="264" t="s">
        <v>1010</v>
      </c>
      <c r="S398" s="264" t="s">
        <v>996</v>
      </c>
      <c r="T398" s="264" t="s">
        <v>997</v>
      </c>
      <c r="U398" s="264" t="s">
        <v>995</v>
      </c>
      <c r="V398" s="264" t="s">
        <v>995</v>
      </c>
      <c r="W398" s="264" t="s">
        <v>995</v>
      </c>
      <c r="X398" s="264" t="s">
        <v>828</v>
      </c>
      <c r="Y398" s="264" t="s">
        <v>998</v>
      </c>
      <c r="Z398" s="264">
        <v>31</v>
      </c>
      <c r="AA398" s="264" t="s">
        <v>999</v>
      </c>
      <c r="AB398" s="264">
        <v>31</v>
      </c>
      <c r="AC398" s="264" t="s">
        <v>999</v>
      </c>
      <c r="AD398" s="264" t="s">
        <v>1000</v>
      </c>
      <c r="AE398" s="264" t="s">
        <v>1000</v>
      </c>
      <c r="AF398" s="264" t="s">
        <v>1000</v>
      </c>
      <c r="AG398" s="264" t="s">
        <v>1000</v>
      </c>
      <c r="AH398" s="264" t="s">
        <v>1002</v>
      </c>
      <c r="AI398" s="264" t="s">
        <v>1002</v>
      </c>
      <c r="AJ398" s="264" t="s">
        <v>995</v>
      </c>
      <c r="AK398" s="264" t="s">
        <v>995</v>
      </c>
      <c r="AL398" s="264" t="s">
        <v>995</v>
      </c>
    </row>
    <row r="399" spans="1:38">
      <c r="A399" s="264">
        <v>8194</v>
      </c>
      <c r="B399" s="264" t="s">
        <v>780</v>
      </c>
      <c r="C399" s="264" t="s">
        <v>1492</v>
      </c>
      <c r="D399" s="264" t="s">
        <v>1004</v>
      </c>
      <c r="E399" s="264">
        <v>67021</v>
      </c>
      <c r="F399" s="264" t="s">
        <v>466</v>
      </c>
      <c r="G399" s="389">
        <v>22144</v>
      </c>
      <c r="H399" s="264">
        <v>63</v>
      </c>
      <c r="I399" s="389">
        <v>28207</v>
      </c>
      <c r="K399" s="390">
        <v>44075</v>
      </c>
      <c r="L399" s="264">
        <v>70</v>
      </c>
      <c r="M399" s="264" t="s">
        <v>1024</v>
      </c>
      <c r="N399" s="264">
        <v>1</v>
      </c>
      <c r="O399" s="264" t="s">
        <v>829</v>
      </c>
      <c r="P399" s="264" t="s">
        <v>994</v>
      </c>
      <c r="Q399" s="264" t="s">
        <v>1009</v>
      </c>
      <c r="R399" s="264" t="s">
        <v>1010</v>
      </c>
      <c r="S399" s="264" t="s">
        <v>996</v>
      </c>
      <c r="T399" s="264" t="s">
        <v>997</v>
      </c>
      <c r="U399" s="264" t="s">
        <v>995</v>
      </c>
      <c r="V399" s="264" t="s">
        <v>995</v>
      </c>
      <c r="W399" s="264" t="s">
        <v>995</v>
      </c>
      <c r="X399" s="264" t="s">
        <v>828</v>
      </c>
      <c r="Y399" s="264" t="s">
        <v>998</v>
      </c>
      <c r="Z399" s="264">
        <v>31</v>
      </c>
      <c r="AA399" s="264" t="s">
        <v>999</v>
      </c>
      <c r="AB399" s="264">
        <v>31</v>
      </c>
      <c r="AC399" s="264" t="s">
        <v>999</v>
      </c>
      <c r="AD399" s="264" t="s">
        <v>1000</v>
      </c>
      <c r="AE399" s="264" t="s">
        <v>1000</v>
      </c>
      <c r="AF399" s="264" t="s">
        <v>1000</v>
      </c>
      <c r="AG399" s="264" t="s">
        <v>1000</v>
      </c>
      <c r="AH399" s="264" t="s">
        <v>1002</v>
      </c>
      <c r="AI399" s="264" t="s">
        <v>1002</v>
      </c>
      <c r="AJ399" s="264" t="s">
        <v>995</v>
      </c>
      <c r="AK399" s="264" t="s">
        <v>995</v>
      </c>
      <c r="AL399" s="264" t="s">
        <v>995</v>
      </c>
    </row>
    <row r="400" spans="1:38">
      <c r="A400" s="264">
        <v>1389</v>
      </c>
      <c r="B400" s="264" t="s">
        <v>437</v>
      </c>
      <c r="C400" s="264" t="s">
        <v>1441</v>
      </c>
      <c r="D400" s="264" t="s">
        <v>1004</v>
      </c>
      <c r="E400" s="264">
        <v>65011</v>
      </c>
      <c r="F400" s="264" t="s">
        <v>433</v>
      </c>
      <c r="G400" s="389">
        <v>34357</v>
      </c>
      <c r="H400" s="264">
        <v>30</v>
      </c>
      <c r="I400" s="389">
        <v>41913</v>
      </c>
      <c r="K400" s="390">
        <v>42278</v>
      </c>
      <c r="L400" s="264">
        <v>20</v>
      </c>
      <c r="M400" s="264" t="s">
        <v>1015</v>
      </c>
      <c r="N400" s="264">
        <v>1</v>
      </c>
      <c r="O400" s="264" t="s">
        <v>829</v>
      </c>
      <c r="P400" s="264" t="s">
        <v>994</v>
      </c>
      <c r="Q400" s="264" t="s">
        <v>1009</v>
      </c>
      <c r="R400" s="264" t="s">
        <v>1010</v>
      </c>
      <c r="S400" s="264" t="s">
        <v>996</v>
      </c>
      <c r="T400" s="264" t="s">
        <v>997</v>
      </c>
      <c r="U400" s="264" t="s">
        <v>995</v>
      </c>
      <c r="V400" s="264" t="s">
        <v>995</v>
      </c>
      <c r="W400" s="264" t="s">
        <v>995</v>
      </c>
      <c r="X400" s="264" t="s">
        <v>828</v>
      </c>
      <c r="Y400" s="264" t="s">
        <v>998</v>
      </c>
      <c r="Z400" s="264">
        <v>31</v>
      </c>
      <c r="AA400" s="264" t="s">
        <v>999</v>
      </c>
      <c r="AB400" s="264">
        <v>31</v>
      </c>
      <c r="AC400" s="264" t="s">
        <v>999</v>
      </c>
      <c r="AD400" s="264" t="s">
        <v>1000</v>
      </c>
      <c r="AE400" s="264" t="s">
        <v>1000</v>
      </c>
      <c r="AF400" s="264" t="s">
        <v>1000</v>
      </c>
      <c r="AG400" s="264" t="s">
        <v>1000</v>
      </c>
      <c r="AH400" s="264" t="s">
        <v>1002</v>
      </c>
      <c r="AI400" s="264" t="s">
        <v>1002</v>
      </c>
      <c r="AJ400" s="264" t="s">
        <v>995</v>
      </c>
      <c r="AK400" s="264" t="s">
        <v>995</v>
      </c>
      <c r="AL400" s="264" t="s">
        <v>995</v>
      </c>
    </row>
    <row r="401" spans="1:38">
      <c r="A401" s="264">
        <v>1392</v>
      </c>
      <c r="B401" s="264" t="s">
        <v>438</v>
      </c>
      <c r="C401" s="264" t="s">
        <v>1442</v>
      </c>
      <c r="D401" s="264" t="s">
        <v>1004</v>
      </c>
      <c r="E401" s="264">
        <v>65011</v>
      </c>
      <c r="F401" s="264" t="s">
        <v>433</v>
      </c>
      <c r="G401" s="389">
        <v>34964</v>
      </c>
      <c r="H401" s="264">
        <v>28</v>
      </c>
      <c r="I401" s="389">
        <v>41974</v>
      </c>
      <c r="K401" s="390">
        <v>42278</v>
      </c>
      <c r="L401" s="264">
        <v>20</v>
      </c>
      <c r="M401" s="264" t="s">
        <v>1015</v>
      </c>
      <c r="N401" s="264">
        <v>1</v>
      </c>
      <c r="O401" s="264" t="s">
        <v>829</v>
      </c>
      <c r="P401" s="264" t="s">
        <v>994</v>
      </c>
      <c r="Q401" s="264" t="s">
        <v>1009</v>
      </c>
      <c r="R401" s="264" t="s">
        <v>1010</v>
      </c>
      <c r="S401" s="264" t="s">
        <v>996</v>
      </c>
      <c r="T401" s="264" t="s">
        <v>997</v>
      </c>
      <c r="U401" s="264" t="s">
        <v>995</v>
      </c>
      <c r="V401" s="264" t="s">
        <v>995</v>
      </c>
      <c r="W401" s="264" t="s">
        <v>995</v>
      </c>
      <c r="X401" s="264" t="s">
        <v>828</v>
      </c>
      <c r="Y401" s="264" t="s">
        <v>998</v>
      </c>
      <c r="Z401" s="264">
        <v>31</v>
      </c>
      <c r="AA401" s="264" t="s">
        <v>999</v>
      </c>
      <c r="AB401" s="264">
        <v>31</v>
      </c>
      <c r="AC401" s="264" t="s">
        <v>999</v>
      </c>
      <c r="AD401" s="264" t="s">
        <v>1000</v>
      </c>
      <c r="AE401" s="264" t="s">
        <v>1000</v>
      </c>
      <c r="AF401" s="264" t="s">
        <v>1000</v>
      </c>
      <c r="AG401" s="264" t="s">
        <v>1000</v>
      </c>
      <c r="AH401" s="264" t="s">
        <v>1002</v>
      </c>
      <c r="AI401" s="264" t="s">
        <v>1002</v>
      </c>
      <c r="AJ401" s="264" t="s">
        <v>995</v>
      </c>
      <c r="AK401" s="264" t="s">
        <v>995</v>
      </c>
      <c r="AL401" s="264" t="s">
        <v>995</v>
      </c>
    </row>
    <row r="402" spans="1:38">
      <c r="A402" s="264">
        <v>1451</v>
      </c>
      <c r="B402" s="264" t="s">
        <v>1443</v>
      </c>
      <c r="C402" s="264" t="s">
        <v>1444</v>
      </c>
      <c r="D402" s="264" t="s">
        <v>1004</v>
      </c>
      <c r="E402" s="264">
        <v>65011</v>
      </c>
      <c r="F402" s="264" t="s">
        <v>433</v>
      </c>
      <c r="G402" s="389">
        <v>26742</v>
      </c>
      <c r="H402" s="264">
        <v>50</v>
      </c>
      <c r="I402" s="389">
        <v>45170</v>
      </c>
      <c r="K402" s="390">
        <v>44896</v>
      </c>
      <c r="L402" s="264">
        <v>20</v>
      </c>
      <c r="M402" s="264" t="s">
        <v>1015</v>
      </c>
      <c r="N402" s="264">
        <v>1</v>
      </c>
      <c r="O402" s="264" t="s">
        <v>829</v>
      </c>
      <c r="P402" s="264" t="s">
        <v>994</v>
      </c>
      <c r="Q402" s="264" t="s">
        <v>1009</v>
      </c>
      <c r="R402" s="264" t="s">
        <v>1010</v>
      </c>
      <c r="S402" s="264" t="s">
        <v>996</v>
      </c>
      <c r="T402" s="264" t="s">
        <v>997</v>
      </c>
      <c r="U402" s="264" t="s">
        <v>995</v>
      </c>
      <c r="V402" s="264" t="s">
        <v>995</v>
      </c>
      <c r="W402" s="264" t="s">
        <v>995</v>
      </c>
      <c r="X402" s="264" t="s">
        <v>828</v>
      </c>
      <c r="Y402" s="264" t="s">
        <v>998</v>
      </c>
      <c r="Z402" s="264">
        <v>31</v>
      </c>
      <c r="AA402" s="264" t="s">
        <v>999</v>
      </c>
      <c r="AB402" s="264">
        <v>31</v>
      </c>
      <c r="AC402" s="264" t="s">
        <v>999</v>
      </c>
      <c r="AD402" s="264" t="s">
        <v>1000</v>
      </c>
      <c r="AE402" s="264" t="s">
        <v>1000</v>
      </c>
      <c r="AF402" s="264" t="s">
        <v>1000</v>
      </c>
      <c r="AG402" s="264" t="s">
        <v>1000</v>
      </c>
      <c r="AH402" s="264" t="s">
        <v>1002</v>
      </c>
      <c r="AI402" s="264" t="s">
        <v>1002</v>
      </c>
      <c r="AJ402" s="264" t="s">
        <v>995</v>
      </c>
      <c r="AK402" s="264" t="s">
        <v>995</v>
      </c>
      <c r="AL402" s="264" t="s">
        <v>995</v>
      </c>
    </row>
    <row r="403" spans="1:38">
      <c r="A403" s="264">
        <v>3041</v>
      </c>
      <c r="B403" s="264" t="s">
        <v>440</v>
      </c>
      <c r="C403" s="264" t="s">
        <v>1445</v>
      </c>
      <c r="D403" s="264" t="s">
        <v>1004</v>
      </c>
      <c r="E403" s="264">
        <v>65011</v>
      </c>
      <c r="F403" s="264" t="s">
        <v>433</v>
      </c>
      <c r="G403" s="389">
        <v>27356</v>
      </c>
      <c r="H403" s="264">
        <v>49</v>
      </c>
      <c r="I403" s="389">
        <v>34780</v>
      </c>
      <c r="K403" s="390">
        <v>42278</v>
      </c>
      <c r="L403" s="264">
        <v>20</v>
      </c>
      <c r="M403" s="264" t="s">
        <v>1015</v>
      </c>
      <c r="N403" s="264">
        <v>1</v>
      </c>
      <c r="O403" s="264" t="s">
        <v>829</v>
      </c>
      <c r="P403" s="264" t="s">
        <v>994</v>
      </c>
      <c r="Q403" s="264" t="s">
        <v>1009</v>
      </c>
      <c r="R403" s="264" t="s">
        <v>1010</v>
      </c>
      <c r="S403" s="264" t="s">
        <v>996</v>
      </c>
      <c r="T403" s="264" t="s">
        <v>997</v>
      </c>
      <c r="U403" s="264" t="s">
        <v>995</v>
      </c>
      <c r="V403" s="264" t="s">
        <v>995</v>
      </c>
      <c r="W403" s="264" t="s">
        <v>995</v>
      </c>
      <c r="X403" s="264" t="s">
        <v>828</v>
      </c>
      <c r="Y403" s="264" t="s">
        <v>998</v>
      </c>
      <c r="Z403" s="264">
        <v>31</v>
      </c>
      <c r="AA403" s="264" t="s">
        <v>999</v>
      </c>
      <c r="AB403" s="264">
        <v>31</v>
      </c>
      <c r="AC403" s="264" t="s">
        <v>999</v>
      </c>
      <c r="AD403" s="264" t="s">
        <v>1000</v>
      </c>
      <c r="AE403" s="264" t="s">
        <v>1000</v>
      </c>
      <c r="AF403" s="264" t="s">
        <v>1000</v>
      </c>
      <c r="AG403" s="264" t="s">
        <v>1000</v>
      </c>
      <c r="AH403" s="264" t="s">
        <v>1002</v>
      </c>
      <c r="AI403" s="264" t="s">
        <v>1002</v>
      </c>
      <c r="AJ403" s="264" t="s">
        <v>995</v>
      </c>
      <c r="AK403" s="264" t="s">
        <v>995</v>
      </c>
      <c r="AL403" s="264" t="s">
        <v>995</v>
      </c>
    </row>
    <row r="404" spans="1:38">
      <c r="A404" s="264">
        <v>3056</v>
      </c>
      <c r="B404" s="264" t="s">
        <v>441</v>
      </c>
      <c r="C404" s="264" t="s">
        <v>1446</v>
      </c>
      <c r="D404" s="264" t="s">
        <v>1004</v>
      </c>
      <c r="E404" s="264">
        <v>65011</v>
      </c>
      <c r="F404" s="264" t="s">
        <v>433</v>
      </c>
      <c r="G404" s="389">
        <v>28078</v>
      </c>
      <c r="H404" s="264">
        <v>47</v>
      </c>
      <c r="I404" s="389">
        <v>34780</v>
      </c>
      <c r="K404" s="390">
        <v>42278</v>
      </c>
      <c r="L404" s="264">
        <v>20</v>
      </c>
      <c r="M404" s="264" t="s">
        <v>1015</v>
      </c>
      <c r="N404" s="264">
        <v>1</v>
      </c>
      <c r="O404" s="264" t="s">
        <v>829</v>
      </c>
      <c r="P404" s="264" t="s">
        <v>994</v>
      </c>
      <c r="Q404" s="264" t="s">
        <v>1009</v>
      </c>
      <c r="R404" s="264" t="s">
        <v>1010</v>
      </c>
      <c r="S404" s="264" t="s">
        <v>996</v>
      </c>
      <c r="T404" s="264" t="s">
        <v>997</v>
      </c>
      <c r="U404" s="264" t="s">
        <v>995</v>
      </c>
      <c r="V404" s="264" t="s">
        <v>995</v>
      </c>
      <c r="W404" s="264" t="s">
        <v>995</v>
      </c>
      <c r="X404" s="264" t="s">
        <v>828</v>
      </c>
      <c r="Y404" s="264" t="s">
        <v>998</v>
      </c>
      <c r="Z404" s="264">
        <v>31</v>
      </c>
      <c r="AA404" s="264" t="s">
        <v>999</v>
      </c>
      <c r="AB404" s="264">
        <v>31</v>
      </c>
      <c r="AC404" s="264" t="s">
        <v>999</v>
      </c>
      <c r="AD404" s="264" t="s">
        <v>1000</v>
      </c>
      <c r="AE404" s="264" t="s">
        <v>1000</v>
      </c>
      <c r="AF404" s="264" t="s">
        <v>1000</v>
      </c>
      <c r="AG404" s="264" t="s">
        <v>1000</v>
      </c>
      <c r="AH404" s="264" t="s">
        <v>1002</v>
      </c>
      <c r="AI404" s="264" t="s">
        <v>1002</v>
      </c>
      <c r="AJ404" s="264" t="s">
        <v>995</v>
      </c>
      <c r="AK404" s="264" t="s">
        <v>995</v>
      </c>
      <c r="AL404" s="264" t="s">
        <v>995</v>
      </c>
    </row>
    <row r="405" spans="1:38">
      <c r="A405" s="264">
        <v>3101</v>
      </c>
      <c r="B405" s="264" t="s">
        <v>434</v>
      </c>
      <c r="C405" s="264" t="s">
        <v>1447</v>
      </c>
      <c r="D405" s="264" t="s">
        <v>1004</v>
      </c>
      <c r="E405" s="264">
        <v>65011</v>
      </c>
      <c r="F405" s="264" t="s">
        <v>433</v>
      </c>
      <c r="G405" s="389">
        <v>27813</v>
      </c>
      <c r="H405" s="264">
        <v>47</v>
      </c>
      <c r="I405" s="389">
        <v>35145</v>
      </c>
      <c r="K405" s="390">
        <v>42278</v>
      </c>
      <c r="L405" s="264">
        <v>20</v>
      </c>
      <c r="M405" s="264" t="s">
        <v>1015</v>
      </c>
      <c r="N405" s="264">
        <v>1</v>
      </c>
      <c r="O405" s="264" t="s">
        <v>829</v>
      </c>
      <c r="P405" s="264" t="s">
        <v>994</v>
      </c>
      <c r="Q405" s="264" t="s">
        <v>1009</v>
      </c>
      <c r="R405" s="264" t="s">
        <v>1010</v>
      </c>
      <c r="S405" s="264" t="s">
        <v>996</v>
      </c>
      <c r="T405" s="264" t="s">
        <v>997</v>
      </c>
      <c r="U405" s="264" t="s">
        <v>995</v>
      </c>
      <c r="V405" s="264" t="s">
        <v>995</v>
      </c>
      <c r="W405" s="264" t="s">
        <v>995</v>
      </c>
      <c r="X405" s="264" t="s">
        <v>828</v>
      </c>
      <c r="Y405" s="264" t="s">
        <v>998</v>
      </c>
      <c r="Z405" s="264">
        <v>31</v>
      </c>
      <c r="AA405" s="264" t="s">
        <v>999</v>
      </c>
      <c r="AB405" s="264">
        <v>31</v>
      </c>
      <c r="AC405" s="264" t="s">
        <v>999</v>
      </c>
      <c r="AD405" s="264" t="s">
        <v>1000</v>
      </c>
      <c r="AE405" s="264" t="s">
        <v>1000</v>
      </c>
      <c r="AF405" s="264" t="s">
        <v>1000</v>
      </c>
      <c r="AG405" s="264" t="s">
        <v>1000</v>
      </c>
      <c r="AH405" s="264" t="s">
        <v>1002</v>
      </c>
      <c r="AI405" s="264" t="s">
        <v>1002</v>
      </c>
      <c r="AJ405" s="264" t="s">
        <v>995</v>
      </c>
      <c r="AK405" s="264" t="s">
        <v>995</v>
      </c>
      <c r="AL405" s="264" t="s">
        <v>995</v>
      </c>
    </row>
    <row r="406" spans="1:38">
      <c r="A406" s="264">
        <v>3450</v>
      </c>
      <c r="B406" s="264" t="s">
        <v>758</v>
      </c>
      <c r="C406" s="264" t="s">
        <v>1448</v>
      </c>
      <c r="D406" s="264" t="s">
        <v>991</v>
      </c>
      <c r="E406" s="264">
        <v>65011</v>
      </c>
      <c r="F406" s="264" t="s">
        <v>433</v>
      </c>
      <c r="G406" s="389">
        <v>35328</v>
      </c>
      <c r="H406" s="264">
        <v>27</v>
      </c>
      <c r="I406" s="389">
        <v>42095</v>
      </c>
      <c r="K406" s="390">
        <v>42278</v>
      </c>
      <c r="L406" s="264">
        <v>20</v>
      </c>
      <c r="M406" s="264" t="s">
        <v>1015</v>
      </c>
      <c r="N406" s="264">
        <v>1</v>
      </c>
      <c r="O406" s="264" t="s">
        <v>829</v>
      </c>
      <c r="P406" s="264" t="s">
        <v>994</v>
      </c>
      <c r="Q406" s="264" t="s">
        <v>1009</v>
      </c>
      <c r="R406" s="264" t="s">
        <v>1010</v>
      </c>
      <c r="S406" s="264" t="s">
        <v>996</v>
      </c>
      <c r="T406" s="264" t="s">
        <v>997</v>
      </c>
      <c r="U406" s="264" t="s">
        <v>995</v>
      </c>
      <c r="V406" s="264" t="s">
        <v>995</v>
      </c>
      <c r="W406" s="264" t="s">
        <v>995</v>
      </c>
      <c r="X406" s="264" t="s">
        <v>828</v>
      </c>
      <c r="Y406" s="264" t="s">
        <v>998</v>
      </c>
      <c r="Z406" s="264">
        <v>31</v>
      </c>
      <c r="AA406" s="264" t="s">
        <v>999</v>
      </c>
      <c r="AB406" s="264">
        <v>31</v>
      </c>
      <c r="AC406" s="264" t="s">
        <v>999</v>
      </c>
      <c r="AD406" s="264" t="s">
        <v>1000</v>
      </c>
      <c r="AE406" s="264" t="s">
        <v>1000</v>
      </c>
      <c r="AF406" s="264" t="s">
        <v>1000</v>
      </c>
      <c r="AG406" s="264" t="s">
        <v>1000</v>
      </c>
      <c r="AH406" s="264" t="s">
        <v>1002</v>
      </c>
      <c r="AI406" s="264" t="s">
        <v>1002</v>
      </c>
      <c r="AJ406" s="264" t="s">
        <v>995</v>
      </c>
      <c r="AK406" s="264" t="s">
        <v>995</v>
      </c>
      <c r="AL406" s="264" t="s">
        <v>995</v>
      </c>
    </row>
    <row r="407" spans="1:38">
      <c r="A407" s="264">
        <v>3521</v>
      </c>
      <c r="B407" s="264" t="s">
        <v>464</v>
      </c>
      <c r="C407" s="264" t="s">
        <v>1449</v>
      </c>
      <c r="D407" s="264" t="s">
        <v>1004</v>
      </c>
      <c r="E407" s="264">
        <v>65011</v>
      </c>
      <c r="F407" s="264" t="s">
        <v>433</v>
      </c>
      <c r="G407" s="389">
        <v>37337</v>
      </c>
      <c r="H407" s="264">
        <v>21</v>
      </c>
      <c r="I407" s="389">
        <v>43922</v>
      </c>
      <c r="K407" s="390">
        <v>43952</v>
      </c>
      <c r="L407" s="264">
        <v>20</v>
      </c>
      <c r="M407" s="264" t="s">
        <v>1015</v>
      </c>
      <c r="N407" s="264">
        <v>1</v>
      </c>
      <c r="O407" s="264" t="s">
        <v>829</v>
      </c>
      <c r="P407" s="264" t="s">
        <v>994</v>
      </c>
      <c r="Q407" s="264" t="s">
        <v>1009</v>
      </c>
      <c r="R407" s="264" t="s">
        <v>1010</v>
      </c>
      <c r="S407" s="264" t="s">
        <v>996</v>
      </c>
      <c r="T407" s="264" t="s">
        <v>997</v>
      </c>
      <c r="U407" s="264" t="s">
        <v>995</v>
      </c>
      <c r="V407" s="264" t="s">
        <v>995</v>
      </c>
      <c r="W407" s="264" t="s">
        <v>995</v>
      </c>
      <c r="X407" s="264" t="s">
        <v>828</v>
      </c>
      <c r="Y407" s="264" t="s">
        <v>998</v>
      </c>
      <c r="Z407" s="264">
        <v>31</v>
      </c>
      <c r="AA407" s="264" t="s">
        <v>999</v>
      </c>
      <c r="AB407" s="264">
        <v>31</v>
      </c>
      <c r="AC407" s="264" t="s">
        <v>999</v>
      </c>
      <c r="AD407" s="264" t="s">
        <v>1000</v>
      </c>
      <c r="AE407" s="264" t="s">
        <v>1000</v>
      </c>
      <c r="AF407" s="264" t="s">
        <v>1000</v>
      </c>
      <c r="AG407" s="264" t="s">
        <v>1000</v>
      </c>
      <c r="AH407" s="264" t="s">
        <v>1002</v>
      </c>
      <c r="AI407" s="264" t="s">
        <v>1002</v>
      </c>
      <c r="AJ407" s="264" t="s">
        <v>995</v>
      </c>
      <c r="AK407" s="264" t="s">
        <v>995</v>
      </c>
      <c r="AL407" s="264" t="s">
        <v>995</v>
      </c>
    </row>
    <row r="408" spans="1:38">
      <c r="A408" s="264">
        <v>3866</v>
      </c>
      <c r="B408" s="264" t="s">
        <v>456</v>
      </c>
      <c r="C408" s="264" t="s">
        <v>1450</v>
      </c>
      <c r="D408" s="264" t="s">
        <v>1004</v>
      </c>
      <c r="E408" s="264">
        <v>65011</v>
      </c>
      <c r="F408" s="264" t="s">
        <v>433</v>
      </c>
      <c r="G408" s="389">
        <v>24000</v>
      </c>
      <c r="H408" s="264">
        <v>58</v>
      </c>
      <c r="I408" s="389">
        <v>35387</v>
      </c>
      <c r="K408" s="390">
        <v>42278</v>
      </c>
      <c r="L408" s="264">
        <v>20</v>
      </c>
      <c r="M408" s="264" t="s">
        <v>1015</v>
      </c>
      <c r="N408" s="264">
        <v>1</v>
      </c>
      <c r="O408" s="264" t="s">
        <v>829</v>
      </c>
      <c r="P408" s="264" t="s">
        <v>994</v>
      </c>
      <c r="Q408" s="264" t="s">
        <v>1009</v>
      </c>
      <c r="R408" s="264" t="s">
        <v>1010</v>
      </c>
      <c r="S408" s="264" t="s">
        <v>996</v>
      </c>
      <c r="T408" s="264" t="s">
        <v>997</v>
      </c>
      <c r="U408" s="264" t="s">
        <v>995</v>
      </c>
      <c r="V408" s="264" t="s">
        <v>995</v>
      </c>
      <c r="W408" s="264" t="s">
        <v>995</v>
      </c>
      <c r="X408" s="264" t="s">
        <v>828</v>
      </c>
      <c r="Y408" s="264" t="s">
        <v>998</v>
      </c>
      <c r="Z408" s="264">
        <v>31</v>
      </c>
      <c r="AA408" s="264" t="s">
        <v>999</v>
      </c>
      <c r="AB408" s="264">
        <v>31</v>
      </c>
      <c r="AC408" s="264" t="s">
        <v>999</v>
      </c>
      <c r="AD408" s="264" t="s">
        <v>1000</v>
      </c>
      <c r="AE408" s="264" t="s">
        <v>1000</v>
      </c>
      <c r="AF408" s="264" t="s">
        <v>1000</v>
      </c>
      <c r="AG408" s="264" t="s">
        <v>1000</v>
      </c>
      <c r="AH408" s="264" t="s">
        <v>1002</v>
      </c>
      <c r="AI408" s="264" t="s">
        <v>1002</v>
      </c>
      <c r="AJ408" s="264" t="s">
        <v>995</v>
      </c>
      <c r="AK408" s="264" t="s">
        <v>995</v>
      </c>
      <c r="AL408" s="264" t="s">
        <v>995</v>
      </c>
    </row>
    <row r="409" spans="1:38">
      <c r="A409" s="264">
        <v>3878</v>
      </c>
      <c r="B409" s="264" t="s">
        <v>436</v>
      </c>
      <c r="C409" s="264" t="s">
        <v>1451</v>
      </c>
      <c r="D409" s="264" t="s">
        <v>1004</v>
      </c>
      <c r="E409" s="264">
        <v>65011</v>
      </c>
      <c r="F409" s="264" t="s">
        <v>433</v>
      </c>
      <c r="G409" s="389">
        <v>26710</v>
      </c>
      <c r="H409" s="264">
        <v>50</v>
      </c>
      <c r="I409" s="389">
        <v>36762</v>
      </c>
      <c r="K409" s="390">
        <v>42278</v>
      </c>
      <c r="L409" s="264">
        <v>20</v>
      </c>
      <c r="M409" s="264" t="s">
        <v>1015</v>
      </c>
      <c r="N409" s="264">
        <v>1</v>
      </c>
      <c r="O409" s="264" t="s">
        <v>829</v>
      </c>
      <c r="P409" s="264" t="s">
        <v>994</v>
      </c>
      <c r="Q409" s="264" t="s">
        <v>1009</v>
      </c>
      <c r="R409" s="264" t="s">
        <v>1010</v>
      </c>
      <c r="S409" s="264" t="s">
        <v>996</v>
      </c>
      <c r="T409" s="264" t="s">
        <v>997</v>
      </c>
      <c r="U409" s="264" t="s">
        <v>995</v>
      </c>
      <c r="V409" s="264" t="s">
        <v>995</v>
      </c>
      <c r="W409" s="264" t="s">
        <v>995</v>
      </c>
      <c r="X409" s="264" t="s">
        <v>828</v>
      </c>
      <c r="Y409" s="264" t="s">
        <v>998</v>
      </c>
      <c r="Z409" s="264">
        <v>31</v>
      </c>
      <c r="AA409" s="264" t="s">
        <v>999</v>
      </c>
      <c r="AB409" s="264">
        <v>31</v>
      </c>
      <c r="AC409" s="264" t="s">
        <v>999</v>
      </c>
      <c r="AD409" s="264" t="s">
        <v>1000</v>
      </c>
      <c r="AE409" s="264" t="s">
        <v>1000</v>
      </c>
      <c r="AF409" s="264" t="s">
        <v>1000</v>
      </c>
      <c r="AG409" s="264" t="s">
        <v>1000</v>
      </c>
      <c r="AH409" s="264" t="s">
        <v>1002</v>
      </c>
      <c r="AI409" s="264" t="s">
        <v>1002</v>
      </c>
      <c r="AJ409" s="264" t="s">
        <v>995</v>
      </c>
      <c r="AK409" s="264" t="s">
        <v>995</v>
      </c>
      <c r="AL409" s="264" t="s">
        <v>995</v>
      </c>
    </row>
    <row r="410" spans="1:38">
      <c r="A410" s="264">
        <v>3963</v>
      </c>
      <c r="B410" s="264" t="s">
        <v>443</v>
      </c>
      <c r="C410" s="264" t="s">
        <v>1452</v>
      </c>
      <c r="D410" s="264" t="s">
        <v>1004</v>
      </c>
      <c r="E410" s="264">
        <v>65011</v>
      </c>
      <c r="F410" s="264" t="s">
        <v>433</v>
      </c>
      <c r="G410" s="389">
        <v>25420</v>
      </c>
      <c r="H410" s="264">
        <v>54</v>
      </c>
      <c r="I410" s="389">
        <v>39265</v>
      </c>
      <c r="K410" s="390">
        <v>42278</v>
      </c>
      <c r="L410" s="264">
        <v>20</v>
      </c>
      <c r="M410" s="264" t="s">
        <v>1015</v>
      </c>
      <c r="N410" s="264">
        <v>1</v>
      </c>
      <c r="O410" s="264" t="s">
        <v>829</v>
      </c>
      <c r="P410" s="264" t="s">
        <v>994</v>
      </c>
      <c r="Q410" s="264" t="s">
        <v>1009</v>
      </c>
      <c r="R410" s="264" t="s">
        <v>1010</v>
      </c>
      <c r="S410" s="264" t="s">
        <v>996</v>
      </c>
      <c r="T410" s="264" t="s">
        <v>997</v>
      </c>
      <c r="U410" s="264" t="s">
        <v>995</v>
      </c>
      <c r="V410" s="264" t="s">
        <v>995</v>
      </c>
      <c r="W410" s="264" t="s">
        <v>995</v>
      </c>
      <c r="X410" s="264" t="s">
        <v>828</v>
      </c>
      <c r="Y410" s="264" t="s">
        <v>998</v>
      </c>
      <c r="Z410" s="264">
        <v>31</v>
      </c>
      <c r="AA410" s="264" t="s">
        <v>999</v>
      </c>
      <c r="AB410" s="264">
        <v>31</v>
      </c>
      <c r="AC410" s="264" t="s">
        <v>999</v>
      </c>
      <c r="AD410" s="264" t="s">
        <v>1000</v>
      </c>
      <c r="AE410" s="264" t="s">
        <v>1000</v>
      </c>
      <c r="AF410" s="264" t="s">
        <v>1000</v>
      </c>
      <c r="AG410" s="264" t="s">
        <v>1000</v>
      </c>
      <c r="AH410" s="264" t="s">
        <v>1002</v>
      </c>
      <c r="AI410" s="264" t="s">
        <v>1002</v>
      </c>
      <c r="AJ410" s="264" t="s">
        <v>995</v>
      </c>
      <c r="AK410" s="264" t="s">
        <v>995</v>
      </c>
      <c r="AL410" s="264" t="s">
        <v>995</v>
      </c>
    </row>
    <row r="411" spans="1:38">
      <c r="A411" s="264">
        <v>3987</v>
      </c>
      <c r="B411" s="264" t="s">
        <v>444</v>
      </c>
      <c r="C411" s="264" t="s">
        <v>1453</v>
      </c>
      <c r="D411" s="264" t="s">
        <v>1004</v>
      </c>
      <c r="E411" s="264">
        <v>65011</v>
      </c>
      <c r="F411" s="264" t="s">
        <v>433</v>
      </c>
      <c r="G411" s="389">
        <v>25566</v>
      </c>
      <c r="H411" s="264">
        <v>54</v>
      </c>
      <c r="I411" s="389">
        <v>39376</v>
      </c>
      <c r="K411" s="390">
        <v>42278</v>
      </c>
      <c r="L411" s="264">
        <v>20</v>
      </c>
      <c r="M411" s="264" t="s">
        <v>1015</v>
      </c>
      <c r="N411" s="264">
        <v>1</v>
      </c>
      <c r="O411" s="264" t="s">
        <v>829</v>
      </c>
      <c r="P411" s="264" t="s">
        <v>994</v>
      </c>
      <c r="Q411" s="264" t="s">
        <v>1009</v>
      </c>
      <c r="R411" s="264" t="s">
        <v>1010</v>
      </c>
      <c r="S411" s="264" t="s">
        <v>996</v>
      </c>
      <c r="T411" s="264" t="s">
        <v>997</v>
      </c>
      <c r="U411" s="264" t="s">
        <v>995</v>
      </c>
      <c r="V411" s="264" t="s">
        <v>995</v>
      </c>
      <c r="W411" s="264" t="s">
        <v>995</v>
      </c>
      <c r="X411" s="264" t="s">
        <v>828</v>
      </c>
      <c r="Y411" s="264" t="s">
        <v>998</v>
      </c>
      <c r="Z411" s="264">
        <v>31</v>
      </c>
      <c r="AA411" s="264" t="s">
        <v>999</v>
      </c>
      <c r="AB411" s="264">
        <v>31</v>
      </c>
      <c r="AC411" s="264" t="s">
        <v>999</v>
      </c>
      <c r="AD411" s="264" t="s">
        <v>1000</v>
      </c>
      <c r="AE411" s="264" t="s">
        <v>1000</v>
      </c>
      <c r="AF411" s="264" t="s">
        <v>1000</v>
      </c>
      <c r="AG411" s="264" t="s">
        <v>1000</v>
      </c>
      <c r="AH411" s="264" t="s">
        <v>1002</v>
      </c>
      <c r="AI411" s="264" t="s">
        <v>1002</v>
      </c>
      <c r="AJ411" s="264" t="s">
        <v>995</v>
      </c>
      <c r="AK411" s="264" t="s">
        <v>995</v>
      </c>
      <c r="AL411" s="264" t="s">
        <v>995</v>
      </c>
    </row>
    <row r="412" spans="1:38">
      <c r="A412" s="264">
        <v>5249</v>
      </c>
      <c r="B412" s="264" t="s">
        <v>435</v>
      </c>
      <c r="C412" s="264" t="s">
        <v>1454</v>
      </c>
      <c r="D412" s="264" t="s">
        <v>1004</v>
      </c>
      <c r="E412" s="264">
        <v>65011</v>
      </c>
      <c r="F412" s="264" t="s">
        <v>433</v>
      </c>
      <c r="G412" s="389">
        <v>27915</v>
      </c>
      <c r="H412" s="264">
        <v>47</v>
      </c>
      <c r="I412" s="389">
        <v>34423</v>
      </c>
      <c r="K412" s="390">
        <v>42278</v>
      </c>
      <c r="L412" s="264">
        <v>20</v>
      </c>
      <c r="M412" s="264" t="s">
        <v>1015</v>
      </c>
      <c r="N412" s="264">
        <v>1</v>
      </c>
      <c r="O412" s="264" t="s">
        <v>829</v>
      </c>
      <c r="P412" s="264" t="s">
        <v>994</v>
      </c>
      <c r="Q412" s="264" t="s">
        <v>1009</v>
      </c>
      <c r="R412" s="264" t="s">
        <v>1010</v>
      </c>
      <c r="S412" s="264" t="s">
        <v>996</v>
      </c>
      <c r="T412" s="264" t="s">
        <v>997</v>
      </c>
      <c r="U412" s="264" t="s">
        <v>995</v>
      </c>
      <c r="V412" s="264" t="s">
        <v>995</v>
      </c>
      <c r="W412" s="264" t="s">
        <v>995</v>
      </c>
      <c r="X412" s="264" t="s">
        <v>828</v>
      </c>
      <c r="Y412" s="264" t="s">
        <v>998</v>
      </c>
      <c r="Z412" s="264">
        <v>31</v>
      </c>
      <c r="AA412" s="264" t="s">
        <v>999</v>
      </c>
      <c r="AB412" s="264">
        <v>31</v>
      </c>
      <c r="AC412" s="264" t="s">
        <v>999</v>
      </c>
      <c r="AD412" s="264" t="s">
        <v>1000</v>
      </c>
      <c r="AE412" s="264" t="s">
        <v>1000</v>
      </c>
      <c r="AF412" s="264" t="s">
        <v>1000</v>
      </c>
      <c r="AG412" s="264" t="s">
        <v>1000</v>
      </c>
      <c r="AH412" s="264" t="s">
        <v>1002</v>
      </c>
      <c r="AI412" s="264" t="s">
        <v>1002</v>
      </c>
      <c r="AJ412" s="264" t="s">
        <v>995</v>
      </c>
      <c r="AK412" s="264" t="s">
        <v>995</v>
      </c>
      <c r="AL412" s="264" t="s">
        <v>995</v>
      </c>
    </row>
    <row r="413" spans="1:38">
      <c r="A413" s="264">
        <v>7923</v>
      </c>
      <c r="B413" s="264" t="s">
        <v>537</v>
      </c>
      <c r="C413" s="264" t="s">
        <v>1456</v>
      </c>
      <c r="D413" s="264" t="s">
        <v>1004</v>
      </c>
      <c r="E413" s="264">
        <v>65021</v>
      </c>
      <c r="F413" s="264" t="s">
        <v>433</v>
      </c>
      <c r="G413" s="389">
        <v>22284</v>
      </c>
      <c r="H413" s="264">
        <v>63</v>
      </c>
      <c r="I413" s="389">
        <v>39114</v>
      </c>
      <c r="K413" s="390">
        <v>42278</v>
      </c>
      <c r="L413" s="264">
        <v>70</v>
      </c>
      <c r="M413" s="264" t="s">
        <v>1024</v>
      </c>
      <c r="N413" s="264">
        <v>1</v>
      </c>
      <c r="O413" s="264" t="s">
        <v>829</v>
      </c>
      <c r="P413" s="264" t="s">
        <v>994</v>
      </c>
      <c r="Q413" s="264" t="s">
        <v>1009</v>
      </c>
      <c r="R413" s="264" t="s">
        <v>1010</v>
      </c>
      <c r="S413" s="264" t="s">
        <v>996</v>
      </c>
      <c r="T413" s="264" t="s">
        <v>997</v>
      </c>
      <c r="U413" s="264" t="s">
        <v>995</v>
      </c>
      <c r="V413" s="264" t="s">
        <v>995</v>
      </c>
      <c r="W413" s="264" t="s">
        <v>995</v>
      </c>
      <c r="X413" s="264" t="s">
        <v>828</v>
      </c>
      <c r="Y413" s="264" t="s">
        <v>998</v>
      </c>
      <c r="Z413" s="264">
        <v>31</v>
      </c>
      <c r="AA413" s="264" t="s">
        <v>999</v>
      </c>
      <c r="AB413" s="264">
        <v>31</v>
      </c>
      <c r="AC413" s="264" t="s">
        <v>999</v>
      </c>
      <c r="AD413" s="264" t="s">
        <v>1000</v>
      </c>
      <c r="AE413" s="264" t="s">
        <v>1000</v>
      </c>
      <c r="AF413" s="264" t="s">
        <v>1000</v>
      </c>
      <c r="AG413" s="264" t="s">
        <v>1000</v>
      </c>
      <c r="AH413" s="264" t="s">
        <v>1002</v>
      </c>
      <c r="AI413" s="264" t="s">
        <v>1002</v>
      </c>
      <c r="AJ413" s="264" t="s">
        <v>995</v>
      </c>
      <c r="AK413" s="264" t="s">
        <v>995</v>
      </c>
      <c r="AL413" s="264" t="s">
        <v>995</v>
      </c>
    </row>
    <row r="414" spans="1:38">
      <c r="A414" s="264">
        <v>8175</v>
      </c>
      <c r="B414" s="264" t="s">
        <v>565</v>
      </c>
      <c r="C414" s="264" t="s">
        <v>1457</v>
      </c>
      <c r="D414" s="264" t="s">
        <v>1004</v>
      </c>
      <c r="E414" s="264">
        <v>65021</v>
      </c>
      <c r="F414" s="264" t="s">
        <v>433</v>
      </c>
      <c r="G414" s="389">
        <v>27991</v>
      </c>
      <c r="H414" s="264">
        <v>47</v>
      </c>
      <c r="I414" s="389">
        <v>43252</v>
      </c>
      <c r="K414" s="390">
        <v>43282</v>
      </c>
      <c r="L414" s="264">
        <v>70</v>
      </c>
      <c r="M414" s="264" t="s">
        <v>1024</v>
      </c>
      <c r="N414" s="264">
        <v>1</v>
      </c>
      <c r="O414" s="264" t="s">
        <v>829</v>
      </c>
      <c r="P414" s="264" t="s">
        <v>994</v>
      </c>
      <c r="Q414" s="264" t="s">
        <v>1009</v>
      </c>
      <c r="R414" s="264" t="s">
        <v>1010</v>
      </c>
      <c r="S414" s="264" t="s">
        <v>996</v>
      </c>
      <c r="T414" s="264" t="s">
        <v>997</v>
      </c>
      <c r="U414" s="264" t="s">
        <v>995</v>
      </c>
      <c r="V414" s="264" t="s">
        <v>995</v>
      </c>
      <c r="W414" s="264" t="s">
        <v>995</v>
      </c>
      <c r="X414" s="264" t="s">
        <v>828</v>
      </c>
      <c r="Y414" s="264" t="s">
        <v>998</v>
      </c>
      <c r="Z414" s="264">
        <v>31</v>
      </c>
      <c r="AA414" s="264" t="s">
        <v>999</v>
      </c>
      <c r="AB414" s="264">
        <v>31</v>
      </c>
      <c r="AC414" s="264" t="s">
        <v>999</v>
      </c>
      <c r="AD414" s="264" t="s">
        <v>1000</v>
      </c>
      <c r="AE414" s="264" t="s">
        <v>1000</v>
      </c>
      <c r="AF414" s="264" t="s">
        <v>1000</v>
      </c>
      <c r="AG414" s="264" t="s">
        <v>1000</v>
      </c>
      <c r="AH414" s="264" t="s">
        <v>1002</v>
      </c>
      <c r="AI414" s="264" t="s">
        <v>1002</v>
      </c>
      <c r="AJ414" s="264" t="s">
        <v>995</v>
      </c>
      <c r="AK414" s="264" t="s">
        <v>995</v>
      </c>
      <c r="AL414" s="264" t="s">
        <v>995</v>
      </c>
    </row>
    <row r="415" spans="1:38">
      <c r="A415" s="264">
        <v>8192</v>
      </c>
      <c r="B415" s="264" t="s">
        <v>573</v>
      </c>
      <c r="C415" s="264" t="s">
        <v>1458</v>
      </c>
      <c r="D415" s="264" t="s">
        <v>1004</v>
      </c>
      <c r="E415" s="264">
        <v>65021</v>
      </c>
      <c r="F415" s="264" t="s">
        <v>433</v>
      </c>
      <c r="G415" s="389">
        <v>21971</v>
      </c>
      <c r="H415" s="264">
        <v>63</v>
      </c>
      <c r="I415" s="389">
        <v>28562</v>
      </c>
      <c r="K415" s="390">
        <v>43435</v>
      </c>
      <c r="L415" s="264">
        <v>70</v>
      </c>
      <c r="M415" s="264" t="s">
        <v>1024</v>
      </c>
      <c r="N415" s="264">
        <v>1</v>
      </c>
      <c r="O415" s="264" t="s">
        <v>829</v>
      </c>
      <c r="P415" s="264" t="s">
        <v>994</v>
      </c>
      <c r="Q415" s="264" t="s">
        <v>1009</v>
      </c>
      <c r="R415" s="264" t="s">
        <v>1010</v>
      </c>
      <c r="S415" s="264" t="s">
        <v>996</v>
      </c>
      <c r="T415" s="264" t="s">
        <v>997</v>
      </c>
      <c r="U415" s="264" t="s">
        <v>995</v>
      </c>
      <c r="V415" s="264" t="s">
        <v>995</v>
      </c>
      <c r="W415" s="264" t="s">
        <v>995</v>
      </c>
      <c r="X415" s="264" t="s">
        <v>828</v>
      </c>
      <c r="Y415" s="264" t="s">
        <v>998</v>
      </c>
      <c r="Z415" s="264">
        <v>31</v>
      </c>
      <c r="AA415" s="264" t="s">
        <v>999</v>
      </c>
      <c r="AB415" s="264">
        <v>31</v>
      </c>
      <c r="AC415" s="264" t="s">
        <v>999</v>
      </c>
      <c r="AD415" s="264" t="s">
        <v>1000</v>
      </c>
      <c r="AE415" s="264" t="s">
        <v>1000</v>
      </c>
      <c r="AF415" s="264" t="s">
        <v>1000</v>
      </c>
      <c r="AG415" s="264" t="s">
        <v>1000</v>
      </c>
      <c r="AH415" s="264" t="s">
        <v>1002</v>
      </c>
      <c r="AI415" s="264" t="s">
        <v>1002</v>
      </c>
      <c r="AJ415" s="264" t="s">
        <v>995</v>
      </c>
      <c r="AK415" s="264" t="s">
        <v>995</v>
      </c>
      <c r="AL415" s="264" t="s">
        <v>995</v>
      </c>
    </row>
    <row r="416" spans="1:38">
      <c r="A416" s="264">
        <v>8241</v>
      </c>
      <c r="B416" s="264" t="s">
        <v>1459</v>
      </c>
      <c r="C416" s="264" t="s">
        <v>1460</v>
      </c>
      <c r="D416" s="264" t="s">
        <v>991</v>
      </c>
      <c r="E416" s="264">
        <v>65021</v>
      </c>
      <c r="F416" s="264" t="s">
        <v>433</v>
      </c>
      <c r="G416" s="389">
        <v>29522</v>
      </c>
      <c r="H416" s="264">
        <v>43</v>
      </c>
      <c r="I416" s="389">
        <v>45068</v>
      </c>
      <c r="K416" s="390">
        <v>44896</v>
      </c>
      <c r="L416" s="264">
        <v>70</v>
      </c>
      <c r="M416" s="264" t="s">
        <v>1024</v>
      </c>
      <c r="N416" s="264">
        <v>1</v>
      </c>
      <c r="O416" s="264" t="s">
        <v>829</v>
      </c>
      <c r="P416" s="264" t="s">
        <v>994</v>
      </c>
      <c r="Q416" s="264" t="s">
        <v>1009</v>
      </c>
      <c r="R416" s="264" t="s">
        <v>1010</v>
      </c>
      <c r="S416" s="264" t="s">
        <v>996</v>
      </c>
      <c r="T416" s="264" t="s">
        <v>997</v>
      </c>
      <c r="U416" s="264" t="s">
        <v>995</v>
      </c>
      <c r="V416" s="264" t="s">
        <v>995</v>
      </c>
      <c r="W416" s="264" t="s">
        <v>995</v>
      </c>
      <c r="X416" s="264" t="s">
        <v>828</v>
      </c>
      <c r="Y416" s="264" t="s">
        <v>998</v>
      </c>
      <c r="Z416" s="264">
        <v>31</v>
      </c>
      <c r="AA416" s="264" t="s">
        <v>999</v>
      </c>
      <c r="AB416" s="264">
        <v>31</v>
      </c>
      <c r="AC416" s="264" t="s">
        <v>999</v>
      </c>
      <c r="AD416" s="264" t="s">
        <v>1000</v>
      </c>
      <c r="AE416" s="264" t="s">
        <v>1000</v>
      </c>
      <c r="AF416" s="264" t="s">
        <v>1000</v>
      </c>
      <c r="AG416" s="264" t="s">
        <v>1000</v>
      </c>
      <c r="AH416" s="264" t="s">
        <v>1002</v>
      </c>
      <c r="AI416" s="264" t="s">
        <v>1002</v>
      </c>
      <c r="AJ416" s="264" t="s">
        <v>995</v>
      </c>
      <c r="AK416" s="264" t="s">
        <v>995</v>
      </c>
      <c r="AL416" s="264" t="s">
        <v>995</v>
      </c>
    </row>
    <row r="417" spans="1:38">
      <c r="A417" s="264">
        <v>8253</v>
      </c>
      <c r="B417" s="264" t="s">
        <v>1461</v>
      </c>
      <c r="C417" s="264" t="s">
        <v>1462</v>
      </c>
      <c r="D417" s="264" t="s">
        <v>991</v>
      </c>
      <c r="E417" s="264">
        <v>65021</v>
      </c>
      <c r="F417" s="264" t="s">
        <v>433</v>
      </c>
      <c r="G417" s="389">
        <v>30233</v>
      </c>
      <c r="H417" s="264">
        <v>41</v>
      </c>
      <c r="I417" s="389">
        <v>45250</v>
      </c>
      <c r="K417" s="390">
        <v>45261</v>
      </c>
      <c r="L417" s="264">
        <v>70</v>
      </c>
      <c r="M417" s="264" t="s">
        <v>1024</v>
      </c>
      <c r="N417" s="264">
        <v>1</v>
      </c>
      <c r="O417" s="264" t="s">
        <v>829</v>
      </c>
      <c r="P417" s="264" t="s">
        <v>994</v>
      </c>
      <c r="Q417" s="264" t="s">
        <v>1009</v>
      </c>
      <c r="R417" s="264" t="s">
        <v>1010</v>
      </c>
      <c r="S417" s="264" t="s">
        <v>996</v>
      </c>
      <c r="T417" s="264" t="s">
        <v>997</v>
      </c>
      <c r="U417" s="264" t="s">
        <v>995</v>
      </c>
      <c r="V417" s="264" t="s">
        <v>995</v>
      </c>
      <c r="W417" s="264" t="s">
        <v>995</v>
      </c>
      <c r="X417" s="264" t="s">
        <v>828</v>
      </c>
      <c r="Y417" s="264" t="s">
        <v>998</v>
      </c>
      <c r="Z417" s="264">
        <v>31</v>
      </c>
      <c r="AA417" s="264" t="s">
        <v>999</v>
      </c>
      <c r="AB417" s="264">
        <v>31</v>
      </c>
      <c r="AC417" s="264" t="s">
        <v>999</v>
      </c>
      <c r="AD417" s="264" t="s">
        <v>1000</v>
      </c>
      <c r="AE417" s="264" t="s">
        <v>1000</v>
      </c>
      <c r="AF417" s="264" t="s">
        <v>1000</v>
      </c>
      <c r="AG417" s="264" t="s">
        <v>1000</v>
      </c>
      <c r="AH417" s="264" t="s">
        <v>1002</v>
      </c>
      <c r="AI417" s="264" t="s">
        <v>1002</v>
      </c>
      <c r="AJ417" s="264" t="s">
        <v>995</v>
      </c>
      <c r="AK417" s="264" t="s">
        <v>995</v>
      </c>
      <c r="AL417" s="264" t="s">
        <v>995</v>
      </c>
    </row>
    <row r="418" spans="1:38">
      <c r="A418" s="264">
        <v>2832</v>
      </c>
      <c r="B418" s="264" t="s">
        <v>91</v>
      </c>
      <c r="C418" s="264" t="s">
        <v>1408</v>
      </c>
      <c r="D418" s="264" t="s">
        <v>1004</v>
      </c>
      <c r="E418" s="264">
        <v>61300</v>
      </c>
      <c r="F418" s="264" t="s">
        <v>162</v>
      </c>
      <c r="G418" s="389">
        <v>25302</v>
      </c>
      <c r="H418" s="264">
        <v>54</v>
      </c>
      <c r="I418" s="389">
        <v>32226</v>
      </c>
      <c r="K418" s="390">
        <v>42278</v>
      </c>
      <c r="L418" s="264">
        <v>20</v>
      </c>
      <c r="M418" s="264" t="s">
        <v>1015</v>
      </c>
      <c r="N418" s="264">
        <v>1</v>
      </c>
      <c r="O418" s="264" t="s">
        <v>829</v>
      </c>
      <c r="P418" s="264" t="s">
        <v>994</v>
      </c>
      <c r="Q418" s="264" t="s">
        <v>1009</v>
      </c>
      <c r="R418" s="264" t="s">
        <v>1010</v>
      </c>
      <c r="S418" s="264" t="s">
        <v>996</v>
      </c>
      <c r="T418" s="264" t="s">
        <v>997</v>
      </c>
      <c r="U418" s="264" t="s">
        <v>995</v>
      </c>
      <c r="V418" s="264" t="s">
        <v>995</v>
      </c>
      <c r="W418" s="264" t="s">
        <v>995</v>
      </c>
      <c r="X418" s="264" t="s">
        <v>828</v>
      </c>
      <c r="Y418" s="264" t="s">
        <v>998</v>
      </c>
      <c r="Z418" s="264">
        <v>31</v>
      </c>
      <c r="AA418" s="264" t="s">
        <v>999</v>
      </c>
      <c r="AB418" s="264">
        <v>31</v>
      </c>
      <c r="AC418" s="264" t="s">
        <v>999</v>
      </c>
      <c r="AD418" s="264" t="s">
        <v>1000</v>
      </c>
      <c r="AE418" s="264" t="s">
        <v>1000</v>
      </c>
      <c r="AF418" s="264" t="s">
        <v>1000</v>
      </c>
      <c r="AG418" s="264" t="s">
        <v>1000</v>
      </c>
      <c r="AH418" s="264" t="s">
        <v>1002</v>
      </c>
      <c r="AI418" s="264" t="s">
        <v>1002</v>
      </c>
      <c r="AJ418" s="264" t="s">
        <v>995</v>
      </c>
      <c r="AK418" s="264" t="s">
        <v>995</v>
      </c>
      <c r="AL418" s="264" t="s">
        <v>995</v>
      </c>
    </row>
    <row r="419" spans="1:38">
      <c r="A419" s="264">
        <v>1364</v>
      </c>
      <c r="B419" s="264" t="s">
        <v>487</v>
      </c>
      <c r="C419" s="264" t="s">
        <v>1504</v>
      </c>
      <c r="D419" s="264" t="s">
        <v>1004</v>
      </c>
      <c r="E419" s="264">
        <v>68111</v>
      </c>
      <c r="F419" s="264" t="s">
        <v>485</v>
      </c>
      <c r="G419" s="389">
        <v>29363</v>
      </c>
      <c r="H419" s="264">
        <v>43</v>
      </c>
      <c r="I419" s="389">
        <v>40411</v>
      </c>
      <c r="K419" s="390">
        <v>42278</v>
      </c>
      <c r="L419" s="264">
        <v>20</v>
      </c>
      <c r="M419" s="264" t="s">
        <v>1015</v>
      </c>
      <c r="N419" s="264">
        <v>1</v>
      </c>
      <c r="O419" s="264" t="s">
        <v>829</v>
      </c>
      <c r="P419" s="264" t="s">
        <v>994</v>
      </c>
      <c r="Q419" s="264" t="s">
        <v>1009</v>
      </c>
      <c r="R419" s="264" t="s">
        <v>1010</v>
      </c>
      <c r="S419" s="264" t="s">
        <v>996</v>
      </c>
      <c r="T419" s="264" t="s">
        <v>997</v>
      </c>
      <c r="U419" s="264" t="s">
        <v>995</v>
      </c>
      <c r="V419" s="264" t="s">
        <v>995</v>
      </c>
      <c r="W419" s="264" t="s">
        <v>995</v>
      </c>
      <c r="X419" s="264" t="s">
        <v>828</v>
      </c>
      <c r="Y419" s="264" t="s">
        <v>998</v>
      </c>
      <c r="Z419" s="264">
        <v>31</v>
      </c>
      <c r="AA419" s="264" t="s">
        <v>999</v>
      </c>
      <c r="AB419" s="264">
        <v>31</v>
      </c>
      <c r="AC419" s="264" t="s">
        <v>999</v>
      </c>
      <c r="AD419" s="264" t="s">
        <v>1000</v>
      </c>
      <c r="AE419" s="264" t="s">
        <v>1000</v>
      </c>
      <c r="AF419" s="264" t="s">
        <v>1000</v>
      </c>
      <c r="AG419" s="264" t="s">
        <v>1000</v>
      </c>
      <c r="AH419" s="264" t="s">
        <v>1002</v>
      </c>
      <c r="AI419" s="264" t="s">
        <v>1002</v>
      </c>
      <c r="AJ419" s="264" t="s">
        <v>995</v>
      </c>
      <c r="AK419" s="264" t="s">
        <v>995</v>
      </c>
      <c r="AL419" s="264" t="s">
        <v>995</v>
      </c>
    </row>
    <row r="420" spans="1:38">
      <c r="A420" s="264">
        <v>1369</v>
      </c>
      <c r="B420" s="264" t="s">
        <v>430</v>
      </c>
      <c r="C420" s="264" t="s">
        <v>1439</v>
      </c>
      <c r="D420" s="264" t="s">
        <v>1004</v>
      </c>
      <c r="E420" s="264">
        <v>64311</v>
      </c>
      <c r="F420" s="264" t="s">
        <v>431</v>
      </c>
      <c r="G420" s="389">
        <v>29430</v>
      </c>
      <c r="H420" s="264">
        <v>43</v>
      </c>
      <c r="I420" s="389">
        <v>40564</v>
      </c>
      <c r="K420" s="390">
        <v>42278</v>
      </c>
      <c r="L420" s="264">
        <v>20</v>
      </c>
      <c r="M420" s="264" t="s">
        <v>1015</v>
      </c>
      <c r="N420" s="264">
        <v>1</v>
      </c>
      <c r="O420" s="264" t="s">
        <v>829</v>
      </c>
      <c r="P420" s="264" t="s">
        <v>994</v>
      </c>
      <c r="Q420" s="264" t="s">
        <v>1009</v>
      </c>
      <c r="R420" s="264" t="s">
        <v>1010</v>
      </c>
      <c r="S420" s="264" t="s">
        <v>996</v>
      </c>
      <c r="T420" s="264" t="s">
        <v>997</v>
      </c>
      <c r="U420" s="264" t="s">
        <v>995</v>
      </c>
      <c r="V420" s="264" t="s">
        <v>995</v>
      </c>
      <c r="W420" s="264" t="s">
        <v>995</v>
      </c>
      <c r="X420" s="264" t="s">
        <v>828</v>
      </c>
      <c r="Y420" s="264" t="s">
        <v>998</v>
      </c>
      <c r="Z420" s="264">
        <v>31</v>
      </c>
      <c r="AA420" s="264" t="s">
        <v>999</v>
      </c>
      <c r="AB420" s="264">
        <v>31</v>
      </c>
      <c r="AC420" s="264" t="s">
        <v>999</v>
      </c>
      <c r="AD420" s="264" t="s">
        <v>1000</v>
      </c>
      <c r="AE420" s="264" t="s">
        <v>1000</v>
      </c>
      <c r="AF420" s="264" t="s">
        <v>1000</v>
      </c>
      <c r="AG420" s="264" t="s">
        <v>1000</v>
      </c>
      <c r="AH420" s="264" t="s">
        <v>1002</v>
      </c>
      <c r="AI420" s="264" t="s">
        <v>1002</v>
      </c>
      <c r="AJ420" s="264" t="s">
        <v>995</v>
      </c>
      <c r="AK420" s="264" t="s">
        <v>995</v>
      </c>
      <c r="AL420" s="264" t="s">
        <v>995</v>
      </c>
    </row>
    <row r="421" spans="1:38">
      <c r="A421" s="264">
        <v>3144</v>
      </c>
      <c r="B421" s="264" t="s">
        <v>486</v>
      </c>
      <c r="C421" s="264" t="s">
        <v>1505</v>
      </c>
      <c r="D421" s="264" t="s">
        <v>1004</v>
      </c>
      <c r="E421" s="264">
        <v>68111</v>
      </c>
      <c r="F421" s="264" t="s">
        <v>485</v>
      </c>
      <c r="G421" s="389">
        <v>28936</v>
      </c>
      <c r="H421" s="264">
        <v>44</v>
      </c>
      <c r="I421" s="389">
        <v>35510</v>
      </c>
      <c r="K421" s="390">
        <v>42278</v>
      </c>
      <c r="L421" s="264">
        <v>20</v>
      </c>
      <c r="M421" s="264" t="s">
        <v>1015</v>
      </c>
      <c r="N421" s="264">
        <v>1</v>
      </c>
      <c r="O421" s="264" t="s">
        <v>829</v>
      </c>
      <c r="P421" s="264" t="s">
        <v>994</v>
      </c>
      <c r="Q421" s="264" t="s">
        <v>1009</v>
      </c>
      <c r="R421" s="264" t="s">
        <v>1010</v>
      </c>
      <c r="S421" s="264" t="s">
        <v>996</v>
      </c>
      <c r="T421" s="264" t="s">
        <v>997</v>
      </c>
      <c r="U421" s="264" t="s">
        <v>995</v>
      </c>
      <c r="V421" s="264" t="s">
        <v>995</v>
      </c>
      <c r="W421" s="264" t="s">
        <v>995</v>
      </c>
      <c r="X421" s="264" t="s">
        <v>828</v>
      </c>
      <c r="Y421" s="264" t="s">
        <v>998</v>
      </c>
      <c r="Z421" s="264">
        <v>31</v>
      </c>
      <c r="AA421" s="264" t="s">
        <v>999</v>
      </c>
      <c r="AB421" s="264">
        <v>31</v>
      </c>
      <c r="AC421" s="264" t="s">
        <v>999</v>
      </c>
      <c r="AD421" s="264" t="s">
        <v>1000</v>
      </c>
      <c r="AE421" s="264" t="s">
        <v>1000</v>
      </c>
      <c r="AF421" s="264" t="s">
        <v>1000</v>
      </c>
      <c r="AG421" s="264" t="s">
        <v>1000</v>
      </c>
      <c r="AH421" s="264" t="s">
        <v>1002</v>
      </c>
      <c r="AI421" s="264" t="s">
        <v>1002</v>
      </c>
      <c r="AJ421" s="264" t="s">
        <v>995</v>
      </c>
      <c r="AK421" s="264" t="s">
        <v>995</v>
      </c>
      <c r="AL421" s="264" t="s">
        <v>995</v>
      </c>
    </row>
    <row r="422" spans="1:38">
      <c r="A422" s="264">
        <v>3353</v>
      </c>
      <c r="B422" s="264" t="s">
        <v>527</v>
      </c>
      <c r="C422" s="264" t="s">
        <v>1506</v>
      </c>
      <c r="D422" s="264" t="s">
        <v>991</v>
      </c>
      <c r="E422" s="264">
        <v>68111</v>
      </c>
      <c r="F422" s="264" t="s">
        <v>485</v>
      </c>
      <c r="G422" s="389">
        <v>34045</v>
      </c>
      <c r="H422" s="264">
        <v>30</v>
      </c>
      <c r="I422" s="389">
        <v>40623</v>
      </c>
      <c r="K422" s="390">
        <v>42278</v>
      </c>
      <c r="L422" s="264">
        <v>20</v>
      </c>
      <c r="M422" s="264" t="s">
        <v>1015</v>
      </c>
      <c r="N422" s="264">
        <v>1</v>
      </c>
      <c r="O422" s="264" t="s">
        <v>829</v>
      </c>
      <c r="P422" s="264" t="s">
        <v>994</v>
      </c>
      <c r="Q422" s="264" t="s">
        <v>1009</v>
      </c>
      <c r="R422" s="264" t="s">
        <v>1010</v>
      </c>
      <c r="S422" s="264" t="s">
        <v>996</v>
      </c>
      <c r="T422" s="264" t="s">
        <v>997</v>
      </c>
      <c r="U422" s="264" t="s">
        <v>995</v>
      </c>
      <c r="V422" s="264" t="s">
        <v>995</v>
      </c>
      <c r="W422" s="264" t="s">
        <v>995</v>
      </c>
      <c r="X422" s="264" t="s">
        <v>828</v>
      </c>
      <c r="Y422" s="264" t="s">
        <v>998</v>
      </c>
      <c r="Z422" s="264">
        <v>31</v>
      </c>
      <c r="AA422" s="264" t="s">
        <v>999</v>
      </c>
      <c r="AB422" s="264">
        <v>31</v>
      </c>
      <c r="AC422" s="264" t="s">
        <v>999</v>
      </c>
      <c r="AD422" s="264" t="s">
        <v>1000</v>
      </c>
      <c r="AE422" s="264" t="s">
        <v>1000</v>
      </c>
      <c r="AF422" s="264" t="s">
        <v>1000</v>
      </c>
      <c r="AG422" s="264" t="s">
        <v>1000</v>
      </c>
      <c r="AH422" s="264" t="s">
        <v>1002</v>
      </c>
      <c r="AI422" s="264" t="s">
        <v>1002</v>
      </c>
      <c r="AJ422" s="264" t="s">
        <v>995</v>
      </c>
      <c r="AK422" s="264" t="s">
        <v>995</v>
      </c>
      <c r="AL422" s="264" t="s">
        <v>995</v>
      </c>
    </row>
    <row r="423" spans="1:38">
      <c r="A423" s="264">
        <v>3951</v>
      </c>
      <c r="B423" s="264" t="s">
        <v>522</v>
      </c>
      <c r="C423" s="264" t="s">
        <v>1440</v>
      </c>
      <c r="D423" s="264" t="s">
        <v>991</v>
      </c>
      <c r="E423" s="264">
        <v>64311</v>
      </c>
      <c r="F423" s="264" t="s">
        <v>431</v>
      </c>
      <c r="G423" s="389">
        <v>28114</v>
      </c>
      <c r="H423" s="264">
        <v>47</v>
      </c>
      <c r="I423" s="389">
        <v>38769</v>
      </c>
      <c r="K423" s="390">
        <v>42278</v>
      </c>
      <c r="L423" s="264">
        <v>20</v>
      </c>
      <c r="M423" s="264" t="s">
        <v>1015</v>
      </c>
      <c r="N423" s="264">
        <v>1</v>
      </c>
      <c r="O423" s="264" t="s">
        <v>829</v>
      </c>
      <c r="P423" s="264" t="s">
        <v>994</v>
      </c>
      <c r="Q423" s="264" t="s">
        <v>1009</v>
      </c>
      <c r="R423" s="264" t="s">
        <v>1010</v>
      </c>
      <c r="S423" s="264" t="s">
        <v>996</v>
      </c>
      <c r="T423" s="264" t="s">
        <v>997</v>
      </c>
      <c r="U423" s="264" t="s">
        <v>995</v>
      </c>
      <c r="V423" s="264" t="s">
        <v>995</v>
      </c>
      <c r="W423" s="264" t="s">
        <v>995</v>
      </c>
      <c r="X423" s="264" t="s">
        <v>828</v>
      </c>
      <c r="Y423" s="264" t="s">
        <v>998</v>
      </c>
      <c r="Z423" s="264">
        <v>31</v>
      </c>
      <c r="AA423" s="264" t="s">
        <v>999</v>
      </c>
      <c r="AB423" s="264">
        <v>31</v>
      </c>
      <c r="AC423" s="264" t="s">
        <v>999</v>
      </c>
      <c r="AD423" s="264" t="s">
        <v>1000</v>
      </c>
      <c r="AE423" s="264" t="s">
        <v>1000</v>
      </c>
      <c r="AF423" s="264" t="s">
        <v>1000</v>
      </c>
      <c r="AG423" s="264" t="s">
        <v>1000</v>
      </c>
      <c r="AH423" s="264" t="s">
        <v>1002</v>
      </c>
      <c r="AI423" s="264" t="s">
        <v>1002</v>
      </c>
      <c r="AJ423" s="264" t="s">
        <v>995</v>
      </c>
      <c r="AK423" s="264" t="s">
        <v>995</v>
      </c>
      <c r="AL423" s="264" t="s">
        <v>995</v>
      </c>
    </row>
    <row r="424" spans="1:38">
      <c r="A424" s="264">
        <v>8240</v>
      </c>
      <c r="B424" s="264" t="s">
        <v>1508</v>
      </c>
      <c r="C424" s="264" t="s">
        <v>1509</v>
      </c>
      <c r="D424" s="264" t="s">
        <v>991</v>
      </c>
      <c r="E424" s="264">
        <v>68121</v>
      </c>
      <c r="F424" s="264" t="s">
        <v>485</v>
      </c>
      <c r="G424" s="389">
        <v>33424</v>
      </c>
      <c r="H424" s="264">
        <v>32</v>
      </c>
      <c r="I424" s="389">
        <v>45068</v>
      </c>
      <c r="K424" s="390">
        <v>44896</v>
      </c>
      <c r="L424" s="264">
        <v>70</v>
      </c>
      <c r="M424" s="264" t="s">
        <v>1024</v>
      </c>
      <c r="N424" s="264">
        <v>1</v>
      </c>
      <c r="O424" s="264" t="s">
        <v>829</v>
      </c>
      <c r="P424" s="264" t="s">
        <v>994</v>
      </c>
      <c r="Q424" s="264" t="s">
        <v>1009</v>
      </c>
      <c r="R424" s="264" t="s">
        <v>1010</v>
      </c>
      <c r="S424" s="264" t="s">
        <v>996</v>
      </c>
      <c r="T424" s="264" t="s">
        <v>997</v>
      </c>
      <c r="U424" s="264" t="s">
        <v>995</v>
      </c>
      <c r="V424" s="264" t="s">
        <v>995</v>
      </c>
      <c r="W424" s="264" t="s">
        <v>995</v>
      </c>
      <c r="X424" s="264" t="s">
        <v>828</v>
      </c>
      <c r="Y424" s="264" t="s">
        <v>998</v>
      </c>
      <c r="Z424" s="264">
        <v>31</v>
      </c>
      <c r="AA424" s="264" t="s">
        <v>999</v>
      </c>
      <c r="AB424" s="264">
        <v>31</v>
      </c>
      <c r="AC424" s="264" t="s">
        <v>999</v>
      </c>
      <c r="AD424" s="264" t="s">
        <v>1000</v>
      </c>
      <c r="AE424" s="264" t="s">
        <v>1000</v>
      </c>
      <c r="AF424" s="264" t="s">
        <v>1000</v>
      </c>
      <c r="AG424" s="264" t="s">
        <v>1000</v>
      </c>
      <c r="AH424" s="264" t="s">
        <v>1002</v>
      </c>
      <c r="AI424" s="264" t="s">
        <v>1002</v>
      </c>
      <c r="AJ424" s="264" t="s">
        <v>995</v>
      </c>
      <c r="AK424" s="264" t="s">
        <v>995</v>
      </c>
      <c r="AL424" s="264" t="s">
        <v>995</v>
      </c>
    </row>
    <row r="425" spans="1:38">
      <c r="A425" s="264">
        <v>1349</v>
      </c>
      <c r="B425" s="264" t="s">
        <v>501</v>
      </c>
      <c r="C425" s="264" t="s">
        <v>1510</v>
      </c>
      <c r="D425" s="264" t="s">
        <v>1004</v>
      </c>
      <c r="E425" s="264">
        <v>69011</v>
      </c>
      <c r="F425" s="264" t="s">
        <v>489</v>
      </c>
      <c r="G425" s="389">
        <v>27114</v>
      </c>
      <c r="H425" s="264">
        <v>49</v>
      </c>
      <c r="I425" s="389">
        <v>39538</v>
      </c>
      <c r="K425" s="390">
        <v>42278</v>
      </c>
      <c r="L425" s="264">
        <v>20</v>
      </c>
      <c r="M425" s="264" t="s">
        <v>1015</v>
      </c>
      <c r="N425" s="264">
        <v>1</v>
      </c>
      <c r="O425" s="264" t="s">
        <v>829</v>
      </c>
      <c r="P425" s="264" t="s">
        <v>994</v>
      </c>
      <c r="Q425" s="264" t="s">
        <v>1009</v>
      </c>
      <c r="R425" s="264" t="s">
        <v>1010</v>
      </c>
      <c r="S425" s="264" t="s">
        <v>996</v>
      </c>
      <c r="T425" s="264" t="s">
        <v>997</v>
      </c>
      <c r="U425" s="264" t="s">
        <v>995</v>
      </c>
      <c r="V425" s="264" t="s">
        <v>995</v>
      </c>
      <c r="W425" s="264" t="s">
        <v>995</v>
      </c>
      <c r="X425" s="264" t="s">
        <v>828</v>
      </c>
      <c r="Y425" s="264" t="s">
        <v>998</v>
      </c>
      <c r="Z425" s="264">
        <v>31</v>
      </c>
      <c r="AA425" s="264" t="s">
        <v>999</v>
      </c>
      <c r="AB425" s="264">
        <v>31</v>
      </c>
      <c r="AC425" s="264" t="s">
        <v>999</v>
      </c>
      <c r="AD425" s="264" t="s">
        <v>1000</v>
      </c>
      <c r="AE425" s="264" t="s">
        <v>1000</v>
      </c>
      <c r="AF425" s="264" t="s">
        <v>1000</v>
      </c>
      <c r="AG425" s="264" t="s">
        <v>1000</v>
      </c>
      <c r="AH425" s="264" t="s">
        <v>1002</v>
      </c>
      <c r="AI425" s="264" t="s">
        <v>1002</v>
      </c>
      <c r="AJ425" s="264" t="s">
        <v>995</v>
      </c>
      <c r="AK425" s="264" t="s">
        <v>995</v>
      </c>
      <c r="AL425" s="264" t="s">
        <v>995</v>
      </c>
    </row>
    <row r="426" spans="1:38">
      <c r="A426" s="264">
        <v>1400</v>
      </c>
      <c r="B426" s="264" t="s">
        <v>491</v>
      </c>
      <c r="C426" s="264" t="s">
        <v>1511</v>
      </c>
      <c r="D426" s="264" t="s">
        <v>1004</v>
      </c>
      <c r="E426" s="264">
        <v>69011</v>
      </c>
      <c r="F426" s="264" t="s">
        <v>489</v>
      </c>
      <c r="G426" s="389">
        <v>33412</v>
      </c>
      <c r="H426" s="264">
        <v>32</v>
      </c>
      <c r="I426" s="389">
        <v>43486</v>
      </c>
      <c r="K426" s="390">
        <v>43497</v>
      </c>
      <c r="L426" s="264">
        <v>20</v>
      </c>
      <c r="M426" s="264" t="s">
        <v>1015</v>
      </c>
      <c r="N426" s="264">
        <v>1</v>
      </c>
      <c r="O426" s="264" t="s">
        <v>829</v>
      </c>
      <c r="P426" s="264" t="s">
        <v>994</v>
      </c>
      <c r="Q426" s="264" t="s">
        <v>1009</v>
      </c>
      <c r="R426" s="264" t="s">
        <v>1010</v>
      </c>
      <c r="S426" s="264" t="s">
        <v>996</v>
      </c>
      <c r="T426" s="264" t="s">
        <v>997</v>
      </c>
      <c r="U426" s="264" t="s">
        <v>995</v>
      </c>
      <c r="V426" s="264" t="s">
        <v>995</v>
      </c>
      <c r="W426" s="264" t="s">
        <v>995</v>
      </c>
      <c r="X426" s="264" t="s">
        <v>828</v>
      </c>
      <c r="Y426" s="264" t="s">
        <v>998</v>
      </c>
      <c r="Z426" s="264">
        <v>31</v>
      </c>
      <c r="AA426" s="264" t="s">
        <v>999</v>
      </c>
      <c r="AB426" s="264">
        <v>31</v>
      </c>
      <c r="AC426" s="264" t="s">
        <v>999</v>
      </c>
      <c r="AD426" s="264" t="s">
        <v>1000</v>
      </c>
      <c r="AE426" s="264" t="s">
        <v>1000</v>
      </c>
      <c r="AF426" s="264" t="s">
        <v>1000</v>
      </c>
      <c r="AG426" s="264" t="s">
        <v>1000</v>
      </c>
      <c r="AH426" s="264" t="s">
        <v>1002</v>
      </c>
      <c r="AI426" s="264" t="s">
        <v>1002</v>
      </c>
      <c r="AJ426" s="264" t="s">
        <v>995</v>
      </c>
      <c r="AK426" s="264" t="s">
        <v>995</v>
      </c>
      <c r="AL426" s="264" t="s">
        <v>995</v>
      </c>
    </row>
    <row r="427" spans="1:38">
      <c r="A427" s="264">
        <v>1439</v>
      </c>
      <c r="B427" s="264" t="s">
        <v>839</v>
      </c>
      <c r="C427" s="264" t="s">
        <v>1512</v>
      </c>
      <c r="D427" s="264" t="s">
        <v>1004</v>
      </c>
      <c r="E427" s="264">
        <v>69011</v>
      </c>
      <c r="F427" s="264" t="s">
        <v>489</v>
      </c>
      <c r="G427" s="389">
        <v>26760</v>
      </c>
      <c r="H427" s="264">
        <v>50</v>
      </c>
      <c r="I427" s="389">
        <v>44835</v>
      </c>
      <c r="K427" s="390">
        <v>44866</v>
      </c>
      <c r="L427" s="264">
        <v>20</v>
      </c>
      <c r="M427" s="264" t="s">
        <v>1015</v>
      </c>
      <c r="N427" s="264">
        <v>1</v>
      </c>
      <c r="O427" s="264" t="s">
        <v>829</v>
      </c>
      <c r="P427" s="264" t="s">
        <v>994</v>
      </c>
      <c r="Q427" s="264" t="s">
        <v>1009</v>
      </c>
      <c r="R427" s="264" t="s">
        <v>1010</v>
      </c>
      <c r="S427" s="264" t="s">
        <v>996</v>
      </c>
      <c r="T427" s="264" t="s">
        <v>997</v>
      </c>
      <c r="U427" s="264" t="s">
        <v>995</v>
      </c>
      <c r="V427" s="264" t="s">
        <v>995</v>
      </c>
      <c r="W427" s="264" t="s">
        <v>995</v>
      </c>
      <c r="X427" s="264" t="s">
        <v>828</v>
      </c>
      <c r="Y427" s="264" t="s">
        <v>998</v>
      </c>
      <c r="Z427" s="264">
        <v>31</v>
      </c>
      <c r="AA427" s="264" t="s">
        <v>999</v>
      </c>
      <c r="AB427" s="264">
        <v>31</v>
      </c>
      <c r="AC427" s="264" t="s">
        <v>999</v>
      </c>
      <c r="AD427" s="264" t="s">
        <v>1000</v>
      </c>
      <c r="AE427" s="264" t="s">
        <v>1000</v>
      </c>
      <c r="AF427" s="264" t="s">
        <v>1000</v>
      </c>
      <c r="AG427" s="264" t="s">
        <v>1000</v>
      </c>
      <c r="AH427" s="264" t="s">
        <v>1002</v>
      </c>
      <c r="AI427" s="264" t="s">
        <v>1002</v>
      </c>
      <c r="AJ427" s="264" t="s">
        <v>995</v>
      </c>
      <c r="AK427" s="264" t="s">
        <v>995</v>
      </c>
      <c r="AL427" s="264" t="s">
        <v>995</v>
      </c>
    </row>
    <row r="428" spans="1:38">
      <c r="A428" s="264">
        <v>1440</v>
      </c>
      <c r="B428" s="264" t="s">
        <v>1513</v>
      </c>
      <c r="C428" s="264" t="s">
        <v>1514</v>
      </c>
      <c r="D428" s="264" t="s">
        <v>1004</v>
      </c>
      <c r="E428" s="264">
        <v>69011</v>
      </c>
      <c r="F428" s="264" t="s">
        <v>489</v>
      </c>
      <c r="G428" s="389">
        <v>27882</v>
      </c>
      <c r="H428" s="264">
        <v>47</v>
      </c>
      <c r="I428" s="389">
        <v>44896</v>
      </c>
      <c r="K428" s="390">
        <v>44896</v>
      </c>
      <c r="L428" s="264">
        <v>20</v>
      </c>
      <c r="M428" s="264" t="s">
        <v>1015</v>
      </c>
      <c r="N428" s="264">
        <v>1</v>
      </c>
      <c r="O428" s="264" t="s">
        <v>829</v>
      </c>
      <c r="P428" s="264" t="s">
        <v>994</v>
      </c>
      <c r="Q428" s="264" t="s">
        <v>1009</v>
      </c>
      <c r="R428" s="264" t="s">
        <v>1010</v>
      </c>
      <c r="S428" s="264" t="s">
        <v>996</v>
      </c>
      <c r="T428" s="264" t="s">
        <v>997</v>
      </c>
      <c r="U428" s="264" t="s">
        <v>995</v>
      </c>
      <c r="V428" s="264" t="s">
        <v>995</v>
      </c>
      <c r="W428" s="264" t="s">
        <v>995</v>
      </c>
      <c r="X428" s="264" t="s">
        <v>828</v>
      </c>
      <c r="Y428" s="264" t="s">
        <v>998</v>
      </c>
      <c r="Z428" s="264">
        <v>31</v>
      </c>
      <c r="AA428" s="264" t="s">
        <v>999</v>
      </c>
      <c r="AB428" s="264">
        <v>31</v>
      </c>
      <c r="AC428" s="264" t="s">
        <v>999</v>
      </c>
      <c r="AD428" s="264" t="s">
        <v>1000</v>
      </c>
      <c r="AE428" s="264" t="s">
        <v>1000</v>
      </c>
      <c r="AF428" s="264" t="s">
        <v>1000</v>
      </c>
      <c r="AG428" s="264" t="s">
        <v>1000</v>
      </c>
      <c r="AH428" s="264" t="s">
        <v>1002</v>
      </c>
      <c r="AI428" s="264" t="s">
        <v>1002</v>
      </c>
      <c r="AJ428" s="264" t="s">
        <v>995</v>
      </c>
      <c r="AK428" s="264" t="s">
        <v>995</v>
      </c>
      <c r="AL428" s="264" t="s">
        <v>995</v>
      </c>
    </row>
    <row r="429" spans="1:38">
      <c r="A429" s="264">
        <v>1452</v>
      </c>
      <c r="B429" s="264" t="s">
        <v>1515</v>
      </c>
      <c r="C429" s="264" t="s">
        <v>1516</v>
      </c>
      <c r="D429" s="264" t="s">
        <v>1004</v>
      </c>
      <c r="E429" s="264">
        <v>69011</v>
      </c>
      <c r="F429" s="264" t="s">
        <v>489</v>
      </c>
      <c r="G429" s="389">
        <v>26049</v>
      </c>
      <c r="H429" s="264">
        <v>52</v>
      </c>
      <c r="I429" s="389">
        <v>45231</v>
      </c>
      <c r="K429" s="390">
        <v>44896</v>
      </c>
      <c r="L429" s="264">
        <v>20</v>
      </c>
      <c r="M429" s="264" t="s">
        <v>1015</v>
      </c>
      <c r="N429" s="264">
        <v>1</v>
      </c>
      <c r="O429" s="264" t="s">
        <v>829</v>
      </c>
      <c r="P429" s="264" t="s">
        <v>994</v>
      </c>
      <c r="Q429" s="264" t="s">
        <v>1009</v>
      </c>
      <c r="R429" s="264" t="s">
        <v>1010</v>
      </c>
      <c r="S429" s="264" t="s">
        <v>996</v>
      </c>
      <c r="T429" s="264" t="s">
        <v>997</v>
      </c>
      <c r="U429" s="264" t="s">
        <v>995</v>
      </c>
      <c r="V429" s="264" t="s">
        <v>995</v>
      </c>
      <c r="W429" s="264" t="s">
        <v>995</v>
      </c>
      <c r="X429" s="264" t="s">
        <v>828</v>
      </c>
      <c r="Y429" s="264" t="s">
        <v>998</v>
      </c>
      <c r="Z429" s="264">
        <v>31</v>
      </c>
      <c r="AA429" s="264" t="s">
        <v>999</v>
      </c>
      <c r="AB429" s="264">
        <v>31</v>
      </c>
      <c r="AC429" s="264" t="s">
        <v>999</v>
      </c>
      <c r="AD429" s="264" t="s">
        <v>1000</v>
      </c>
      <c r="AE429" s="264" t="s">
        <v>1000</v>
      </c>
      <c r="AF429" s="264" t="s">
        <v>1000</v>
      </c>
      <c r="AG429" s="264" t="s">
        <v>1000</v>
      </c>
      <c r="AH429" s="264" t="s">
        <v>1002</v>
      </c>
      <c r="AI429" s="264" t="s">
        <v>1002</v>
      </c>
      <c r="AJ429" s="264" t="s">
        <v>995</v>
      </c>
      <c r="AK429" s="264" t="s">
        <v>995</v>
      </c>
      <c r="AL429" s="264" t="s">
        <v>995</v>
      </c>
    </row>
    <row r="430" spans="1:38">
      <c r="A430" s="264">
        <v>2686</v>
      </c>
      <c r="B430" s="264" t="s">
        <v>492</v>
      </c>
      <c r="C430" s="264" t="s">
        <v>1517</v>
      </c>
      <c r="D430" s="264" t="s">
        <v>1004</v>
      </c>
      <c r="E430" s="264">
        <v>69011</v>
      </c>
      <c r="F430" s="264" t="s">
        <v>489</v>
      </c>
      <c r="G430" s="389">
        <v>24159</v>
      </c>
      <c r="H430" s="264">
        <v>57</v>
      </c>
      <c r="I430" s="389">
        <v>30762</v>
      </c>
      <c r="K430" s="390">
        <v>42278</v>
      </c>
      <c r="L430" s="264">
        <v>20</v>
      </c>
      <c r="M430" s="264" t="s">
        <v>1015</v>
      </c>
      <c r="N430" s="264">
        <v>1</v>
      </c>
      <c r="O430" s="264" t="s">
        <v>829</v>
      </c>
      <c r="P430" s="264" t="s">
        <v>994</v>
      </c>
      <c r="Q430" s="264" t="s">
        <v>1009</v>
      </c>
      <c r="R430" s="264" t="s">
        <v>1010</v>
      </c>
      <c r="S430" s="264" t="s">
        <v>996</v>
      </c>
      <c r="T430" s="264" t="s">
        <v>997</v>
      </c>
      <c r="U430" s="264" t="s">
        <v>995</v>
      </c>
      <c r="V430" s="264" t="s">
        <v>995</v>
      </c>
      <c r="W430" s="264" t="s">
        <v>995</v>
      </c>
      <c r="X430" s="264" t="s">
        <v>828</v>
      </c>
      <c r="Y430" s="264" t="s">
        <v>998</v>
      </c>
      <c r="Z430" s="264">
        <v>31</v>
      </c>
      <c r="AA430" s="264" t="s">
        <v>999</v>
      </c>
      <c r="AB430" s="264">
        <v>31</v>
      </c>
      <c r="AC430" s="264" t="s">
        <v>999</v>
      </c>
      <c r="AD430" s="264" t="s">
        <v>1000</v>
      </c>
      <c r="AE430" s="264" t="s">
        <v>1000</v>
      </c>
      <c r="AF430" s="264" t="s">
        <v>1000</v>
      </c>
      <c r="AG430" s="264" t="s">
        <v>1000</v>
      </c>
      <c r="AH430" s="264" t="s">
        <v>1002</v>
      </c>
      <c r="AI430" s="264" t="s">
        <v>1002</v>
      </c>
      <c r="AJ430" s="264" t="s">
        <v>995</v>
      </c>
      <c r="AK430" s="264" t="s">
        <v>995</v>
      </c>
      <c r="AL430" s="264" t="s">
        <v>995</v>
      </c>
    </row>
    <row r="431" spans="1:38">
      <c r="A431" s="264">
        <v>3114</v>
      </c>
      <c r="B431" s="264" t="s">
        <v>490</v>
      </c>
      <c r="C431" s="264" t="s">
        <v>1518</v>
      </c>
      <c r="D431" s="264" t="s">
        <v>1004</v>
      </c>
      <c r="E431" s="264">
        <v>69011</v>
      </c>
      <c r="F431" s="264" t="s">
        <v>489</v>
      </c>
      <c r="G431" s="389">
        <v>28559</v>
      </c>
      <c r="H431" s="264">
        <v>45</v>
      </c>
      <c r="I431" s="389">
        <v>35145</v>
      </c>
      <c r="K431" s="390">
        <v>42278</v>
      </c>
      <c r="L431" s="264">
        <v>20</v>
      </c>
      <c r="M431" s="264" t="s">
        <v>1015</v>
      </c>
      <c r="N431" s="264">
        <v>1</v>
      </c>
      <c r="O431" s="264" t="s">
        <v>829</v>
      </c>
      <c r="P431" s="264" t="s">
        <v>994</v>
      </c>
      <c r="Q431" s="264" t="s">
        <v>1009</v>
      </c>
      <c r="R431" s="264" t="s">
        <v>1010</v>
      </c>
      <c r="S431" s="264" t="s">
        <v>996</v>
      </c>
      <c r="T431" s="264" t="s">
        <v>997</v>
      </c>
      <c r="U431" s="264" t="s">
        <v>995</v>
      </c>
      <c r="V431" s="264" t="s">
        <v>995</v>
      </c>
      <c r="W431" s="264" t="s">
        <v>995</v>
      </c>
      <c r="X431" s="264" t="s">
        <v>828</v>
      </c>
      <c r="Y431" s="264" t="s">
        <v>998</v>
      </c>
      <c r="Z431" s="264">
        <v>31</v>
      </c>
      <c r="AA431" s="264" t="s">
        <v>999</v>
      </c>
      <c r="AB431" s="264">
        <v>31</v>
      </c>
      <c r="AC431" s="264" t="s">
        <v>999</v>
      </c>
      <c r="AD431" s="264" t="s">
        <v>1000</v>
      </c>
      <c r="AE431" s="264" t="s">
        <v>1000</v>
      </c>
      <c r="AF431" s="264" t="s">
        <v>1000</v>
      </c>
      <c r="AG431" s="264" t="s">
        <v>1000</v>
      </c>
      <c r="AH431" s="264" t="s">
        <v>1002</v>
      </c>
      <c r="AI431" s="264" t="s">
        <v>1002</v>
      </c>
      <c r="AJ431" s="264" t="s">
        <v>995</v>
      </c>
      <c r="AK431" s="264" t="s">
        <v>995</v>
      </c>
      <c r="AL431" s="264" t="s">
        <v>995</v>
      </c>
    </row>
    <row r="432" spans="1:38">
      <c r="A432" s="264">
        <v>3142</v>
      </c>
      <c r="B432" s="264" t="s">
        <v>382</v>
      </c>
      <c r="C432" s="264" t="s">
        <v>1519</v>
      </c>
      <c r="D432" s="264" t="s">
        <v>1004</v>
      </c>
      <c r="E432" s="264">
        <v>69011</v>
      </c>
      <c r="F432" s="264" t="s">
        <v>489</v>
      </c>
      <c r="G432" s="389">
        <v>28664</v>
      </c>
      <c r="H432" s="264">
        <v>45</v>
      </c>
      <c r="I432" s="389">
        <v>35510</v>
      </c>
      <c r="K432" s="390">
        <v>44896</v>
      </c>
      <c r="L432" s="264">
        <v>20</v>
      </c>
      <c r="M432" s="264" t="s">
        <v>1015</v>
      </c>
      <c r="N432" s="264">
        <v>1</v>
      </c>
      <c r="O432" s="264" t="s">
        <v>829</v>
      </c>
      <c r="P432" s="264" t="s">
        <v>994</v>
      </c>
      <c r="Q432" s="264" t="s">
        <v>1009</v>
      </c>
      <c r="R432" s="264" t="s">
        <v>1010</v>
      </c>
      <c r="S432" s="264" t="s">
        <v>996</v>
      </c>
      <c r="T432" s="264" t="s">
        <v>997</v>
      </c>
      <c r="U432" s="264" t="s">
        <v>995</v>
      </c>
      <c r="V432" s="264" t="s">
        <v>995</v>
      </c>
      <c r="W432" s="264" t="s">
        <v>995</v>
      </c>
      <c r="X432" s="264" t="s">
        <v>828</v>
      </c>
      <c r="Y432" s="264" t="s">
        <v>998</v>
      </c>
      <c r="Z432" s="264">
        <v>31</v>
      </c>
      <c r="AA432" s="264" t="s">
        <v>999</v>
      </c>
      <c r="AB432" s="264">
        <v>31</v>
      </c>
      <c r="AC432" s="264" t="s">
        <v>999</v>
      </c>
      <c r="AD432" s="264" t="s">
        <v>1000</v>
      </c>
      <c r="AE432" s="264" t="s">
        <v>1000</v>
      </c>
      <c r="AF432" s="264" t="s">
        <v>1000</v>
      </c>
      <c r="AG432" s="264" t="s">
        <v>1000</v>
      </c>
      <c r="AH432" s="264" t="s">
        <v>1002</v>
      </c>
      <c r="AI432" s="264" t="s">
        <v>1002</v>
      </c>
      <c r="AJ432" s="264" t="s">
        <v>995</v>
      </c>
      <c r="AK432" s="264" t="s">
        <v>995</v>
      </c>
      <c r="AL432" s="264" t="s">
        <v>995</v>
      </c>
    </row>
    <row r="433" spans="1:38">
      <c r="A433" s="264">
        <v>3183</v>
      </c>
      <c r="B433" s="264" t="s">
        <v>423</v>
      </c>
      <c r="C433" s="264" t="s">
        <v>1520</v>
      </c>
      <c r="D433" s="264" t="s">
        <v>1004</v>
      </c>
      <c r="E433" s="264">
        <v>69011</v>
      </c>
      <c r="F433" s="264" t="s">
        <v>489</v>
      </c>
      <c r="G433" s="389">
        <v>30446</v>
      </c>
      <c r="H433" s="264">
        <v>40</v>
      </c>
      <c r="I433" s="389">
        <v>37337</v>
      </c>
      <c r="K433" s="390">
        <v>42278</v>
      </c>
      <c r="L433" s="264">
        <v>20</v>
      </c>
      <c r="M433" s="264" t="s">
        <v>1015</v>
      </c>
      <c r="N433" s="264">
        <v>1</v>
      </c>
      <c r="O433" s="264" t="s">
        <v>829</v>
      </c>
      <c r="P433" s="264" t="s">
        <v>994</v>
      </c>
      <c r="Q433" s="264" t="s">
        <v>1009</v>
      </c>
      <c r="R433" s="264" t="s">
        <v>1010</v>
      </c>
      <c r="S433" s="264" t="s">
        <v>996</v>
      </c>
      <c r="T433" s="264" t="s">
        <v>997</v>
      </c>
      <c r="U433" s="264" t="s">
        <v>995</v>
      </c>
      <c r="V433" s="264" t="s">
        <v>995</v>
      </c>
      <c r="W433" s="264" t="s">
        <v>995</v>
      </c>
      <c r="X433" s="264" t="s">
        <v>828</v>
      </c>
      <c r="Y433" s="264" t="s">
        <v>998</v>
      </c>
      <c r="Z433" s="264">
        <v>31</v>
      </c>
      <c r="AA433" s="264" t="s">
        <v>999</v>
      </c>
      <c r="AB433" s="264">
        <v>31</v>
      </c>
      <c r="AC433" s="264" t="s">
        <v>999</v>
      </c>
      <c r="AD433" s="264" t="s">
        <v>1000</v>
      </c>
      <c r="AE433" s="264" t="s">
        <v>1000</v>
      </c>
      <c r="AF433" s="264" t="s">
        <v>1000</v>
      </c>
      <c r="AG433" s="264" t="s">
        <v>1000</v>
      </c>
      <c r="AH433" s="264" t="s">
        <v>1002</v>
      </c>
      <c r="AI433" s="264" t="s">
        <v>1002</v>
      </c>
      <c r="AJ433" s="264" t="s">
        <v>995</v>
      </c>
      <c r="AK433" s="264" t="s">
        <v>995</v>
      </c>
      <c r="AL433" s="264" t="s">
        <v>995</v>
      </c>
    </row>
    <row r="434" spans="1:38">
      <c r="A434" s="264">
        <v>3277</v>
      </c>
      <c r="B434" s="264" t="s">
        <v>500</v>
      </c>
      <c r="C434" s="264" t="s">
        <v>1521</v>
      </c>
      <c r="D434" s="264" t="s">
        <v>1004</v>
      </c>
      <c r="E434" s="264">
        <v>69011</v>
      </c>
      <c r="F434" s="264" t="s">
        <v>489</v>
      </c>
      <c r="G434" s="389">
        <v>31191</v>
      </c>
      <c r="H434" s="264">
        <v>38</v>
      </c>
      <c r="I434" s="389">
        <v>39528</v>
      </c>
      <c r="K434" s="390">
        <v>42278</v>
      </c>
      <c r="L434" s="264">
        <v>20</v>
      </c>
      <c r="M434" s="264" t="s">
        <v>1015</v>
      </c>
      <c r="N434" s="264">
        <v>1</v>
      </c>
      <c r="O434" s="264" t="s">
        <v>829</v>
      </c>
      <c r="P434" s="264" t="s">
        <v>994</v>
      </c>
      <c r="Q434" s="264" t="s">
        <v>1009</v>
      </c>
      <c r="R434" s="264" t="s">
        <v>1010</v>
      </c>
      <c r="S434" s="264" t="s">
        <v>996</v>
      </c>
      <c r="T434" s="264" t="s">
        <v>997</v>
      </c>
      <c r="U434" s="264" t="s">
        <v>995</v>
      </c>
      <c r="V434" s="264" t="s">
        <v>995</v>
      </c>
      <c r="W434" s="264" t="s">
        <v>995</v>
      </c>
      <c r="X434" s="264" t="s">
        <v>828</v>
      </c>
      <c r="Y434" s="264" t="s">
        <v>998</v>
      </c>
      <c r="Z434" s="264">
        <v>31</v>
      </c>
      <c r="AA434" s="264" t="s">
        <v>999</v>
      </c>
      <c r="AB434" s="264">
        <v>31</v>
      </c>
      <c r="AC434" s="264" t="s">
        <v>999</v>
      </c>
      <c r="AD434" s="264" t="s">
        <v>1000</v>
      </c>
      <c r="AE434" s="264" t="s">
        <v>1000</v>
      </c>
      <c r="AF434" s="264" t="s">
        <v>1000</v>
      </c>
      <c r="AG434" s="264" t="s">
        <v>1000</v>
      </c>
      <c r="AH434" s="264" t="s">
        <v>1002</v>
      </c>
      <c r="AI434" s="264" t="s">
        <v>1002</v>
      </c>
      <c r="AJ434" s="264" t="s">
        <v>995</v>
      </c>
      <c r="AK434" s="264" t="s">
        <v>995</v>
      </c>
      <c r="AL434" s="264" t="s">
        <v>995</v>
      </c>
    </row>
    <row r="435" spans="1:38">
      <c r="A435" s="264">
        <v>3385</v>
      </c>
      <c r="B435" s="264" t="s">
        <v>528</v>
      </c>
      <c r="C435" s="264" t="s">
        <v>1522</v>
      </c>
      <c r="D435" s="264" t="s">
        <v>991</v>
      </c>
      <c r="E435" s="264">
        <v>69011</v>
      </c>
      <c r="F435" s="264" t="s">
        <v>489</v>
      </c>
      <c r="G435" s="389">
        <v>34241</v>
      </c>
      <c r="H435" s="264">
        <v>30</v>
      </c>
      <c r="I435" s="389">
        <v>40989</v>
      </c>
      <c r="K435" s="390">
        <v>43466</v>
      </c>
      <c r="L435" s="264">
        <v>20</v>
      </c>
      <c r="M435" s="264" t="s">
        <v>1015</v>
      </c>
      <c r="N435" s="264">
        <v>1</v>
      </c>
      <c r="O435" s="264" t="s">
        <v>829</v>
      </c>
      <c r="P435" s="264" t="s">
        <v>994</v>
      </c>
      <c r="Q435" s="264" t="s">
        <v>1009</v>
      </c>
      <c r="R435" s="264" t="s">
        <v>1010</v>
      </c>
      <c r="S435" s="264" t="s">
        <v>996</v>
      </c>
      <c r="T435" s="264" t="s">
        <v>997</v>
      </c>
      <c r="U435" s="264" t="s">
        <v>995</v>
      </c>
      <c r="V435" s="264" t="s">
        <v>995</v>
      </c>
      <c r="W435" s="264" t="s">
        <v>995</v>
      </c>
      <c r="X435" s="264" t="s">
        <v>828</v>
      </c>
      <c r="Y435" s="264" t="s">
        <v>998</v>
      </c>
      <c r="Z435" s="264">
        <v>31</v>
      </c>
      <c r="AA435" s="264" t="s">
        <v>999</v>
      </c>
      <c r="AB435" s="264">
        <v>31</v>
      </c>
      <c r="AC435" s="264" t="s">
        <v>999</v>
      </c>
      <c r="AD435" s="264" t="s">
        <v>1000</v>
      </c>
      <c r="AE435" s="264" t="s">
        <v>1000</v>
      </c>
      <c r="AF435" s="264" t="s">
        <v>1000</v>
      </c>
      <c r="AG435" s="264" t="s">
        <v>1000</v>
      </c>
      <c r="AH435" s="264" t="s">
        <v>1002</v>
      </c>
      <c r="AI435" s="264" t="s">
        <v>1002</v>
      </c>
      <c r="AJ435" s="264" t="s">
        <v>995</v>
      </c>
      <c r="AK435" s="264" t="s">
        <v>995</v>
      </c>
      <c r="AL435" s="264" t="s">
        <v>995</v>
      </c>
    </row>
    <row r="436" spans="1:38">
      <c r="A436" s="264">
        <v>3449</v>
      </c>
      <c r="B436" s="264" t="s">
        <v>502</v>
      </c>
      <c r="C436" s="264" t="s">
        <v>1523</v>
      </c>
      <c r="D436" s="264" t="s">
        <v>1004</v>
      </c>
      <c r="E436" s="264">
        <v>69011</v>
      </c>
      <c r="F436" s="264" t="s">
        <v>489</v>
      </c>
      <c r="G436" s="389">
        <v>35397</v>
      </c>
      <c r="H436" s="264">
        <v>27</v>
      </c>
      <c r="I436" s="389">
        <v>42095</v>
      </c>
      <c r="K436" s="390">
        <v>42278</v>
      </c>
      <c r="L436" s="264">
        <v>20</v>
      </c>
      <c r="M436" s="264" t="s">
        <v>1015</v>
      </c>
      <c r="N436" s="264">
        <v>1</v>
      </c>
      <c r="O436" s="264" t="s">
        <v>829</v>
      </c>
      <c r="P436" s="264" t="s">
        <v>994</v>
      </c>
      <c r="Q436" s="264" t="s">
        <v>1009</v>
      </c>
      <c r="R436" s="264" t="s">
        <v>1010</v>
      </c>
      <c r="S436" s="264" t="s">
        <v>996</v>
      </c>
      <c r="T436" s="264" t="s">
        <v>997</v>
      </c>
      <c r="U436" s="264" t="s">
        <v>995</v>
      </c>
      <c r="V436" s="264" t="s">
        <v>995</v>
      </c>
      <c r="W436" s="264" t="s">
        <v>995</v>
      </c>
      <c r="X436" s="264" t="s">
        <v>828</v>
      </c>
      <c r="Y436" s="264" t="s">
        <v>998</v>
      </c>
      <c r="Z436" s="264">
        <v>31</v>
      </c>
      <c r="AA436" s="264" t="s">
        <v>999</v>
      </c>
      <c r="AB436" s="264">
        <v>31</v>
      </c>
      <c r="AC436" s="264" t="s">
        <v>999</v>
      </c>
      <c r="AD436" s="264" t="s">
        <v>1000</v>
      </c>
      <c r="AE436" s="264" t="s">
        <v>1000</v>
      </c>
      <c r="AF436" s="264" t="s">
        <v>1000</v>
      </c>
      <c r="AG436" s="264" t="s">
        <v>1000</v>
      </c>
      <c r="AH436" s="264" t="s">
        <v>1002</v>
      </c>
      <c r="AI436" s="264" t="s">
        <v>1002</v>
      </c>
      <c r="AJ436" s="264" t="s">
        <v>995</v>
      </c>
      <c r="AK436" s="264" t="s">
        <v>995</v>
      </c>
      <c r="AL436" s="264" t="s">
        <v>995</v>
      </c>
    </row>
    <row r="437" spans="1:38">
      <c r="A437" s="264">
        <v>3497</v>
      </c>
      <c r="B437" s="264" t="s">
        <v>503</v>
      </c>
      <c r="C437" s="264" t="s">
        <v>1524</v>
      </c>
      <c r="D437" s="264" t="s">
        <v>1004</v>
      </c>
      <c r="E437" s="264">
        <v>69011</v>
      </c>
      <c r="F437" s="264" t="s">
        <v>489</v>
      </c>
      <c r="G437" s="389">
        <v>36476</v>
      </c>
      <c r="H437" s="264">
        <v>24</v>
      </c>
      <c r="I437" s="389">
        <v>43191</v>
      </c>
      <c r="K437" s="390">
        <v>43191</v>
      </c>
      <c r="L437" s="264">
        <v>20</v>
      </c>
      <c r="M437" s="264" t="s">
        <v>1015</v>
      </c>
      <c r="N437" s="264">
        <v>1</v>
      </c>
      <c r="O437" s="264" t="s">
        <v>829</v>
      </c>
      <c r="P437" s="264" t="s">
        <v>994</v>
      </c>
      <c r="Q437" s="264" t="s">
        <v>1009</v>
      </c>
      <c r="R437" s="264" t="s">
        <v>1010</v>
      </c>
      <c r="S437" s="264" t="s">
        <v>996</v>
      </c>
      <c r="T437" s="264" t="s">
        <v>997</v>
      </c>
      <c r="U437" s="264" t="s">
        <v>995</v>
      </c>
      <c r="V437" s="264" t="s">
        <v>995</v>
      </c>
      <c r="W437" s="264" t="s">
        <v>995</v>
      </c>
      <c r="X437" s="264" t="s">
        <v>828</v>
      </c>
      <c r="Y437" s="264" t="s">
        <v>998</v>
      </c>
      <c r="Z437" s="264">
        <v>31</v>
      </c>
      <c r="AA437" s="264" t="s">
        <v>999</v>
      </c>
      <c r="AB437" s="264">
        <v>31</v>
      </c>
      <c r="AC437" s="264" t="s">
        <v>999</v>
      </c>
      <c r="AD437" s="264" t="s">
        <v>1000</v>
      </c>
      <c r="AE437" s="264" t="s">
        <v>1000</v>
      </c>
      <c r="AF437" s="264" t="s">
        <v>1000</v>
      </c>
      <c r="AG437" s="264" t="s">
        <v>1000</v>
      </c>
      <c r="AH437" s="264" t="s">
        <v>1002</v>
      </c>
      <c r="AI437" s="264" t="s">
        <v>1002</v>
      </c>
      <c r="AJ437" s="264" t="s">
        <v>995</v>
      </c>
      <c r="AK437" s="264" t="s">
        <v>995</v>
      </c>
      <c r="AL437" s="264" t="s">
        <v>995</v>
      </c>
    </row>
    <row r="438" spans="1:38">
      <c r="A438" s="264">
        <v>3522</v>
      </c>
      <c r="B438" s="264" t="s">
        <v>504</v>
      </c>
      <c r="C438" s="264" t="s">
        <v>1525</v>
      </c>
      <c r="D438" s="264" t="s">
        <v>1004</v>
      </c>
      <c r="E438" s="264">
        <v>69011</v>
      </c>
      <c r="F438" s="264" t="s">
        <v>489</v>
      </c>
      <c r="G438" s="389">
        <v>37138</v>
      </c>
      <c r="H438" s="264">
        <v>22</v>
      </c>
      <c r="I438" s="389">
        <v>43922</v>
      </c>
      <c r="K438" s="390">
        <v>43952</v>
      </c>
      <c r="L438" s="264">
        <v>20</v>
      </c>
      <c r="M438" s="264" t="s">
        <v>1015</v>
      </c>
      <c r="N438" s="264">
        <v>1</v>
      </c>
      <c r="O438" s="264" t="s">
        <v>829</v>
      </c>
      <c r="P438" s="264" t="s">
        <v>994</v>
      </c>
      <c r="Q438" s="264" t="s">
        <v>1009</v>
      </c>
      <c r="R438" s="264" t="s">
        <v>1010</v>
      </c>
      <c r="S438" s="264" t="s">
        <v>996</v>
      </c>
      <c r="T438" s="264" t="s">
        <v>997</v>
      </c>
      <c r="U438" s="264" t="s">
        <v>995</v>
      </c>
      <c r="V438" s="264" t="s">
        <v>995</v>
      </c>
      <c r="W438" s="264" t="s">
        <v>995</v>
      </c>
      <c r="X438" s="264" t="s">
        <v>828</v>
      </c>
      <c r="Y438" s="264" t="s">
        <v>998</v>
      </c>
      <c r="Z438" s="264">
        <v>31</v>
      </c>
      <c r="AA438" s="264" t="s">
        <v>999</v>
      </c>
      <c r="AB438" s="264">
        <v>31</v>
      </c>
      <c r="AC438" s="264" t="s">
        <v>999</v>
      </c>
      <c r="AD438" s="264" t="s">
        <v>1000</v>
      </c>
      <c r="AE438" s="264" t="s">
        <v>1000</v>
      </c>
      <c r="AF438" s="264" t="s">
        <v>1000</v>
      </c>
      <c r="AG438" s="264" t="s">
        <v>1000</v>
      </c>
      <c r="AH438" s="264" t="s">
        <v>1002</v>
      </c>
      <c r="AI438" s="264" t="s">
        <v>1002</v>
      </c>
      <c r="AJ438" s="264" t="s">
        <v>995</v>
      </c>
      <c r="AK438" s="264" t="s">
        <v>995</v>
      </c>
      <c r="AL438" s="264" t="s">
        <v>995</v>
      </c>
    </row>
    <row r="439" spans="1:38">
      <c r="A439" s="264">
        <v>3533</v>
      </c>
      <c r="B439" s="264" t="s">
        <v>767</v>
      </c>
      <c r="C439" s="264" t="s">
        <v>1526</v>
      </c>
      <c r="D439" s="264" t="s">
        <v>1004</v>
      </c>
      <c r="E439" s="264">
        <v>69011</v>
      </c>
      <c r="F439" s="264" t="s">
        <v>489</v>
      </c>
      <c r="G439" s="389">
        <v>37380</v>
      </c>
      <c r="H439" s="264">
        <v>21</v>
      </c>
      <c r="I439" s="389">
        <v>44652</v>
      </c>
      <c r="K439" s="390">
        <v>44652</v>
      </c>
      <c r="L439" s="264">
        <v>20</v>
      </c>
      <c r="M439" s="264" t="s">
        <v>1015</v>
      </c>
      <c r="N439" s="264">
        <v>1</v>
      </c>
      <c r="O439" s="264" t="s">
        <v>829</v>
      </c>
      <c r="P439" s="264" t="s">
        <v>994</v>
      </c>
      <c r="Q439" s="264" t="s">
        <v>1009</v>
      </c>
      <c r="R439" s="264" t="s">
        <v>1010</v>
      </c>
      <c r="S439" s="264" t="s">
        <v>996</v>
      </c>
      <c r="T439" s="264" t="s">
        <v>997</v>
      </c>
      <c r="U439" s="264" t="s">
        <v>995</v>
      </c>
      <c r="V439" s="264" t="s">
        <v>995</v>
      </c>
      <c r="W439" s="264" t="s">
        <v>995</v>
      </c>
      <c r="X439" s="264" t="s">
        <v>828</v>
      </c>
      <c r="Y439" s="264" t="s">
        <v>998</v>
      </c>
      <c r="Z439" s="264">
        <v>31</v>
      </c>
      <c r="AA439" s="264" t="s">
        <v>999</v>
      </c>
      <c r="AB439" s="264">
        <v>31</v>
      </c>
      <c r="AC439" s="264" t="s">
        <v>999</v>
      </c>
      <c r="AD439" s="264" t="s">
        <v>1000</v>
      </c>
      <c r="AE439" s="264" t="s">
        <v>1000</v>
      </c>
      <c r="AF439" s="264" t="s">
        <v>1000</v>
      </c>
      <c r="AG439" s="264" t="s">
        <v>1000</v>
      </c>
      <c r="AH439" s="264" t="s">
        <v>1002</v>
      </c>
      <c r="AI439" s="264" t="s">
        <v>1002</v>
      </c>
      <c r="AJ439" s="264" t="s">
        <v>995</v>
      </c>
      <c r="AK439" s="264" t="s">
        <v>995</v>
      </c>
      <c r="AL439" s="264" t="s">
        <v>995</v>
      </c>
    </row>
    <row r="440" spans="1:38">
      <c r="A440" s="264">
        <v>3985</v>
      </c>
      <c r="B440" s="264" t="s">
        <v>497</v>
      </c>
      <c r="C440" s="264" t="s">
        <v>1527</v>
      </c>
      <c r="D440" s="264" t="s">
        <v>1004</v>
      </c>
      <c r="E440" s="264">
        <v>69011</v>
      </c>
      <c r="F440" s="264" t="s">
        <v>489</v>
      </c>
      <c r="G440" s="389">
        <v>24876</v>
      </c>
      <c r="H440" s="264">
        <v>55</v>
      </c>
      <c r="I440" s="389">
        <v>39376</v>
      </c>
      <c r="K440" s="390">
        <v>42278</v>
      </c>
      <c r="L440" s="264">
        <v>20</v>
      </c>
      <c r="M440" s="264" t="s">
        <v>1015</v>
      </c>
      <c r="N440" s="264">
        <v>1</v>
      </c>
      <c r="O440" s="264" t="s">
        <v>829</v>
      </c>
      <c r="P440" s="264" t="s">
        <v>994</v>
      </c>
      <c r="Q440" s="264" t="s">
        <v>1009</v>
      </c>
      <c r="R440" s="264" t="s">
        <v>1010</v>
      </c>
      <c r="S440" s="264" t="s">
        <v>996</v>
      </c>
      <c r="T440" s="264" t="s">
        <v>997</v>
      </c>
      <c r="U440" s="264" t="s">
        <v>995</v>
      </c>
      <c r="V440" s="264" t="s">
        <v>995</v>
      </c>
      <c r="W440" s="264" t="s">
        <v>995</v>
      </c>
      <c r="X440" s="264" t="s">
        <v>828</v>
      </c>
      <c r="Y440" s="264" t="s">
        <v>998</v>
      </c>
      <c r="Z440" s="264">
        <v>31</v>
      </c>
      <c r="AA440" s="264" t="s">
        <v>999</v>
      </c>
      <c r="AB440" s="264">
        <v>31</v>
      </c>
      <c r="AC440" s="264" t="s">
        <v>999</v>
      </c>
      <c r="AD440" s="264" t="s">
        <v>1000</v>
      </c>
      <c r="AE440" s="264" t="s">
        <v>1000</v>
      </c>
      <c r="AF440" s="264" t="s">
        <v>1000</v>
      </c>
      <c r="AG440" s="264" t="s">
        <v>1000</v>
      </c>
      <c r="AH440" s="264" t="s">
        <v>1002</v>
      </c>
      <c r="AI440" s="264" t="s">
        <v>1002</v>
      </c>
      <c r="AJ440" s="264" t="s">
        <v>995</v>
      </c>
      <c r="AK440" s="264" t="s">
        <v>995</v>
      </c>
      <c r="AL440" s="264" t="s">
        <v>995</v>
      </c>
    </row>
    <row r="441" spans="1:38">
      <c r="A441" s="264">
        <v>3991</v>
      </c>
      <c r="B441" s="264" t="s">
        <v>498</v>
      </c>
      <c r="C441" s="264" t="s">
        <v>1528</v>
      </c>
      <c r="D441" s="264" t="s">
        <v>1004</v>
      </c>
      <c r="E441" s="264">
        <v>69011</v>
      </c>
      <c r="F441" s="264" t="s">
        <v>489</v>
      </c>
      <c r="G441" s="389">
        <v>29172</v>
      </c>
      <c r="H441" s="264">
        <v>44</v>
      </c>
      <c r="I441" s="389">
        <v>39387</v>
      </c>
      <c r="K441" s="390">
        <v>42278</v>
      </c>
      <c r="L441" s="264">
        <v>20</v>
      </c>
      <c r="M441" s="264" t="s">
        <v>1015</v>
      </c>
      <c r="N441" s="264">
        <v>1</v>
      </c>
      <c r="O441" s="264" t="s">
        <v>829</v>
      </c>
      <c r="P441" s="264" t="s">
        <v>994</v>
      </c>
      <c r="Q441" s="264" t="s">
        <v>1009</v>
      </c>
      <c r="R441" s="264" t="s">
        <v>1010</v>
      </c>
      <c r="S441" s="264" t="s">
        <v>996</v>
      </c>
      <c r="T441" s="264" t="s">
        <v>997</v>
      </c>
      <c r="U441" s="264" t="s">
        <v>995</v>
      </c>
      <c r="V441" s="264" t="s">
        <v>995</v>
      </c>
      <c r="W441" s="264" t="s">
        <v>995</v>
      </c>
      <c r="X441" s="264" t="s">
        <v>828</v>
      </c>
      <c r="Y441" s="264" t="s">
        <v>998</v>
      </c>
      <c r="Z441" s="264">
        <v>31</v>
      </c>
      <c r="AA441" s="264" t="s">
        <v>999</v>
      </c>
      <c r="AB441" s="264">
        <v>31</v>
      </c>
      <c r="AC441" s="264" t="s">
        <v>999</v>
      </c>
      <c r="AD441" s="264" t="s">
        <v>1000</v>
      </c>
      <c r="AE441" s="264" t="s">
        <v>1000</v>
      </c>
      <c r="AF441" s="264" t="s">
        <v>1000</v>
      </c>
      <c r="AG441" s="264" t="s">
        <v>1000</v>
      </c>
      <c r="AH441" s="264" t="s">
        <v>1002</v>
      </c>
      <c r="AI441" s="264" t="s">
        <v>1002</v>
      </c>
      <c r="AJ441" s="264" t="s">
        <v>995</v>
      </c>
      <c r="AK441" s="264" t="s">
        <v>995</v>
      </c>
      <c r="AL441" s="264" t="s">
        <v>995</v>
      </c>
    </row>
    <row r="442" spans="1:38">
      <c r="A442" s="264">
        <v>3993</v>
      </c>
      <c r="B442" s="264" t="s">
        <v>499</v>
      </c>
      <c r="C442" s="264" t="s">
        <v>1529</v>
      </c>
      <c r="D442" s="264" t="s">
        <v>1004</v>
      </c>
      <c r="E442" s="264">
        <v>69011</v>
      </c>
      <c r="F442" s="264" t="s">
        <v>489</v>
      </c>
      <c r="G442" s="389">
        <v>27418</v>
      </c>
      <c r="H442" s="264">
        <v>49</v>
      </c>
      <c r="I442" s="389">
        <v>39414</v>
      </c>
      <c r="K442" s="390">
        <v>42278</v>
      </c>
      <c r="L442" s="264">
        <v>20</v>
      </c>
      <c r="M442" s="264" t="s">
        <v>1015</v>
      </c>
      <c r="N442" s="264">
        <v>1</v>
      </c>
      <c r="O442" s="264" t="s">
        <v>829</v>
      </c>
      <c r="P442" s="264" t="s">
        <v>994</v>
      </c>
      <c r="Q442" s="264" t="s">
        <v>1009</v>
      </c>
      <c r="R442" s="264" t="s">
        <v>1010</v>
      </c>
      <c r="S442" s="264" t="s">
        <v>996</v>
      </c>
      <c r="T442" s="264" t="s">
        <v>997</v>
      </c>
      <c r="U442" s="264" t="s">
        <v>995</v>
      </c>
      <c r="V442" s="264" t="s">
        <v>995</v>
      </c>
      <c r="W442" s="264" t="s">
        <v>995</v>
      </c>
      <c r="X442" s="264" t="s">
        <v>828</v>
      </c>
      <c r="Y442" s="264" t="s">
        <v>998</v>
      </c>
      <c r="Z442" s="264">
        <v>31</v>
      </c>
      <c r="AA442" s="264" t="s">
        <v>999</v>
      </c>
      <c r="AB442" s="264">
        <v>31</v>
      </c>
      <c r="AC442" s="264" t="s">
        <v>999</v>
      </c>
      <c r="AD442" s="264" t="s">
        <v>1000</v>
      </c>
      <c r="AE442" s="264" t="s">
        <v>1000</v>
      </c>
      <c r="AF442" s="264" t="s">
        <v>1000</v>
      </c>
      <c r="AG442" s="264" t="s">
        <v>1000</v>
      </c>
      <c r="AH442" s="264" t="s">
        <v>1002</v>
      </c>
      <c r="AI442" s="264" t="s">
        <v>1002</v>
      </c>
      <c r="AJ442" s="264" t="s">
        <v>995</v>
      </c>
      <c r="AK442" s="264" t="s">
        <v>995</v>
      </c>
      <c r="AL442" s="264" t="s">
        <v>995</v>
      </c>
    </row>
    <row r="443" spans="1:38">
      <c r="A443" s="264">
        <v>5149</v>
      </c>
      <c r="B443" s="264" t="s">
        <v>494</v>
      </c>
      <c r="C443" s="264" t="s">
        <v>1530</v>
      </c>
      <c r="D443" s="264" t="s">
        <v>1004</v>
      </c>
      <c r="E443" s="264">
        <v>69011</v>
      </c>
      <c r="F443" s="264" t="s">
        <v>489</v>
      </c>
      <c r="G443" s="389">
        <v>25472</v>
      </c>
      <c r="H443" s="264">
        <v>54</v>
      </c>
      <c r="I443" s="389">
        <v>31861</v>
      </c>
      <c r="K443" s="390">
        <v>42278</v>
      </c>
      <c r="L443" s="264">
        <v>20</v>
      </c>
      <c r="M443" s="264" t="s">
        <v>1015</v>
      </c>
      <c r="N443" s="264">
        <v>1</v>
      </c>
      <c r="O443" s="264" t="s">
        <v>829</v>
      </c>
      <c r="P443" s="264" t="s">
        <v>994</v>
      </c>
      <c r="Q443" s="264" t="s">
        <v>1009</v>
      </c>
      <c r="R443" s="264" t="s">
        <v>1010</v>
      </c>
      <c r="S443" s="264" t="s">
        <v>996</v>
      </c>
      <c r="T443" s="264" t="s">
        <v>997</v>
      </c>
      <c r="U443" s="264" t="s">
        <v>995</v>
      </c>
      <c r="V443" s="264" t="s">
        <v>995</v>
      </c>
      <c r="W443" s="264" t="s">
        <v>995</v>
      </c>
      <c r="X443" s="264" t="s">
        <v>828</v>
      </c>
      <c r="Y443" s="264" t="s">
        <v>998</v>
      </c>
      <c r="Z443" s="264">
        <v>31</v>
      </c>
      <c r="AA443" s="264" t="s">
        <v>999</v>
      </c>
      <c r="AB443" s="264">
        <v>31</v>
      </c>
      <c r="AC443" s="264" t="s">
        <v>999</v>
      </c>
      <c r="AD443" s="264" t="s">
        <v>1000</v>
      </c>
      <c r="AE443" s="264" t="s">
        <v>1000</v>
      </c>
      <c r="AF443" s="264" t="s">
        <v>1000</v>
      </c>
      <c r="AG443" s="264" t="s">
        <v>1000</v>
      </c>
      <c r="AH443" s="264" t="s">
        <v>1002</v>
      </c>
      <c r="AI443" s="264" t="s">
        <v>1002</v>
      </c>
      <c r="AJ443" s="264" t="s">
        <v>995</v>
      </c>
      <c r="AK443" s="264" t="s">
        <v>995</v>
      </c>
      <c r="AL443" s="264" t="s">
        <v>995</v>
      </c>
    </row>
    <row r="444" spans="1:38">
      <c r="A444" s="264">
        <v>5165</v>
      </c>
      <c r="B444" s="264" t="s">
        <v>495</v>
      </c>
      <c r="C444" s="264" t="s">
        <v>1531</v>
      </c>
      <c r="D444" s="264" t="s">
        <v>1004</v>
      </c>
      <c r="E444" s="264">
        <v>69011</v>
      </c>
      <c r="F444" s="264" t="s">
        <v>489</v>
      </c>
      <c r="G444" s="389">
        <v>26168</v>
      </c>
      <c r="H444" s="264">
        <v>52</v>
      </c>
      <c r="I444" s="389">
        <v>32227</v>
      </c>
      <c r="K444" s="390">
        <v>42278</v>
      </c>
      <c r="L444" s="264">
        <v>20</v>
      </c>
      <c r="M444" s="264" t="s">
        <v>1015</v>
      </c>
      <c r="N444" s="264">
        <v>1</v>
      </c>
      <c r="O444" s="264" t="s">
        <v>829</v>
      </c>
      <c r="P444" s="264" t="s">
        <v>994</v>
      </c>
      <c r="Q444" s="264" t="s">
        <v>1009</v>
      </c>
      <c r="R444" s="264" t="s">
        <v>1010</v>
      </c>
      <c r="S444" s="264" t="s">
        <v>996</v>
      </c>
      <c r="T444" s="264" t="s">
        <v>997</v>
      </c>
      <c r="U444" s="264" t="s">
        <v>995</v>
      </c>
      <c r="V444" s="264" t="s">
        <v>995</v>
      </c>
      <c r="W444" s="264" t="s">
        <v>995</v>
      </c>
      <c r="X444" s="264" t="s">
        <v>828</v>
      </c>
      <c r="Y444" s="264" t="s">
        <v>998</v>
      </c>
      <c r="Z444" s="264">
        <v>31</v>
      </c>
      <c r="AA444" s="264" t="s">
        <v>999</v>
      </c>
      <c r="AB444" s="264">
        <v>31</v>
      </c>
      <c r="AC444" s="264" t="s">
        <v>999</v>
      </c>
      <c r="AD444" s="264" t="s">
        <v>1000</v>
      </c>
      <c r="AE444" s="264" t="s">
        <v>1000</v>
      </c>
      <c r="AF444" s="264" t="s">
        <v>1000</v>
      </c>
      <c r="AG444" s="264" t="s">
        <v>1000</v>
      </c>
      <c r="AH444" s="264" t="s">
        <v>1002</v>
      </c>
      <c r="AI444" s="264" t="s">
        <v>1002</v>
      </c>
      <c r="AJ444" s="264" t="s">
        <v>995</v>
      </c>
      <c r="AK444" s="264" t="s">
        <v>995</v>
      </c>
      <c r="AL444" s="264" t="s">
        <v>995</v>
      </c>
    </row>
    <row r="445" spans="1:38">
      <c r="A445" s="264">
        <v>5174</v>
      </c>
      <c r="B445" s="264" t="s">
        <v>496</v>
      </c>
      <c r="C445" s="264" t="s">
        <v>1532</v>
      </c>
      <c r="D445" s="264" t="s">
        <v>1004</v>
      </c>
      <c r="E445" s="264">
        <v>69011</v>
      </c>
      <c r="F445" s="264" t="s">
        <v>489</v>
      </c>
      <c r="G445" s="389">
        <v>26936</v>
      </c>
      <c r="H445" s="264">
        <v>50</v>
      </c>
      <c r="I445" s="389">
        <v>32591</v>
      </c>
      <c r="K445" s="390">
        <v>42278</v>
      </c>
      <c r="L445" s="264">
        <v>20</v>
      </c>
      <c r="M445" s="264" t="s">
        <v>1015</v>
      </c>
      <c r="N445" s="264">
        <v>1</v>
      </c>
      <c r="O445" s="264" t="s">
        <v>829</v>
      </c>
      <c r="P445" s="264" t="s">
        <v>994</v>
      </c>
      <c r="Q445" s="264" t="s">
        <v>1009</v>
      </c>
      <c r="R445" s="264" t="s">
        <v>1010</v>
      </c>
      <c r="S445" s="264" t="s">
        <v>996</v>
      </c>
      <c r="T445" s="264" t="s">
        <v>997</v>
      </c>
      <c r="U445" s="264" t="s">
        <v>995</v>
      </c>
      <c r="V445" s="264" t="s">
        <v>995</v>
      </c>
      <c r="W445" s="264" t="s">
        <v>995</v>
      </c>
      <c r="X445" s="264" t="s">
        <v>828</v>
      </c>
      <c r="Y445" s="264" t="s">
        <v>998</v>
      </c>
      <c r="Z445" s="264">
        <v>31</v>
      </c>
      <c r="AA445" s="264" t="s">
        <v>999</v>
      </c>
      <c r="AB445" s="264">
        <v>31</v>
      </c>
      <c r="AC445" s="264" t="s">
        <v>999</v>
      </c>
      <c r="AD445" s="264" t="s">
        <v>1000</v>
      </c>
      <c r="AE445" s="264" t="s">
        <v>1000</v>
      </c>
      <c r="AF445" s="264" t="s">
        <v>1000</v>
      </c>
      <c r="AG445" s="264" t="s">
        <v>1000</v>
      </c>
      <c r="AH445" s="264" t="s">
        <v>1002</v>
      </c>
      <c r="AI445" s="264" t="s">
        <v>1002</v>
      </c>
      <c r="AJ445" s="264" t="s">
        <v>995</v>
      </c>
      <c r="AK445" s="264" t="s">
        <v>995</v>
      </c>
      <c r="AL445" s="264" t="s">
        <v>995</v>
      </c>
    </row>
    <row r="446" spans="1:38">
      <c r="A446" s="264">
        <v>5270</v>
      </c>
      <c r="B446" s="264" t="s">
        <v>458</v>
      </c>
      <c r="C446" s="264" t="s">
        <v>1533</v>
      </c>
      <c r="D446" s="264" t="s">
        <v>1004</v>
      </c>
      <c r="E446" s="264">
        <v>69011</v>
      </c>
      <c r="F446" s="264" t="s">
        <v>489</v>
      </c>
      <c r="G446" s="389">
        <v>29845</v>
      </c>
      <c r="H446" s="264">
        <v>42</v>
      </c>
      <c r="I446" s="389">
        <v>35520</v>
      </c>
      <c r="K446" s="390">
        <v>42278</v>
      </c>
      <c r="L446" s="264">
        <v>20</v>
      </c>
      <c r="M446" s="264" t="s">
        <v>1015</v>
      </c>
      <c r="N446" s="264">
        <v>1</v>
      </c>
      <c r="O446" s="264" t="s">
        <v>829</v>
      </c>
      <c r="P446" s="264" t="s">
        <v>994</v>
      </c>
      <c r="Q446" s="264" t="s">
        <v>1009</v>
      </c>
      <c r="R446" s="264" t="s">
        <v>1010</v>
      </c>
      <c r="S446" s="264" t="s">
        <v>996</v>
      </c>
      <c r="T446" s="264" t="s">
        <v>997</v>
      </c>
      <c r="U446" s="264" t="s">
        <v>995</v>
      </c>
      <c r="V446" s="264" t="s">
        <v>995</v>
      </c>
      <c r="W446" s="264" t="s">
        <v>995</v>
      </c>
      <c r="X446" s="264" t="s">
        <v>828</v>
      </c>
      <c r="Y446" s="264" t="s">
        <v>998</v>
      </c>
      <c r="Z446" s="264">
        <v>31</v>
      </c>
      <c r="AA446" s="264" t="s">
        <v>999</v>
      </c>
      <c r="AB446" s="264">
        <v>31</v>
      </c>
      <c r="AC446" s="264" t="s">
        <v>999</v>
      </c>
      <c r="AD446" s="264" t="s">
        <v>1000</v>
      </c>
      <c r="AE446" s="264" t="s">
        <v>1000</v>
      </c>
      <c r="AF446" s="264" t="s">
        <v>1000</v>
      </c>
      <c r="AG446" s="264" t="s">
        <v>1000</v>
      </c>
      <c r="AH446" s="264" t="s">
        <v>1002</v>
      </c>
      <c r="AI446" s="264" t="s">
        <v>1002</v>
      </c>
      <c r="AJ446" s="264" t="s">
        <v>995</v>
      </c>
      <c r="AK446" s="264" t="s">
        <v>995</v>
      </c>
      <c r="AL446" s="264" t="s">
        <v>995</v>
      </c>
    </row>
    <row r="447" spans="1:38">
      <c r="A447" s="264">
        <v>7907</v>
      </c>
      <c r="B447" s="264" t="s">
        <v>591</v>
      </c>
      <c r="C447" s="264" t="s">
        <v>1534</v>
      </c>
      <c r="D447" s="264" t="s">
        <v>991</v>
      </c>
      <c r="E447" s="264">
        <v>69021</v>
      </c>
      <c r="F447" s="264" t="s">
        <v>489</v>
      </c>
      <c r="G447" s="389">
        <v>24848</v>
      </c>
      <c r="H447" s="264">
        <v>56</v>
      </c>
      <c r="I447" s="389">
        <v>38925</v>
      </c>
      <c r="K447" s="390">
        <v>42278</v>
      </c>
      <c r="L447" s="264">
        <v>70</v>
      </c>
      <c r="M447" s="264" t="s">
        <v>1024</v>
      </c>
      <c r="N447" s="264">
        <v>1</v>
      </c>
      <c r="O447" s="264" t="s">
        <v>829</v>
      </c>
      <c r="P447" s="264" t="s">
        <v>994</v>
      </c>
      <c r="Q447" s="264" t="s">
        <v>1009</v>
      </c>
      <c r="R447" s="264" t="s">
        <v>1010</v>
      </c>
      <c r="S447" s="264" t="s">
        <v>996</v>
      </c>
      <c r="T447" s="264" t="s">
        <v>997</v>
      </c>
      <c r="U447" s="264" t="s">
        <v>995</v>
      </c>
      <c r="V447" s="264" t="s">
        <v>995</v>
      </c>
      <c r="W447" s="264" t="s">
        <v>995</v>
      </c>
      <c r="X447" s="264" t="s">
        <v>828</v>
      </c>
      <c r="Y447" s="264" t="s">
        <v>998</v>
      </c>
      <c r="Z447" s="264">
        <v>31</v>
      </c>
      <c r="AA447" s="264" t="s">
        <v>999</v>
      </c>
      <c r="AB447" s="264">
        <v>31</v>
      </c>
      <c r="AC447" s="264" t="s">
        <v>999</v>
      </c>
      <c r="AD447" s="264" t="s">
        <v>1000</v>
      </c>
      <c r="AE447" s="264" t="s">
        <v>1000</v>
      </c>
      <c r="AF447" s="264" t="s">
        <v>1000</v>
      </c>
      <c r="AG447" s="264" t="s">
        <v>1000</v>
      </c>
      <c r="AH447" s="264" t="s">
        <v>1002</v>
      </c>
      <c r="AI447" s="264" t="s">
        <v>1002</v>
      </c>
      <c r="AJ447" s="264" t="s">
        <v>995</v>
      </c>
      <c r="AK447" s="264" t="s">
        <v>995</v>
      </c>
      <c r="AL447" s="264" t="s">
        <v>995</v>
      </c>
    </row>
    <row r="448" spans="1:38">
      <c r="A448" s="264">
        <v>8140</v>
      </c>
      <c r="B448" s="264" t="s">
        <v>601</v>
      </c>
      <c r="C448" s="264" t="s">
        <v>1535</v>
      </c>
      <c r="D448" s="264" t="s">
        <v>991</v>
      </c>
      <c r="E448" s="264">
        <v>69021</v>
      </c>
      <c r="F448" s="264" t="s">
        <v>489</v>
      </c>
      <c r="G448" s="389">
        <v>24087</v>
      </c>
      <c r="H448" s="264">
        <v>58</v>
      </c>
      <c r="I448" s="389">
        <v>41867</v>
      </c>
      <c r="K448" s="390">
        <v>42278</v>
      </c>
      <c r="L448" s="264">
        <v>70</v>
      </c>
      <c r="M448" s="264" t="s">
        <v>1024</v>
      </c>
      <c r="N448" s="264">
        <v>1</v>
      </c>
      <c r="O448" s="264" t="s">
        <v>829</v>
      </c>
      <c r="P448" s="264" t="s">
        <v>994</v>
      </c>
      <c r="Q448" s="264" t="s">
        <v>1009</v>
      </c>
      <c r="R448" s="264" t="s">
        <v>1010</v>
      </c>
      <c r="S448" s="264" t="s">
        <v>996</v>
      </c>
      <c r="T448" s="264" t="s">
        <v>997</v>
      </c>
      <c r="U448" s="264" t="s">
        <v>995</v>
      </c>
      <c r="V448" s="264" t="s">
        <v>995</v>
      </c>
      <c r="W448" s="264" t="s">
        <v>995</v>
      </c>
      <c r="X448" s="264" t="s">
        <v>828</v>
      </c>
      <c r="Y448" s="264" t="s">
        <v>998</v>
      </c>
      <c r="Z448" s="264">
        <v>31</v>
      </c>
      <c r="AA448" s="264" t="s">
        <v>999</v>
      </c>
      <c r="AB448" s="264">
        <v>31</v>
      </c>
      <c r="AC448" s="264" t="s">
        <v>999</v>
      </c>
      <c r="AD448" s="264" t="s">
        <v>1000</v>
      </c>
      <c r="AE448" s="264" t="s">
        <v>1000</v>
      </c>
      <c r="AF448" s="264" t="s">
        <v>1000</v>
      </c>
      <c r="AG448" s="264" t="s">
        <v>1000</v>
      </c>
      <c r="AH448" s="264" t="s">
        <v>1002</v>
      </c>
      <c r="AI448" s="264" t="s">
        <v>1002</v>
      </c>
      <c r="AJ448" s="264" t="s">
        <v>995</v>
      </c>
      <c r="AK448" s="264" t="s">
        <v>995</v>
      </c>
      <c r="AL448" s="264" t="s">
        <v>995</v>
      </c>
    </row>
    <row r="449" spans="1:38">
      <c r="A449" s="264">
        <v>1346</v>
      </c>
      <c r="B449" s="264" t="s">
        <v>524</v>
      </c>
      <c r="C449" s="264" t="s">
        <v>1463</v>
      </c>
      <c r="D449" s="264" t="s">
        <v>991</v>
      </c>
      <c r="E449" s="264">
        <v>66011</v>
      </c>
      <c r="F449" s="264" t="s">
        <v>449</v>
      </c>
      <c r="G449" s="389">
        <v>32585</v>
      </c>
      <c r="H449" s="264">
        <v>34</v>
      </c>
      <c r="I449" s="389">
        <v>39528</v>
      </c>
      <c r="K449" s="390">
        <v>44743</v>
      </c>
      <c r="L449" s="264">
        <v>20</v>
      </c>
      <c r="M449" s="264" t="s">
        <v>1015</v>
      </c>
      <c r="N449" s="264">
        <v>1</v>
      </c>
      <c r="O449" s="264" t="s">
        <v>829</v>
      </c>
      <c r="P449" s="264" t="s">
        <v>994</v>
      </c>
      <c r="Q449" s="264" t="s">
        <v>1009</v>
      </c>
      <c r="R449" s="264" t="s">
        <v>1010</v>
      </c>
      <c r="S449" s="264" t="s">
        <v>996</v>
      </c>
      <c r="T449" s="264" t="s">
        <v>997</v>
      </c>
      <c r="U449" s="264" t="s">
        <v>995</v>
      </c>
      <c r="V449" s="264" t="s">
        <v>995</v>
      </c>
      <c r="W449" s="264" t="s">
        <v>995</v>
      </c>
      <c r="X449" s="264" t="s">
        <v>828</v>
      </c>
      <c r="Y449" s="264" t="s">
        <v>998</v>
      </c>
      <c r="Z449" s="264">
        <v>31</v>
      </c>
      <c r="AA449" s="264" t="s">
        <v>999</v>
      </c>
      <c r="AB449" s="264">
        <v>31</v>
      </c>
      <c r="AC449" s="264" t="s">
        <v>999</v>
      </c>
      <c r="AD449" s="264" t="s">
        <v>1000</v>
      </c>
      <c r="AE449" s="264" t="s">
        <v>1000</v>
      </c>
      <c r="AF449" s="264" t="s">
        <v>1000</v>
      </c>
      <c r="AG449" s="264" t="s">
        <v>1000</v>
      </c>
      <c r="AH449" s="264" t="s">
        <v>1002</v>
      </c>
      <c r="AI449" s="264" t="s">
        <v>1002</v>
      </c>
      <c r="AJ449" s="264" t="s">
        <v>995</v>
      </c>
      <c r="AK449" s="264" t="s">
        <v>995</v>
      </c>
      <c r="AL449" s="264" t="s">
        <v>995</v>
      </c>
    </row>
    <row r="450" spans="1:38">
      <c r="A450" s="264">
        <v>1352</v>
      </c>
      <c r="B450" s="264" t="s">
        <v>457</v>
      </c>
      <c r="C450" s="264" t="s">
        <v>1464</v>
      </c>
      <c r="D450" s="264" t="s">
        <v>1004</v>
      </c>
      <c r="E450" s="264">
        <v>66011</v>
      </c>
      <c r="F450" s="264" t="s">
        <v>449</v>
      </c>
      <c r="G450" s="389">
        <v>26953</v>
      </c>
      <c r="H450" s="264">
        <v>50</v>
      </c>
      <c r="I450" s="389">
        <v>39559</v>
      </c>
      <c r="K450" s="390">
        <v>42278</v>
      </c>
      <c r="L450" s="264">
        <v>20</v>
      </c>
      <c r="M450" s="264" t="s">
        <v>1015</v>
      </c>
      <c r="N450" s="264">
        <v>1</v>
      </c>
      <c r="O450" s="264" t="s">
        <v>829</v>
      </c>
      <c r="P450" s="264" t="s">
        <v>994</v>
      </c>
      <c r="Q450" s="264" t="s">
        <v>1009</v>
      </c>
      <c r="R450" s="264" t="s">
        <v>1010</v>
      </c>
      <c r="S450" s="264" t="s">
        <v>996</v>
      </c>
      <c r="T450" s="264" t="s">
        <v>997</v>
      </c>
      <c r="U450" s="264" t="s">
        <v>995</v>
      </c>
      <c r="V450" s="264" t="s">
        <v>995</v>
      </c>
      <c r="W450" s="264" t="s">
        <v>995</v>
      </c>
      <c r="X450" s="264" t="s">
        <v>828</v>
      </c>
      <c r="Y450" s="264" t="s">
        <v>998</v>
      </c>
      <c r="Z450" s="264">
        <v>31</v>
      </c>
      <c r="AA450" s="264" t="s">
        <v>999</v>
      </c>
      <c r="AB450" s="264">
        <v>31</v>
      </c>
      <c r="AC450" s="264" t="s">
        <v>999</v>
      </c>
      <c r="AD450" s="264" t="s">
        <v>1000</v>
      </c>
      <c r="AE450" s="264" t="s">
        <v>1000</v>
      </c>
      <c r="AF450" s="264" t="s">
        <v>1000</v>
      </c>
      <c r="AG450" s="264" t="s">
        <v>1000</v>
      </c>
      <c r="AH450" s="264" t="s">
        <v>1002</v>
      </c>
      <c r="AI450" s="264" t="s">
        <v>1002</v>
      </c>
      <c r="AJ450" s="264" t="s">
        <v>995</v>
      </c>
      <c r="AK450" s="264" t="s">
        <v>995</v>
      </c>
      <c r="AL450" s="264" t="s">
        <v>995</v>
      </c>
    </row>
    <row r="451" spans="1:38">
      <c r="A451" s="264">
        <v>1383</v>
      </c>
      <c r="B451" s="264" t="s">
        <v>263</v>
      </c>
      <c r="C451" s="264" t="s">
        <v>1465</v>
      </c>
      <c r="D451" s="264" t="s">
        <v>1004</v>
      </c>
      <c r="E451" s="264">
        <v>66011</v>
      </c>
      <c r="F451" s="264" t="s">
        <v>449</v>
      </c>
      <c r="G451" s="389">
        <v>31281</v>
      </c>
      <c r="H451" s="264">
        <v>38</v>
      </c>
      <c r="I451" s="389">
        <v>41155</v>
      </c>
      <c r="K451" s="390">
        <v>42278</v>
      </c>
      <c r="L451" s="264">
        <v>20</v>
      </c>
      <c r="M451" s="264" t="s">
        <v>1015</v>
      </c>
      <c r="N451" s="264">
        <v>1</v>
      </c>
      <c r="O451" s="264" t="s">
        <v>829</v>
      </c>
      <c r="P451" s="264" t="s">
        <v>994</v>
      </c>
      <c r="Q451" s="264" t="s">
        <v>1009</v>
      </c>
      <c r="R451" s="264" t="s">
        <v>1010</v>
      </c>
      <c r="S451" s="264" t="s">
        <v>996</v>
      </c>
      <c r="T451" s="264" t="s">
        <v>997</v>
      </c>
      <c r="U451" s="264" t="s">
        <v>995</v>
      </c>
      <c r="V451" s="264" t="s">
        <v>995</v>
      </c>
      <c r="W451" s="264" t="s">
        <v>995</v>
      </c>
      <c r="X451" s="264" t="s">
        <v>828</v>
      </c>
      <c r="Y451" s="264" t="s">
        <v>998</v>
      </c>
      <c r="Z451" s="264">
        <v>31</v>
      </c>
      <c r="AA451" s="264" t="s">
        <v>999</v>
      </c>
      <c r="AB451" s="264">
        <v>31</v>
      </c>
      <c r="AC451" s="264" t="s">
        <v>999</v>
      </c>
      <c r="AD451" s="264" t="s">
        <v>1000</v>
      </c>
      <c r="AE451" s="264" t="s">
        <v>1000</v>
      </c>
      <c r="AF451" s="264" t="s">
        <v>1000</v>
      </c>
      <c r="AG451" s="264" t="s">
        <v>1000</v>
      </c>
      <c r="AH451" s="264" t="s">
        <v>1002</v>
      </c>
      <c r="AI451" s="264" t="s">
        <v>1002</v>
      </c>
      <c r="AJ451" s="264" t="s">
        <v>995</v>
      </c>
      <c r="AK451" s="264" t="s">
        <v>995</v>
      </c>
      <c r="AL451" s="264" t="s">
        <v>995</v>
      </c>
    </row>
    <row r="452" spans="1:38">
      <c r="A452" s="264">
        <v>1390</v>
      </c>
      <c r="B452" s="264" t="s">
        <v>461</v>
      </c>
      <c r="C452" s="264" t="s">
        <v>1466</v>
      </c>
      <c r="D452" s="264" t="s">
        <v>1004</v>
      </c>
      <c r="E452" s="264">
        <v>66011</v>
      </c>
      <c r="F452" s="264" t="s">
        <v>449</v>
      </c>
      <c r="G452" s="389">
        <v>24963</v>
      </c>
      <c r="H452" s="264">
        <v>55</v>
      </c>
      <c r="I452" s="389">
        <v>41913</v>
      </c>
      <c r="K452" s="390">
        <v>42278</v>
      </c>
      <c r="L452" s="264">
        <v>20</v>
      </c>
      <c r="M452" s="264" t="s">
        <v>1015</v>
      </c>
      <c r="N452" s="264">
        <v>1</v>
      </c>
      <c r="O452" s="264" t="s">
        <v>829</v>
      </c>
      <c r="P452" s="264" t="s">
        <v>994</v>
      </c>
      <c r="Q452" s="264" t="s">
        <v>1009</v>
      </c>
      <c r="R452" s="264" t="s">
        <v>1010</v>
      </c>
      <c r="S452" s="264" t="s">
        <v>996</v>
      </c>
      <c r="T452" s="264" t="s">
        <v>997</v>
      </c>
      <c r="U452" s="264" t="s">
        <v>995</v>
      </c>
      <c r="V452" s="264" t="s">
        <v>995</v>
      </c>
      <c r="W452" s="264" t="s">
        <v>995</v>
      </c>
      <c r="X452" s="264" t="s">
        <v>828</v>
      </c>
      <c r="Y452" s="264" t="s">
        <v>998</v>
      </c>
      <c r="Z452" s="264">
        <v>31</v>
      </c>
      <c r="AA452" s="264" t="s">
        <v>999</v>
      </c>
      <c r="AB452" s="264">
        <v>31</v>
      </c>
      <c r="AC452" s="264" t="s">
        <v>999</v>
      </c>
      <c r="AD452" s="264" t="s">
        <v>1000</v>
      </c>
      <c r="AE452" s="264" t="s">
        <v>1000</v>
      </c>
      <c r="AF452" s="264" t="s">
        <v>1000</v>
      </c>
      <c r="AG452" s="264" t="s">
        <v>1000</v>
      </c>
      <c r="AH452" s="264" t="s">
        <v>1002</v>
      </c>
      <c r="AI452" s="264" t="s">
        <v>1002</v>
      </c>
      <c r="AJ452" s="264" t="s">
        <v>995</v>
      </c>
      <c r="AK452" s="264" t="s">
        <v>995</v>
      </c>
      <c r="AL452" s="264" t="s">
        <v>995</v>
      </c>
    </row>
    <row r="453" spans="1:38">
      <c r="A453" s="264">
        <v>1393</v>
      </c>
      <c r="B453" s="264" t="s">
        <v>509</v>
      </c>
      <c r="C453" s="264" t="s">
        <v>1467</v>
      </c>
      <c r="D453" s="264" t="s">
        <v>1004</v>
      </c>
      <c r="E453" s="264">
        <v>66011</v>
      </c>
      <c r="F453" s="264" t="s">
        <v>449</v>
      </c>
      <c r="G453" s="389">
        <v>31371</v>
      </c>
      <c r="H453" s="264">
        <v>38</v>
      </c>
      <c r="I453" s="389">
        <v>42036</v>
      </c>
      <c r="K453" s="390">
        <v>42278</v>
      </c>
      <c r="L453" s="264">
        <v>20</v>
      </c>
      <c r="M453" s="264" t="s">
        <v>1015</v>
      </c>
      <c r="N453" s="264">
        <v>1</v>
      </c>
      <c r="O453" s="264" t="s">
        <v>829</v>
      </c>
      <c r="P453" s="264" t="s">
        <v>994</v>
      </c>
      <c r="Q453" s="264" t="s">
        <v>1009</v>
      </c>
      <c r="R453" s="264" t="s">
        <v>1010</v>
      </c>
      <c r="S453" s="264" t="s">
        <v>996</v>
      </c>
      <c r="T453" s="264" t="s">
        <v>997</v>
      </c>
      <c r="U453" s="264" t="s">
        <v>995</v>
      </c>
      <c r="V453" s="264" t="s">
        <v>995</v>
      </c>
      <c r="W453" s="264" t="s">
        <v>995</v>
      </c>
      <c r="X453" s="264" t="s">
        <v>828</v>
      </c>
      <c r="Y453" s="264" t="s">
        <v>998</v>
      </c>
      <c r="Z453" s="264">
        <v>31</v>
      </c>
      <c r="AA453" s="264" t="s">
        <v>999</v>
      </c>
      <c r="AB453" s="264">
        <v>31</v>
      </c>
      <c r="AC453" s="264" t="s">
        <v>999</v>
      </c>
      <c r="AD453" s="264" t="s">
        <v>1000</v>
      </c>
      <c r="AE453" s="264" t="s">
        <v>1000</v>
      </c>
      <c r="AF453" s="264" t="s">
        <v>1000</v>
      </c>
      <c r="AG453" s="264" t="s">
        <v>1000</v>
      </c>
      <c r="AH453" s="264" t="s">
        <v>1002</v>
      </c>
      <c r="AI453" s="264" t="s">
        <v>1002</v>
      </c>
      <c r="AJ453" s="264" t="s">
        <v>995</v>
      </c>
      <c r="AK453" s="264" t="s">
        <v>995</v>
      </c>
      <c r="AL453" s="264" t="s">
        <v>995</v>
      </c>
    </row>
    <row r="454" spans="1:38">
      <c r="A454" s="264">
        <v>1402</v>
      </c>
      <c r="B454" s="264" t="s">
        <v>462</v>
      </c>
      <c r="C454" s="264" t="s">
        <v>1468</v>
      </c>
      <c r="D454" s="264" t="s">
        <v>1004</v>
      </c>
      <c r="E454" s="264">
        <v>66011</v>
      </c>
      <c r="F454" s="264" t="s">
        <v>449</v>
      </c>
      <c r="G454" s="389">
        <v>33177</v>
      </c>
      <c r="H454" s="264">
        <v>33</v>
      </c>
      <c r="I454" s="389">
        <v>43453</v>
      </c>
      <c r="K454" s="390">
        <v>43586</v>
      </c>
      <c r="L454" s="264">
        <v>20</v>
      </c>
      <c r="M454" s="264" t="s">
        <v>1015</v>
      </c>
      <c r="N454" s="264">
        <v>1</v>
      </c>
      <c r="O454" s="264" t="s">
        <v>829</v>
      </c>
      <c r="P454" s="264" t="s">
        <v>994</v>
      </c>
      <c r="Q454" s="264" t="s">
        <v>1009</v>
      </c>
      <c r="R454" s="264" t="s">
        <v>1010</v>
      </c>
      <c r="S454" s="264" t="s">
        <v>996</v>
      </c>
      <c r="T454" s="264" t="s">
        <v>997</v>
      </c>
      <c r="U454" s="264" t="s">
        <v>995</v>
      </c>
      <c r="V454" s="264" t="s">
        <v>995</v>
      </c>
      <c r="W454" s="264" t="s">
        <v>995</v>
      </c>
      <c r="X454" s="264" t="s">
        <v>828</v>
      </c>
      <c r="Y454" s="264" t="s">
        <v>998</v>
      </c>
      <c r="Z454" s="264">
        <v>31</v>
      </c>
      <c r="AA454" s="264" t="s">
        <v>999</v>
      </c>
      <c r="AB454" s="264">
        <v>31</v>
      </c>
      <c r="AC454" s="264" t="s">
        <v>999</v>
      </c>
      <c r="AD454" s="264" t="s">
        <v>1000</v>
      </c>
      <c r="AE454" s="264" t="s">
        <v>1000</v>
      </c>
      <c r="AF454" s="264" t="s">
        <v>1000</v>
      </c>
      <c r="AG454" s="264" t="s">
        <v>1000</v>
      </c>
      <c r="AH454" s="264" t="s">
        <v>1002</v>
      </c>
      <c r="AI454" s="264" t="s">
        <v>1002</v>
      </c>
      <c r="AJ454" s="264" t="s">
        <v>995</v>
      </c>
      <c r="AK454" s="264" t="s">
        <v>995</v>
      </c>
      <c r="AL454" s="264" t="s">
        <v>995</v>
      </c>
    </row>
    <row r="455" spans="1:38">
      <c r="A455" s="264">
        <v>2699</v>
      </c>
      <c r="B455" s="264" t="s">
        <v>439</v>
      </c>
      <c r="C455" s="264" t="s">
        <v>1469</v>
      </c>
      <c r="D455" s="264" t="s">
        <v>1004</v>
      </c>
      <c r="E455" s="264">
        <v>66011</v>
      </c>
      <c r="F455" s="264" t="s">
        <v>449</v>
      </c>
      <c r="G455" s="389">
        <v>24142</v>
      </c>
      <c r="H455" s="264">
        <v>57</v>
      </c>
      <c r="I455" s="389">
        <v>30770</v>
      </c>
      <c r="K455" s="390">
        <v>42278</v>
      </c>
      <c r="L455" s="264">
        <v>20</v>
      </c>
      <c r="M455" s="264" t="s">
        <v>1015</v>
      </c>
      <c r="N455" s="264">
        <v>1</v>
      </c>
      <c r="O455" s="264" t="s">
        <v>829</v>
      </c>
      <c r="P455" s="264" t="s">
        <v>994</v>
      </c>
      <c r="Q455" s="264" t="s">
        <v>1009</v>
      </c>
      <c r="R455" s="264" t="s">
        <v>1010</v>
      </c>
      <c r="S455" s="264" t="s">
        <v>996</v>
      </c>
      <c r="T455" s="264" t="s">
        <v>997</v>
      </c>
      <c r="U455" s="264" t="s">
        <v>995</v>
      </c>
      <c r="V455" s="264" t="s">
        <v>995</v>
      </c>
      <c r="W455" s="264" t="s">
        <v>995</v>
      </c>
      <c r="X455" s="264" t="s">
        <v>828</v>
      </c>
      <c r="Y455" s="264" t="s">
        <v>998</v>
      </c>
      <c r="Z455" s="264">
        <v>31</v>
      </c>
      <c r="AA455" s="264" t="s">
        <v>999</v>
      </c>
      <c r="AB455" s="264">
        <v>31</v>
      </c>
      <c r="AC455" s="264" t="s">
        <v>999</v>
      </c>
      <c r="AD455" s="264" t="s">
        <v>1000</v>
      </c>
      <c r="AE455" s="264" t="s">
        <v>1000</v>
      </c>
      <c r="AF455" s="264" t="s">
        <v>1000</v>
      </c>
      <c r="AG455" s="264" t="s">
        <v>1000</v>
      </c>
      <c r="AH455" s="264" t="s">
        <v>1002</v>
      </c>
      <c r="AI455" s="264" t="s">
        <v>1002</v>
      </c>
      <c r="AJ455" s="264" t="s">
        <v>995</v>
      </c>
      <c r="AK455" s="264" t="s">
        <v>995</v>
      </c>
      <c r="AL455" s="264" t="s">
        <v>995</v>
      </c>
    </row>
    <row r="456" spans="1:38">
      <c r="A456" s="264">
        <v>2722</v>
      </c>
      <c r="B456" s="264" t="s">
        <v>453</v>
      </c>
      <c r="C456" s="264" t="s">
        <v>1470</v>
      </c>
      <c r="D456" s="264" t="s">
        <v>1004</v>
      </c>
      <c r="E456" s="264">
        <v>66011</v>
      </c>
      <c r="F456" s="264" t="s">
        <v>449</v>
      </c>
      <c r="G456" s="389">
        <v>23500</v>
      </c>
      <c r="H456" s="264">
        <v>59</v>
      </c>
      <c r="I456" s="389">
        <v>31131</v>
      </c>
      <c r="K456" s="390">
        <v>42278</v>
      </c>
      <c r="L456" s="264">
        <v>20</v>
      </c>
      <c r="M456" s="264" t="s">
        <v>1015</v>
      </c>
      <c r="N456" s="264">
        <v>1</v>
      </c>
      <c r="O456" s="264" t="s">
        <v>829</v>
      </c>
      <c r="P456" s="264" t="s">
        <v>994</v>
      </c>
      <c r="Q456" s="264" t="s">
        <v>1009</v>
      </c>
      <c r="R456" s="264" t="s">
        <v>1010</v>
      </c>
      <c r="S456" s="264" t="s">
        <v>996</v>
      </c>
      <c r="T456" s="264" t="s">
        <v>997</v>
      </c>
      <c r="U456" s="264" t="s">
        <v>995</v>
      </c>
      <c r="V456" s="264" t="s">
        <v>995</v>
      </c>
      <c r="W456" s="264" t="s">
        <v>995</v>
      </c>
      <c r="X456" s="264" t="s">
        <v>828</v>
      </c>
      <c r="Y456" s="264" t="s">
        <v>998</v>
      </c>
      <c r="Z456" s="264">
        <v>31</v>
      </c>
      <c r="AA456" s="264" t="s">
        <v>999</v>
      </c>
      <c r="AB456" s="264">
        <v>31</v>
      </c>
      <c r="AC456" s="264" t="s">
        <v>999</v>
      </c>
      <c r="AD456" s="264" t="s">
        <v>1000</v>
      </c>
      <c r="AE456" s="264" t="s">
        <v>1000</v>
      </c>
      <c r="AF456" s="264" t="s">
        <v>1000</v>
      </c>
      <c r="AG456" s="264" t="s">
        <v>1000</v>
      </c>
      <c r="AH456" s="264" t="s">
        <v>1002</v>
      </c>
      <c r="AI456" s="264" t="s">
        <v>1002</v>
      </c>
      <c r="AJ456" s="264" t="s">
        <v>995</v>
      </c>
      <c r="AK456" s="264" t="s">
        <v>995</v>
      </c>
      <c r="AL456" s="264" t="s">
        <v>995</v>
      </c>
    </row>
    <row r="457" spans="1:38">
      <c r="A457" s="264">
        <v>3099</v>
      </c>
      <c r="B457" s="264" t="s">
        <v>448</v>
      </c>
      <c r="C457" s="264" t="s">
        <v>1471</v>
      </c>
      <c r="D457" s="264" t="s">
        <v>1004</v>
      </c>
      <c r="E457" s="264">
        <v>66011</v>
      </c>
      <c r="F457" s="264" t="s">
        <v>449</v>
      </c>
      <c r="G457" s="389">
        <v>27767</v>
      </c>
      <c r="H457" s="264">
        <v>48</v>
      </c>
      <c r="I457" s="389">
        <v>35145</v>
      </c>
      <c r="K457" s="390">
        <v>42278</v>
      </c>
      <c r="L457" s="264">
        <v>20</v>
      </c>
      <c r="M457" s="264" t="s">
        <v>1015</v>
      </c>
      <c r="N457" s="264">
        <v>1</v>
      </c>
      <c r="O457" s="264" t="s">
        <v>829</v>
      </c>
      <c r="P457" s="264" t="s">
        <v>994</v>
      </c>
      <c r="Q457" s="264" t="s">
        <v>1009</v>
      </c>
      <c r="R457" s="264" t="s">
        <v>1010</v>
      </c>
      <c r="S457" s="264" t="s">
        <v>996</v>
      </c>
      <c r="T457" s="264" t="s">
        <v>997</v>
      </c>
      <c r="U457" s="264" t="s">
        <v>995</v>
      </c>
      <c r="V457" s="264" t="s">
        <v>995</v>
      </c>
      <c r="W457" s="264" t="s">
        <v>995</v>
      </c>
      <c r="X457" s="264" t="s">
        <v>828</v>
      </c>
      <c r="Y457" s="264" t="s">
        <v>998</v>
      </c>
      <c r="Z457" s="264">
        <v>31</v>
      </c>
      <c r="AA457" s="264" t="s">
        <v>999</v>
      </c>
      <c r="AB457" s="264">
        <v>31</v>
      </c>
      <c r="AC457" s="264" t="s">
        <v>999</v>
      </c>
      <c r="AD457" s="264" t="s">
        <v>1000</v>
      </c>
      <c r="AE457" s="264" t="s">
        <v>1000</v>
      </c>
      <c r="AF457" s="264" t="s">
        <v>1000</v>
      </c>
      <c r="AG457" s="264" t="s">
        <v>1000</v>
      </c>
      <c r="AH457" s="264" t="s">
        <v>1002</v>
      </c>
      <c r="AI457" s="264" t="s">
        <v>1002</v>
      </c>
      <c r="AJ457" s="264" t="s">
        <v>995</v>
      </c>
      <c r="AK457" s="264" t="s">
        <v>995</v>
      </c>
      <c r="AL457" s="264" t="s">
        <v>995</v>
      </c>
    </row>
    <row r="458" spans="1:38">
      <c r="A458" s="264">
        <v>3140</v>
      </c>
      <c r="B458" s="264" t="s">
        <v>442</v>
      </c>
      <c r="C458" s="264" t="s">
        <v>1455</v>
      </c>
      <c r="D458" s="264" t="s">
        <v>1004</v>
      </c>
      <c r="E458" s="264">
        <v>65011</v>
      </c>
      <c r="F458" s="264" t="s">
        <v>433</v>
      </c>
      <c r="G458" s="389">
        <v>28201</v>
      </c>
      <c r="H458" s="264">
        <v>46</v>
      </c>
      <c r="I458" s="389">
        <v>35510</v>
      </c>
      <c r="K458" s="390">
        <v>42278</v>
      </c>
      <c r="L458" s="264">
        <v>20</v>
      </c>
      <c r="M458" s="264" t="s">
        <v>1015</v>
      </c>
      <c r="N458" s="264">
        <v>1</v>
      </c>
      <c r="O458" s="264" t="s">
        <v>829</v>
      </c>
      <c r="P458" s="264" t="s">
        <v>994</v>
      </c>
      <c r="Q458" s="264" t="s">
        <v>1009</v>
      </c>
      <c r="R458" s="264" t="s">
        <v>1010</v>
      </c>
      <c r="S458" s="264" t="s">
        <v>996</v>
      </c>
      <c r="T458" s="264" t="s">
        <v>997</v>
      </c>
      <c r="U458" s="264" t="s">
        <v>995</v>
      </c>
      <c r="V458" s="264" t="s">
        <v>995</v>
      </c>
      <c r="W458" s="264" t="s">
        <v>995</v>
      </c>
      <c r="X458" s="264" t="s">
        <v>828</v>
      </c>
      <c r="Y458" s="264" t="s">
        <v>998</v>
      </c>
      <c r="Z458" s="264">
        <v>31</v>
      </c>
      <c r="AA458" s="264" t="s">
        <v>999</v>
      </c>
      <c r="AB458" s="264">
        <v>31</v>
      </c>
      <c r="AC458" s="264" t="s">
        <v>999</v>
      </c>
      <c r="AD458" s="264" t="s">
        <v>1000</v>
      </c>
      <c r="AE458" s="264" t="s">
        <v>1000</v>
      </c>
      <c r="AF458" s="264" t="s">
        <v>1000</v>
      </c>
      <c r="AG458" s="264" t="s">
        <v>1000</v>
      </c>
      <c r="AH458" s="264" t="s">
        <v>1002</v>
      </c>
      <c r="AI458" s="264" t="s">
        <v>1002</v>
      </c>
      <c r="AJ458" s="264" t="s">
        <v>995</v>
      </c>
      <c r="AK458" s="264" t="s">
        <v>995</v>
      </c>
      <c r="AL458" s="264" t="s">
        <v>995</v>
      </c>
    </row>
    <row r="459" spans="1:38">
      <c r="A459" s="264">
        <v>3386</v>
      </c>
      <c r="B459" s="264" t="s">
        <v>525</v>
      </c>
      <c r="C459" s="264" t="s">
        <v>1472</v>
      </c>
      <c r="D459" s="264" t="s">
        <v>991</v>
      </c>
      <c r="E459" s="264">
        <v>66011</v>
      </c>
      <c r="F459" s="264" t="s">
        <v>449</v>
      </c>
      <c r="G459" s="389">
        <v>34338</v>
      </c>
      <c r="H459" s="264">
        <v>30</v>
      </c>
      <c r="I459" s="389">
        <v>40989</v>
      </c>
      <c r="K459" s="390">
        <v>45200</v>
      </c>
      <c r="L459" s="264">
        <v>20</v>
      </c>
      <c r="M459" s="264" t="s">
        <v>1015</v>
      </c>
      <c r="N459" s="264">
        <v>1</v>
      </c>
      <c r="O459" s="264" t="s">
        <v>829</v>
      </c>
      <c r="P459" s="264" t="s">
        <v>994</v>
      </c>
      <c r="Q459" s="264" t="s">
        <v>1009</v>
      </c>
      <c r="R459" s="264" t="s">
        <v>1010</v>
      </c>
      <c r="S459" s="264" t="s">
        <v>996</v>
      </c>
      <c r="T459" s="264" t="s">
        <v>997</v>
      </c>
      <c r="U459" s="264" t="s">
        <v>995</v>
      </c>
      <c r="V459" s="264" t="s">
        <v>995</v>
      </c>
      <c r="W459" s="264" t="s">
        <v>995</v>
      </c>
      <c r="X459" s="264" t="s">
        <v>828</v>
      </c>
      <c r="Y459" s="264" t="s">
        <v>998</v>
      </c>
      <c r="Z459" s="264">
        <v>31</v>
      </c>
      <c r="AA459" s="264" t="s">
        <v>999</v>
      </c>
      <c r="AB459" s="264">
        <v>31</v>
      </c>
      <c r="AC459" s="264" t="s">
        <v>999</v>
      </c>
      <c r="AD459" s="264" t="s">
        <v>1000</v>
      </c>
      <c r="AE459" s="264" t="s">
        <v>1000</v>
      </c>
      <c r="AF459" s="264" t="s">
        <v>1000</v>
      </c>
      <c r="AG459" s="264" t="s">
        <v>1000</v>
      </c>
      <c r="AH459" s="264" t="s">
        <v>1039</v>
      </c>
      <c r="AI459" s="264" t="s">
        <v>1002</v>
      </c>
      <c r="AJ459" s="264" t="s">
        <v>995</v>
      </c>
      <c r="AK459" s="264" t="s">
        <v>995</v>
      </c>
      <c r="AL459" s="264" t="s">
        <v>995</v>
      </c>
    </row>
    <row r="460" spans="1:38">
      <c r="A460" s="264">
        <v>3406</v>
      </c>
      <c r="B460" s="264" t="s">
        <v>526</v>
      </c>
      <c r="C460" s="264" t="s">
        <v>1473</v>
      </c>
      <c r="D460" s="264" t="s">
        <v>991</v>
      </c>
      <c r="E460" s="264">
        <v>66011</v>
      </c>
      <c r="F460" s="264" t="s">
        <v>449</v>
      </c>
      <c r="G460" s="389">
        <v>34755</v>
      </c>
      <c r="H460" s="264">
        <v>28</v>
      </c>
      <c r="I460" s="389">
        <v>41354</v>
      </c>
      <c r="K460" s="390">
        <v>43983</v>
      </c>
      <c r="L460" s="264">
        <v>20</v>
      </c>
      <c r="M460" s="264" t="s">
        <v>1015</v>
      </c>
      <c r="N460" s="264">
        <v>1</v>
      </c>
      <c r="O460" s="264" t="s">
        <v>829</v>
      </c>
      <c r="P460" s="264" t="s">
        <v>994</v>
      </c>
      <c r="Q460" s="264" t="s">
        <v>1009</v>
      </c>
      <c r="R460" s="264" t="s">
        <v>1010</v>
      </c>
      <c r="S460" s="264" t="s">
        <v>996</v>
      </c>
      <c r="T460" s="264" t="s">
        <v>997</v>
      </c>
      <c r="U460" s="264" t="s">
        <v>995</v>
      </c>
      <c r="V460" s="264" t="s">
        <v>995</v>
      </c>
      <c r="W460" s="264" t="s">
        <v>995</v>
      </c>
      <c r="X460" s="264" t="s">
        <v>828</v>
      </c>
      <c r="Y460" s="264" t="s">
        <v>998</v>
      </c>
      <c r="Z460" s="264">
        <v>31</v>
      </c>
      <c r="AA460" s="264" t="s">
        <v>999</v>
      </c>
      <c r="AB460" s="264">
        <v>31</v>
      </c>
      <c r="AC460" s="264" t="s">
        <v>999</v>
      </c>
      <c r="AD460" s="264" t="s">
        <v>1000</v>
      </c>
      <c r="AE460" s="264" t="s">
        <v>1000</v>
      </c>
      <c r="AF460" s="264" t="s">
        <v>1000</v>
      </c>
      <c r="AG460" s="264" t="s">
        <v>1000</v>
      </c>
      <c r="AH460" s="264" t="s">
        <v>1002</v>
      </c>
      <c r="AI460" s="264" t="s">
        <v>1002</v>
      </c>
      <c r="AJ460" s="264" t="s">
        <v>995</v>
      </c>
      <c r="AK460" s="264" t="s">
        <v>995</v>
      </c>
      <c r="AL460" s="264" t="s">
        <v>995</v>
      </c>
    </row>
    <row r="461" spans="1:38">
      <c r="A461" s="264">
        <v>3965</v>
      </c>
      <c r="B461" s="264" t="s">
        <v>459</v>
      </c>
      <c r="C461" s="264" t="s">
        <v>1474</v>
      </c>
      <c r="D461" s="264" t="s">
        <v>1004</v>
      </c>
      <c r="E461" s="264">
        <v>66011</v>
      </c>
      <c r="F461" s="264" t="s">
        <v>449</v>
      </c>
      <c r="G461" s="389">
        <v>24566</v>
      </c>
      <c r="H461" s="264">
        <v>56</v>
      </c>
      <c r="I461" s="389">
        <v>39279</v>
      </c>
      <c r="K461" s="390">
        <v>42278</v>
      </c>
      <c r="L461" s="264">
        <v>20</v>
      </c>
      <c r="M461" s="264" t="s">
        <v>1015</v>
      </c>
      <c r="N461" s="264">
        <v>1</v>
      </c>
      <c r="O461" s="264" t="s">
        <v>829</v>
      </c>
      <c r="P461" s="264" t="s">
        <v>994</v>
      </c>
      <c r="Q461" s="264" t="s">
        <v>1009</v>
      </c>
      <c r="R461" s="264" t="s">
        <v>1010</v>
      </c>
      <c r="S461" s="264" t="s">
        <v>996</v>
      </c>
      <c r="T461" s="264" t="s">
        <v>997</v>
      </c>
      <c r="U461" s="264" t="s">
        <v>995</v>
      </c>
      <c r="V461" s="264" t="s">
        <v>995</v>
      </c>
      <c r="W461" s="264" t="s">
        <v>995</v>
      </c>
      <c r="X461" s="264" t="s">
        <v>828</v>
      </c>
      <c r="Y461" s="264" t="s">
        <v>998</v>
      </c>
      <c r="Z461" s="264">
        <v>31</v>
      </c>
      <c r="AA461" s="264" t="s">
        <v>999</v>
      </c>
      <c r="AB461" s="264">
        <v>31</v>
      </c>
      <c r="AC461" s="264" t="s">
        <v>999</v>
      </c>
      <c r="AD461" s="264" t="s">
        <v>1000</v>
      </c>
      <c r="AE461" s="264" t="s">
        <v>1000</v>
      </c>
      <c r="AF461" s="264" t="s">
        <v>1000</v>
      </c>
      <c r="AG461" s="264" t="s">
        <v>1000</v>
      </c>
      <c r="AH461" s="264" t="s">
        <v>1002</v>
      </c>
      <c r="AI461" s="264" t="s">
        <v>1002</v>
      </c>
      <c r="AJ461" s="264" t="s">
        <v>995</v>
      </c>
      <c r="AK461" s="264" t="s">
        <v>995</v>
      </c>
      <c r="AL461" s="264" t="s">
        <v>995</v>
      </c>
    </row>
    <row r="462" spans="1:38">
      <c r="A462" s="264">
        <v>3968</v>
      </c>
      <c r="B462" s="264" t="s">
        <v>460</v>
      </c>
      <c r="C462" s="264" t="s">
        <v>1475</v>
      </c>
      <c r="D462" s="264" t="s">
        <v>1004</v>
      </c>
      <c r="E462" s="264">
        <v>66011</v>
      </c>
      <c r="F462" s="264" t="s">
        <v>449</v>
      </c>
      <c r="G462" s="389">
        <v>24936</v>
      </c>
      <c r="H462" s="264">
        <v>55</v>
      </c>
      <c r="I462" s="389">
        <v>39328</v>
      </c>
      <c r="K462" s="390">
        <v>42278</v>
      </c>
      <c r="L462" s="264">
        <v>20</v>
      </c>
      <c r="M462" s="264" t="s">
        <v>1015</v>
      </c>
      <c r="N462" s="264">
        <v>1</v>
      </c>
      <c r="O462" s="264" t="s">
        <v>829</v>
      </c>
      <c r="P462" s="264" t="s">
        <v>994</v>
      </c>
      <c r="Q462" s="264" t="s">
        <v>1009</v>
      </c>
      <c r="R462" s="264" t="s">
        <v>1010</v>
      </c>
      <c r="S462" s="264" t="s">
        <v>996</v>
      </c>
      <c r="T462" s="264" t="s">
        <v>997</v>
      </c>
      <c r="U462" s="264" t="s">
        <v>995</v>
      </c>
      <c r="V462" s="264" t="s">
        <v>995</v>
      </c>
      <c r="W462" s="264" t="s">
        <v>995</v>
      </c>
      <c r="X462" s="264" t="s">
        <v>828</v>
      </c>
      <c r="Y462" s="264" t="s">
        <v>998</v>
      </c>
      <c r="Z462" s="264">
        <v>31</v>
      </c>
      <c r="AA462" s="264" t="s">
        <v>999</v>
      </c>
      <c r="AB462" s="264">
        <v>31</v>
      </c>
      <c r="AC462" s="264" t="s">
        <v>999</v>
      </c>
      <c r="AD462" s="264" t="s">
        <v>1000</v>
      </c>
      <c r="AE462" s="264" t="s">
        <v>1000</v>
      </c>
      <c r="AF462" s="264" t="s">
        <v>1000</v>
      </c>
      <c r="AG462" s="264" t="s">
        <v>1000</v>
      </c>
      <c r="AH462" s="264" t="s">
        <v>1002</v>
      </c>
      <c r="AI462" s="264" t="s">
        <v>1002</v>
      </c>
      <c r="AJ462" s="264" t="s">
        <v>995</v>
      </c>
      <c r="AK462" s="264" t="s">
        <v>995</v>
      </c>
      <c r="AL462" s="264" t="s">
        <v>995</v>
      </c>
    </row>
    <row r="463" spans="1:38">
      <c r="A463" s="264">
        <v>5159</v>
      </c>
      <c r="B463" s="264" t="s">
        <v>455</v>
      </c>
      <c r="C463" s="264" t="s">
        <v>1476</v>
      </c>
      <c r="D463" s="264" t="s">
        <v>1004</v>
      </c>
      <c r="E463" s="264">
        <v>66011</v>
      </c>
      <c r="F463" s="264" t="s">
        <v>449</v>
      </c>
      <c r="G463" s="389">
        <v>25866</v>
      </c>
      <c r="H463" s="264">
        <v>53</v>
      </c>
      <c r="I463" s="389">
        <v>32227</v>
      </c>
      <c r="K463" s="390">
        <v>42278</v>
      </c>
      <c r="L463" s="264">
        <v>20</v>
      </c>
      <c r="M463" s="264" t="s">
        <v>1015</v>
      </c>
      <c r="N463" s="264">
        <v>1</v>
      </c>
      <c r="O463" s="264" t="s">
        <v>829</v>
      </c>
      <c r="P463" s="264" t="s">
        <v>994</v>
      </c>
      <c r="Q463" s="264" t="s">
        <v>1009</v>
      </c>
      <c r="R463" s="264" t="s">
        <v>1010</v>
      </c>
      <c r="S463" s="264" t="s">
        <v>996</v>
      </c>
      <c r="T463" s="264" t="s">
        <v>997</v>
      </c>
      <c r="U463" s="264" t="s">
        <v>995</v>
      </c>
      <c r="V463" s="264" t="s">
        <v>995</v>
      </c>
      <c r="W463" s="264" t="s">
        <v>995</v>
      </c>
      <c r="X463" s="264" t="s">
        <v>828</v>
      </c>
      <c r="Y463" s="264" t="s">
        <v>998</v>
      </c>
      <c r="Z463" s="264">
        <v>31</v>
      </c>
      <c r="AA463" s="264" t="s">
        <v>999</v>
      </c>
      <c r="AB463" s="264">
        <v>31</v>
      </c>
      <c r="AC463" s="264" t="s">
        <v>999</v>
      </c>
      <c r="AD463" s="264" t="s">
        <v>1000</v>
      </c>
      <c r="AE463" s="264" t="s">
        <v>1000</v>
      </c>
      <c r="AF463" s="264" t="s">
        <v>1000</v>
      </c>
      <c r="AG463" s="264" t="s">
        <v>1000</v>
      </c>
      <c r="AH463" s="264" t="s">
        <v>1002</v>
      </c>
      <c r="AI463" s="264" t="s">
        <v>1002</v>
      </c>
      <c r="AJ463" s="264" t="s">
        <v>995</v>
      </c>
      <c r="AK463" s="264" t="s">
        <v>995</v>
      </c>
      <c r="AL463" s="264" t="s">
        <v>995</v>
      </c>
    </row>
    <row r="464" spans="1:38">
      <c r="A464" s="264">
        <v>7644</v>
      </c>
      <c r="B464" s="264" t="s">
        <v>585</v>
      </c>
      <c r="C464" s="264" t="s">
        <v>1477</v>
      </c>
      <c r="D464" s="264" t="s">
        <v>991</v>
      </c>
      <c r="E464" s="264">
        <v>66021</v>
      </c>
      <c r="F464" s="264" t="s">
        <v>449</v>
      </c>
      <c r="G464" s="389">
        <v>24767</v>
      </c>
      <c r="H464" s="264">
        <v>56</v>
      </c>
      <c r="I464" s="389">
        <v>36572</v>
      </c>
      <c r="K464" s="390">
        <v>42278</v>
      </c>
      <c r="L464" s="264">
        <v>70</v>
      </c>
      <c r="M464" s="264" t="s">
        <v>1024</v>
      </c>
      <c r="N464" s="264">
        <v>1</v>
      </c>
      <c r="O464" s="264" t="s">
        <v>829</v>
      </c>
      <c r="P464" s="264" t="s">
        <v>994</v>
      </c>
      <c r="Q464" s="264" t="s">
        <v>1009</v>
      </c>
      <c r="R464" s="264" t="s">
        <v>1010</v>
      </c>
      <c r="S464" s="264" t="s">
        <v>996</v>
      </c>
      <c r="T464" s="264" t="s">
        <v>997</v>
      </c>
      <c r="U464" s="264" t="s">
        <v>1478</v>
      </c>
      <c r="V464" s="264" t="s">
        <v>995</v>
      </c>
      <c r="W464" s="264" t="s">
        <v>995</v>
      </c>
      <c r="X464" s="264" t="s">
        <v>828</v>
      </c>
      <c r="Y464" s="264" t="s">
        <v>998</v>
      </c>
      <c r="Z464" s="264">
        <v>31</v>
      </c>
      <c r="AA464" s="264" t="s">
        <v>999</v>
      </c>
      <c r="AB464" s="264">
        <v>31</v>
      </c>
      <c r="AC464" s="264" t="s">
        <v>999</v>
      </c>
      <c r="AD464" s="264" t="s">
        <v>1000</v>
      </c>
      <c r="AE464" s="264" t="s">
        <v>1000</v>
      </c>
      <c r="AF464" s="264" t="s">
        <v>1000</v>
      </c>
      <c r="AG464" s="264" t="s">
        <v>1000</v>
      </c>
      <c r="AH464" s="264" t="s">
        <v>1002</v>
      </c>
      <c r="AI464" s="264" t="s">
        <v>1002</v>
      </c>
      <c r="AJ464" s="264" t="s">
        <v>995</v>
      </c>
      <c r="AK464" s="264" t="s">
        <v>995</v>
      </c>
      <c r="AL464" s="264" t="s">
        <v>995</v>
      </c>
    </row>
    <row r="465" spans="1:38">
      <c r="A465" s="264">
        <v>8231</v>
      </c>
      <c r="B465" s="264" t="s">
        <v>1479</v>
      </c>
      <c r="C465" s="264" t="s">
        <v>1480</v>
      </c>
      <c r="D465" s="264" t="s">
        <v>1004</v>
      </c>
      <c r="E465" s="264">
        <v>66021</v>
      </c>
      <c r="F465" s="264" t="s">
        <v>449</v>
      </c>
      <c r="G465" s="389">
        <v>23092</v>
      </c>
      <c r="H465" s="264">
        <v>60</v>
      </c>
      <c r="I465" s="389">
        <v>45008</v>
      </c>
      <c r="K465" s="390">
        <v>45017</v>
      </c>
      <c r="L465" s="264">
        <v>70</v>
      </c>
      <c r="M465" s="264" t="s">
        <v>1024</v>
      </c>
      <c r="N465" s="264">
        <v>1</v>
      </c>
      <c r="O465" s="264" t="s">
        <v>829</v>
      </c>
      <c r="P465" s="264" t="s">
        <v>994</v>
      </c>
      <c r="Q465" s="264" t="s">
        <v>1009</v>
      </c>
      <c r="R465" s="264" t="s">
        <v>1010</v>
      </c>
      <c r="S465" s="264" t="s">
        <v>996</v>
      </c>
      <c r="T465" s="264" t="s">
        <v>997</v>
      </c>
      <c r="U465" s="264" t="s">
        <v>995</v>
      </c>
      <c r="V465" s="264" t="s">
        <v>995</v>
      </c>
      <c r="W465" s="264" t="s">
        <v>995</v>
      </c>
      <c r="X465" s="264" t="s">
        <v>828</v>
      </c>
      <c r="Y465" s="264" t="s">
        <v>998</v>
      </c>
      <c r="Z465" s="264">
        <v>31</v>
      </c>
      <c r="AA465" s="264" t="s">
        <v>999</v>
      </c>
      <c r="AB465" s="264">
        <v>31</v>
      </c>
      <c r="AC465" s="264" t="s">
        <v>999</v>
      </c>
      <c r="AD465" s="264" t="s">
        <v>1000</v>
      </c>
      <c r="AE465" s="264" t="s">
        <v>1000</v>
      </c>
      <c r="AF465" s="264" t="s">
        <v>1000</v>
      </c>
      <c r="AG465" s="264" t="s">
        <v>1000</v>
      </c>
      <c r="AH465" s="264" t="s">
        <v>1002</v>
      </c>
      <c r="AI465" s="264" t="s">
        <v>1002</v>
      </c>
      <c r="AJ465" s="264" t="s">
        <v>995</v>
      </c>
      <c r="AK465" s="264" t="s">
        <v>995</v>
      </c>
      <c r="AL465" s="264" t="s">
        <v>995</v>
      </c>
    </row>
    <row r="466" spans="1:38">
      <c r="A466" s="264">
        <v>3047</v>
      </c>
      <c r="B466" s="264" t="s">
        <v>488</v>
      </c>
      <c r="C466" s="264" t="s">
        <v>1409</v>
      </c>
      <c r="D466" s="264" t="s">
        <v>1004</v>
      </c>
      <c r="E466" s="264">
        <v>61300</v>
      </c>
      <c r="F466" s="264" t="s">
        <v>162</v>
      </c>
      <c r="G466" s="389">
        <v>28102</v>
      </c>
      <c r="H466" s="264">
        <v>47</v>
      </c>
      <c r="I466" s="389">
        <v>34780</v>
      </c>
      <c r="K466" s="390">
        <v>42278</v>
      </c>
      <c r="L466" s="264">
        <v>20</v>
      </c>
      <c r="M466" s="264" t="s">
        <v>1015</v>
      </c>
      <c r="N466" s="264">
        <v>1</v>
      </c>
      <c r="O466" s="264" t="s">
        <v>829</v>
      </c>
      <c r="P466" s="264" t="s">
        <v>994</v>
      </c>
      <c r="Q466" s="264" t="s">
        <v>1009</v>
      </c>
      <c r="R466" s="264" t="s">
        <v>1010</v>
      </c>
      <c r="S466" s="264" t="s">
        <v>996</v>
      </c>
      <c r="T466" s="264" t="s">
        <v>997</v>
      </c>
      <c r="U466" s="264" t="s">
        <v>995</v>
      </c>
      <c r="V466" s="264" t="s">
        <v>995</v>
      </c>
      <c r="W466" s="264" t="s">
        <v>995</v>
      </c>
      <c r="X466" s="264" t="s">
        <v>828</v>
      </c>
      <c r="Y466" s="264" t="s">
        <v>998</v>
      </c>
      <c r="Z466" s="264">
        <v>31</v>
      </c>
      <c r="AA466" s="264" t="s">
        <v>999</v>
      </c>
      <c r="AB466" s="264">
        <v>31</v>
      </c>
      <c r="AC466" s="264" t="s">
        <v>999</v>
      </c>
      <c r="AD466" s="264" t="s">
        <v>1000</v>
      </c>
      <c r="AE466" s="264" t="s">
        <v>1000</v>
      </c>
      <c r="AF466" s="264" t="s">
        <v>1000</v>
      </c>
      <c r="AG466" s="264" t="s">
        <v>1000</v>
      </c>
      <c r="AH466" s="264" t="s">
        <v>1002</v>
      </c>
      <c r="AI466" s="264" t="s">
        <v>1002</v>
      </c>
      <c r="AJ466" s="264" t="s">
        <v>995</v>
      </c>
      <c r="AK466" s="264" t="s">
        <v>995</v>
      </c>
      <c r="AL466" s="264" t="s">
        <v>995</v>
      </c>
    </row>
    <row r="467" spans="1:38">
      <c r="A467" s="264">
        <v>1348</v>
      </c>
      <c r="B467" s="264" t="s">
        <v>738</v>
      </c>
      <c r="C467" s="264" t="s">
        <v>1435</v>
      </c>
      <c r="D467" s="264" t="s">
        <v>991</v>
      </c>
      <c r="E467" s="264">
        <v>64111</v>
      </c>
      <c r="F467" s="264" t="s">
        <v>422</v>
      </c>
      <c r="G467" s="389">
        <v>32042</v>
      </c>
      <c r="H467" s="264">
        <v>36</v>
      </c>
      <c r="I467" s="389">
        <v>39528</v>
      </c>
      <c r="K467" s="390">
        <v>45078</v>
      </c>
      <c r="L467" s="264">
        <v>20</v>
      </c>
      <c r="M467" s="264" t="s">
        <v>1015</v>
      </c>
      <c r="N467" s="264">
        <v>1</v>
      </c>
      <c r="O467" s="264" t="s">
        <v>829</v>
      </c>
      <c r="P467" s="264" t="s">
        <v>994</v>
      </c>
      <c r="Q467" s="264" t="s">
        <v>1009</v>
      </c>
      <c r="R467" s="264" t="s">
        <v>1010</v>
      </c>
      <c r="S467" s="264" t="s">
        <v>996</v>
      </c>
      <c r="T467" s="264" t="s">
        <v>997</v>
      </c>
      <c r="U467" s="264" t="s">
        <v>995</v>
      </c>
      <c r="V467" s="264" t="s">
        <v>995</v>
      </c>
      <c r="W467" s="264" t="s">
        <v>995</v>
      </c>
      <c r="X467" s="264" t="s">
        <v>828</v>
      </c>
      <c r="Y467" s="264" t="s">
        <v>998</v>
      </c>
      <c r="Z467" s="264">
        <v>31</v>
      </c>
      <c r="AA467" s="264" t="s">
        <v>999</v>
      </c>
      <c r="AB467" s="264">
        <v>31</v>
      </c>
      <c r="AC467" s="264" t="s">
        <v>999</v>
      </c>
      <c r="AD467" s="264" t="s">
        <v>1000</v>
      </c>
      <c r="AE467" s="264" t="s">
        <v>1000</v>
      </c>
      <c r="AF467" s="264" t="s">
        <v>1000</v>
      </c>
      <c r="AG467" s="264" t="s">
        <v>1000</v>
      </c>
      <c r="AH467" s="264" t="s">
        <v>1039</v>
      </c>
      <c r="AI467" s="264" t="s">
        <v>1002</v>
      </c>
      <c r="AJ467" s="264" t="s">
        <v>995</v>
      </c>
      <c r="AK467" s="264" t="s">
        <v>995</v>
      </c>
      <c r="AL467" s="264" t="s">
        <v>995</v>
      </c>
    </row>
    <row r="468" spans="1:38">
      <c r="A468" s="264">
        <v>1371</v>
      </c>
      <c r="B468" s="264" t="s">
        <v>417</v>
      </c>
      <c r="C468" s="264" t="s">
        <v>1423</v>
      </c>
      <c r="D468" s="264" t="s">
        <v>1004</v>
      </c>
      <c r="E468" s="264">
        <v>64011</v>
      </c>
      <c r="F468" s="264" t="s">
        <v>416</v>
      </c>
      <c r="G468" s="389">
        <v>29863</v>
      </c>
      <c r="H468" s="264">
        <v>42</v>
      </c>
      <c r="I468" s="389">
        <v>40595</v>
      </c>
      <c r="K468" s="390">
        <v>42278</v>
      </c>
      <c r="L468" s="264">
        <v>20</v>
      </c>
      <c r="M468" s="264" t="s">
        <v>1015</v>
      </c>
      <c r="N468" s="264">
        <v>1</v>
      </c>
      <c r="O468" s="264" t="s">
        <v>829</v>
      </c>
      <c r="P468" s="264" t="s">
        <v>994</v>
      </c>
      <c r="Q468" s="264" t="s">
        <v>1009</v>
      </c>
      <c r="R468" s="264" t="s">
        <v>1010</v>
      </c>
      <c r="S468" s="264" t="s">
        <v>996</v>
      </c>
      <c r="T468" s="264" t="s">
        <v>997</v>
      </c>
      <c r="U468" s="264" t="s">
        <v>995</v>
      </c>
      <c r="V468" s="264" t="s">
        <v>995</v>
      </c>
      <c r="W468" s="264" t="s">
        <v>995</v>
      </c>
      <c r="X468" s="264" t="s">
        <v>828</v>
      </c>
      <c r="Y468" s="264" t="s">
        <v>998</v>
      </c>
      <c r="Z468" s="264">
        <v>31</v>
      </c>
      <c r="AA468" s="264" t="s">
        <v>999</v>
      </c>
      <c r="AB468" s="264">
        <v>31</v>
      </c>
      <c r="AC468" s="264" t="s">
        <v>999</v>
      </c>
      <c r="AD468" s="264" t="s">
        <v>1000</v>
      </c>
      <c r="AE468" s="264" t="s">
        <v>1000</v>
      </c>
      <c r="AF468" s="264" t="s">
        <v>1000</v>
      </c>
      <c r="AG468" s="264" t="s">
        <v>1000</v>
      </c>
      <c r="AH468" s="264" t="s">
        <v>1002</v>
      </c>
      <c r="AI468" s="264" t="s">
        <v>1002</v>
      </c>
      <c r="AJ468" s="264" t="s">
        <v>995</v>
      </c>
      <c r="AK468" s="264" t="s">
        <v>995</v>
      </c>
      <c r="AL468" s="264" t="s">
        <v>995</v>
      </c>
    </row>
    <row r="469" spans="1:38">
      <c r="A469" s="264">
        <v>1422</v>
      </c>
      <c r="B469" s="264" t="s">
        <v>748</v>
      </c>
      <c r="C469" s="264" t="s">
        <v>1438</v>
      </c>
      <c r="D469" s="264" t="s">
        <v>1004</v>
      </c>
      <c r="E469" s="264">
        <v>64211</v>
      </c>
      <c r="F469" s="264" t="s">
        <v>429</v>
      </c>
      <c r="G469" s="389">
        <v>32196</v>
      </c>
      <c r="H469" s="264">
        <v>35</v>
      </c>
      <c r="I469" s="389">
        <v>44562</v>
      </c>
      <c r="K469" s="390">
        <v>44562</v>
      </c>
      <c r="L469" s="264">
        <v>20</v>
      </c>
      <c r="M469" s="264" t="s">
        <v>1015</v>
      </c>
      <c r="N469" s="264">
        <v>1</v>
      </c>
      <c r="O469" s="264" t="s">
        <v>829</v>
      </c>
      <c r="P469" s="264" t="s">
        <v>994</v>
      </c>
      <c r="Q469" s="264" t="s">
        <v>1009</v>
      </c>
      <c r="R469" s="264" t="s">
        <v>1010</v>
      </c>
      <c r="S469" s="264" t="s">
        <v>996</v>
      </c>
      <c r="T469" s="264" t="s">
        <v>997</v>
      </c>
      <c r="U469" s="264" t="s">
        <v>995</v>
      </c>
      <c r="V469" s="264" t="s">
        <v>995</v>
      </c>
      <c r="W469" s="264" t="s">
        <v>995</v>
      </c>
      <c r="X469" s="264" t="s">
        <v>828</v>
      </c>
      <c r="Y469" s="264" t="s">
        <v>998</v>
      </c>
      <c r="Z469" s="264">
        <v>31</v>
      </c>
      <c r="AA469" s="264" t="s">
        <v>999</v>
      </c>
      <c r="AB469" s="264">
        <v>31</v>
      </c>
      <c r="AC469" s="264" t="s">
        <v>999</v>
      </c>
      <c r="AD469" s="264" t="s">
        <v>1000</v>
      </c>
      <c r="AE469" s="264" t="s">
        <v>1000</v>
      </c>
      <c r="AF469" s="264" t="s">
        <v>1000</v>
      </c>
      <c r="AG469" s="264" t="s">
        <v>1000</v>
      </c>
      <c r="AH469" s="264" t="s">
        <v>1002</v>
      </c>
      <c r="AI469" s="264" t="s">
        <v>1002</v>
      </c>
      <c r="AJ469" s="264" t="s">
        <v>995</v>
      </c>
      <c r="AK469" s="264" t="s">
        <v>995</v>
      </c>
      <c r="AL469" s="264" t="s">
        <v>995</v>
      </c>
    </row>
    <row r="470" spans="1:38">
      <c r="A470" s="264">
        <v>1442</v>
      </c>
      <c r="B470" s="264" t="s">
        <v>1424</v>
      </c>
      <c r="C470" s="264" t="s">
        <v>1425</v>
      </c>
      <c r="D470" s="264" t="s">
        <v>1004</v>
      </c>
      <c r="E470" s="264">
        <v>64011</v>
      </c>
      <c r="F470" s="264" t="s">
        <v>416</v>
      </c>
      <c r="G470" s="389">
        <v>27766</v>
      </c>
      <c r="H470" s="264">
        <v>48</v>
      </c>
      <c r="I470" s="389">
        <v>44912</v>
      </c>
      <c r="K470" s="390">
        <v>44927</v>
      </c>
      <c r="L470" s="264">
        <v>20</v>
      </c>
      <c r="M470" s="264" t="s">
        <v>1015</v>
      </c>
      <c r="N470" s="264">
        <v>1</v>
      </c>
      <c r="O470" s="264" t="s">
        <v>829</v>
      </c>
      <c r="P470" s="264" t="s">
        <v>994</v>
      </c>
      <c r="Q470" s="264" t="s">
        <v>1009</v>
      </c>
      <c r="R470" s="264" t="s">
        <v>1010</v>
      </c>
      <c r="S470" s="264" t="s">
        <v>996</v>
      </c>
      <c r="T470" s="264" t="s">
        <v>997</v>
      </c>
      <c r="U470" s="264" t="s">
        <v>995</v>
      </c>
      <c r="V470" s="264" t="s">
        <v>995</v>
      </c>
      <c r="W470" s="264" t="s">
        <v>995</v>
      </c>
      <c r="X470" s="264" t="s">
        <v>828</v>
      </c>
      <c r="Y470" s="264" t="s">
        <v>998</v>
      </c>
      <c r="Z470" s="264">
        <v>31</v>
      </c>
      <c r="AA470" s="264" t="s">
        <v>999</v>
      </c>
      <c r="AB470" s="264">
        <v>31</v>
      </c>
      <c r="AC470" s="264" t="s">
        <v>999</v>
      </c>
      <c r="AD470" s="264" t="s">
        <v>1000</v>
      </c>
      <c r="AE470" s="264" t="s">
        <v>1000</v>
      </c>
      <c r="AF470" s="264" t="s">
        <v>1000</v>
      </c>
      <c r="AG470" s="264" t="s">
        <v>1000</v>
      </c>
      <c r="AH470" s="264" t="s">
        <v>1002</v>
      </c>
      <c r="AI470" s="264" t="s">
        <v>1002</v>
      </c>
      <c r="AJ470" s="264" t="s">
        <v>995</v>
      </c>
      <c r="AK470" s="264" t="s">
        <v>995</v>
      </c>
      <c r="AL470" s="264" t="s">
        <v>995</v>
      </c>
    </row>
    <row r="471" spans="1:38">
      <c r="A471" s="264">
        <v>1456</v>
      </c>
      <c r="B471" s="264" t="s">
        <v>1610</v>
      </c>
      <c r="C471" s="264" t="s">
        <v>1611</v>
      </c>
      <c r="D471" s="264" t="s">
        <v>1004</v>
      </c>
      <c r="E471" s="264">
        <v>64011</v>
      </c>
      <c r="F471" s="264" t="s">
        <v>416</v>
      </c>
      <c r="G471" s="389">
        <v>34770</v>
      </c>
      <c r="H471" s="264">
        <v>28</v>
      </c>
      <c r="I471" s="389">
        <v>45300</v>
      </c>
      <c r="K471" s="390">
        <v>45323</v>
      </c>
      <c r="L471" s="264">
        <v>20</v>
      </c>
      <c r="M471" s="264" t="s">
        <v>1015</v>
      </c>
      <c r="N471" s="264">
        <v>1</v>
      </c>
      <c r="O471" s="264" t="s">
        <v>829</v>
      </c>
      <c r="P471" s="264" t="s">
        <v>994</v>
      </c>
      <c r="Q471" s="264" t="s">
        <v>1009</v>
      </c>
      <c r="R471" s="264" t="s">
        <v>1010</v>
      </c>
      <c r="S471" s="264" t="s">
        <v>996</v>
      </c>
      <c r="T471" s="264" t="s">
        <v>997</v>
      </c>
      <c r="U471" s="264" t="s">
        <v>995</v>
      </c>
      <c r="V471" s="264" t="s">
        <v>995</v>
      </c>
      <c r="W471" s="264" t="s">
        <v>995</v>
      </c>
      <c r="X471" s="264" t="s">
        <v>828</v>
      </c>
      <c r="Y471" s="264" t="s">
        <v>998</v>
      </c>
      <c r="Z471" s="264">
        <v>31</v>
      </c>
      <c r="AA471" s="264" t="s">
        <v>999</v>
      </c>
      <c r="AB471" s="264">
        <v>31</v>
      </c>
      <c r="AC471" s="264" t="s">
        <v>999</v>
      </c>
      <c r="AD471" s="264" t="s">
        <v>1000</v>
      </c>
      <c r="AE471" s="264" t="s">
        <v>1000</v>
      </c>
      <c r="AF471" s="264" t="s">
        <v>1000</v>
      </c>
      <c r="AG471" s="264" t="s">
        <v>1000</v>
      </c>
      <c r="AH471" s="264" t="s">
        <v>1002</v>
      </c>
      <c r="AI471" s="264" t="s">
        <v>1002</v>
      </c>
      <c r="AJ471" s="264" t="s">
        <v>995</v>
      </c>
      <c r="AK471" s="264" t="s">
        <v>995</v>
      </c>
      <c r="AL471" s="264" t="s">
        <v>995</v>
      </c>
    </row>
    <row r="472" spans="1:38">
      <c r="A472" s="264">
        <v>2698</v>
      </c>
      <c r="B472" s="264" t="s">
        <v>484</v>
      </c>
      <c r="C472" s="264" t="s">
        <v>1507</v>
      </c>
      <c r="D472" s="264" t="s">
        <v>1004</v>
      </c>
      <c r="E472" s="264">
        <v>68111</v>
      </c>
      <c r="F472" s="264" t="s">
        <v>485</v>
      </c>
      <c r="G472" s="389">
        <v>24016</v>
      </c>
      <c r="H472" s="264">
        <v>58</v>
      </c>
      <c r="I472" s="389">
        <v>30762</v>
      </c>
      <c r="K472" s="390">
        <v>42278</v>
      </c>
      <c r="L472" s="264">
        <v>20</v>
      </c>
      <c r="M472" s="264" t="s">
        <v>1015</v>
      </c>
      <c r="N472" s="264">
        <v>1</v>
      </c>
      <c r="O472" s="264" t="s">
        <v>829</v>
      </c>
      <c r="P472" s="264" t="s">
        <v>994</v>
      </c>
      <c r="Q472" s="264" t="s">
        <v>1009</v>
      </c>
      <c r="R472" s="264" t="s">
        <v>1010</v>
      </c>
      <c r="S472" s="264" t="s">
        <v>996</v>
      </c>
      <c r="T472" s="264" t="s">
        <v>997</v>
      </c>
      <c r="U472" s="264" t="s">
        <v>995</v>
      </c>
      <c r="V472" s="264" t="s">
        <v>995</v>
      </c>
      <c r="W472" s="264" t="s">
        <v>995</v>
      </c>
      <c r="X472" s="264" t="s">
        <v>828</v>
      </c>
      <c r="Y472" s="264" t="s">
        <v>998</v>
      </c>
      <c r="Z472" s="264">
        <v>31</v>
      </c>
      <c r="AA472" s="264" t="s">
        <v>999</v>
      </c>
      <c r="AB472" s="264">
        <v>31</v>
      </c>
      <c r="AC472" s="264" t="s">
        <v>999</v>
      </c>
      <c r="AD472" s="264" t="s">
        <v>1000</v>
      </c>
      <c r="AE472" s="264" t="s">
        <v>1000</v>
      </c>
      <c r="AF472" s="264" t="s">
        <v>1000</v>
      </c>
      <c r="AG472" s="264" t="s">
        <v>1000</v>
      </c>
      <c r="AH472" s="264" t="s">
        <v>1002</v>
      </c>
      <c r="AI472" s="264" t="s">
        <v>1002</v>
      </c>
      <c r="AJ472" s="264" t="s">
        <v>995</v>
      </c>
      <c r="AK472" s="264" t="s">
        <v>995</v>
      </c>
      <c r="AL472" s="264" t="s">
        <v>995</v>
      </c>
    </row>
    <row r="473" spans="1:38">
      <c r="A473" s="264">
        <v>3053</v>
      </c>
      <c r="B473" s="264" t="s">
        <v>418</v>
      </c>
      <c r="C473" s="264" t="s">
        <v>1426</v>
      </c>
      <c r="D473" s="264" t="s">
        <v>1004</v>
      </c>
      <c r="E473" s="264">
        <v>64011</v>
      </c>
      <c r="F473" s="264" t="s">
        <v>416</v>
      </c>
      <c r="G473" s="389">
        <v>27958</v>
      </c>
      <c r="H473" s="264">
        <v>47</v>
      </c>
      <c r="I473" s="389">
        <v>34780</v>
      </c>
      <c r="K473" s="390">
        <v>42278</v>
      </c>
      <c r="L473" s="264">
        <v>20</v>
      </c>
      <c r="M473" s="264" t="s">
        <v>1015</v>
      </c>
      <c r="N473" s="264">
        <v>1</v>
      </c>
      <c r="O473" s="264" t="s">
        <v>829</v>
      </c>
      <c r="P473" s="264" t="s">
        <v>994</v>
      </c>
      <c r="Q473" s="264" t="s">
        <v>1009</v>
      </c>
      <c r="R473" s="264" t="s">
        <v>1010</v>
      </c>
      <c r="S473" s="264" t="s">
        <v>996</v>
      </c>
      <c r="T473" s="264" t="s">
        <v>997</v>
      </c>
      <c r="U473" s="264" t="s">
        <v>995</v>
      </c>
      <c r="V473" s="264" t="s">
        <v>995</v>
      </c>
      <c r="W473" s="264" t="s">
        <v>995</v>
      </c>
      <c r="X473" s="264" t="s">
        <v>828</v>
      </c>
      <c r="Y473" s="264" t="s">
        <v>998</v>
      </c>
      <c r="Z473" s="264">
        <v>31</v>
      </c>
      <c r="AA473" s="264" t="s">
        <v>999</v>
      </c>
      <c r="AB473" s="264">
        <v>31</v>
      </c>
      <c r="AC473" s="264" t="s">
        <v>999</v>
      </c>
      <c r="AD473" s="264" t="s">
        <v>1000</v>
      </c>
      <c r="AE473" s="264" t="s">
        <v>1000</v>
      </c>
      <c r="AF473" s="264" t="s">
        <v>1000</v>
      </c>
      <c r="AG473" s="264" t="s">
        <v>1000</v>
      </c>
      <c r="AH473" s="264" t="s">
        <v>1002</v>
      </c>
      <c r="AI473" s="264" t="s">
        <v>1002</v>
      </c>
      <c r="AJ473" s="264" t="s">
        <v>995</v>
      </c>
      <c r="AK473" s="264" t="s">
        <v>995</v>
      </c>
      <c r="AL473" s="264" t="s">
        <v>995</v>
      </c>
    </row>
    <row r="474" spans="1:38">
      <c r="A474" s="264">
        <v>3514</v>
      </c>
      <c r="B474" s="264" t="s">
        <v>420</v>
      </c>
      <c r="C474" s="264" t="s">
        <v>1427</v>
      </c>
      <c r="D474" s="264" t="s">
        <v>1004</v>
      </c>
      <c r="E474" s="264">
        <v>64011</v>
      </c>
      <c r="F474" s="264" t="s">
        <v>416</v>
      </c>
      <c r="G474" s="389">
        <v>36767</v>
      </c>
      <c r="H474" s="264">
        <v>23</v>
      </c>
      <c r="I474" s="389">
        <v>43556</v>
      </c>
      <c r="K474" s="390">
        <v>43586</v>
      </c>
      <c r="L474" s="264">
        <v>20</v>
      </c>
      <c r="M474" s="264" t="s">
        <v>1015</v>
      </c>
      <c r="N474" s="264">
        <v>1</v>
      </c>
      <c r="O474" s="264" t="s">
        <v>829</v>
      </c>
      <c r="P474" s="264" t="s">
        <v>994</v>
      </c>
      <c r="Q474" s="264" t="s">
        <v>1009</v>
      </c>
      <c r="R474" s="264" t="s">
        <v>1010</v>
      </c>
      <c r="S474" s="264" t="s">
        <v>996</v>
      </c>
      <c r="T474" s="264" t="s">
        <v>997</v>
      </c>
      <c r="U474" s="264" t="s">
        <v>995</v>
      </c>
      <c r="V474" s="264" t="s">
        <v>995</v>
      </c>
      <c r="W474" s="264" t="s">
        <v>995</v>
      </c>
      <c r="X474" s="264" t="s">
        <v>828</v>
      </c>
      <c r="Y474" s="264" t="s">
        <v>998</v>
      </c>
      <c r="Z474" s="264">
        <v>31</v>
      </c>
      <c r="AA474" s="264" t="s">
        <v>999</v>
      </c>
      <c r="AB474" s="264">
        <v>31</v>
      </c>
      <c r="AC474" s="264" t="s">
        <v>999</v>
      </c>
      <c r="AD474" s="264" t="s">
        <v>1000</v>
      </c>
      <c r="AE474" s="264" t="s">
        <v>1000</v>
      </c>
      <c r="AF474" s="264" t="s">
        <v>1000</v>
      </c>
      <c r="AG474" s="264" t="s">
        <v>1000</v>
      </c>
      <c r="AH474" s="264" t="s">
        <v>1002</v>
      </c>
      <c r="AI474" s="264" t="s">
        <v>1002</v>
      </c>
      <c r="AJ474" s="264" t="s">
        <v>995</v>
      </c>
      <c r="AK474" s="264" t="s">
        <v>995</v>
      </c>
      <c r="AL474" s="264" t="s">
        <v>995</v>
      </c>
    </row>
    <row r="475" spans="1:38">
      <c r="A475" s="264">
        <v>3939</v>
      </c>
      <c r="B475" s="264" t="s">
        <v>426</v>
      </c>
      <c r="C475" s="264" t="s">
        <v>1428</v>
      </c>
      <c r="D475" s="264" t="s">
        <v>1004</v>
      </c>
      <c r="E475" s="264">
        <v>64011</v>
      </c>
      <c r="F475" s="264" t="s">
        <v>416</v>
      </c>
      <c r="G475" s="389">
        <v>23867</v>
      </c>
      <c r="H475" s="264">
        <v>58</v>
      </c>
      <c r="I475" s="389">
        <v>38777</v>
      </c>
      <c r="K475" s="390">
        <v>42278</v>
      </c>
      <c r="L475" s="264">
        <v>20</v>
      </c>
      <c r="M475" s="264" t="s">
        <v>1015</v>
      </c>
      <c r="N475" s="264">
        <v>1</v>
      </c>
      <c r="O475" s="264" t="s">
        <v>829</v>
      </c>
      <c r="P475" s="264" t="s">
        <v>994</v>
      </c>
      <c r="Q475" s="264" t="s">
        <v>1009</v>
      </c>
      <c r="R475" s="264" t="s">
        <v>1010</v>
      </c>
      <c r="S475" s="264" t="s">
        <v>996</v>
      </c>
      <c r="T475" s="264" t="s">
        <v>997</v>
      </c>
      <c r="U475" s="264" t="s">
        <v>995</v>
      </c>
      <c r="V475" s="264" t="s">
        <v>995</v>
      </c>
      <c r="W475" s="264" t="s">
        <v>995</v>
      </c>
      <c r="X475" s="264" t="s">
        <v>828</v>
      </c>
      <c r="Y475" s="264" t="s">
        <v>998</v>
      </c>
      <c r="Z475" s="264">
        <v>31</v>
      </c>
      <c r="AA475" s="264" t="s">
        <v>999</v>
      </c>
      <c r="AB475" s="264">
        <v>31</v>
      </c>
      <c r="AC475" s="264" t="s">
        <v>999</v>
      </c>
      <c r="AD475" s="264" t="s">
        <v>1000</v>
      </c>
      <c r="AE475" s="264" t="s">
        <v>1000</v>
      </c>
      <c r="AF475" s="264" t="s">
        <v>1000</v>
      </c>
      <c r="AG475" s="264" t="s">
        <v>1000</v>
      </c>
      <c r="AH475" s="264" t="s">
        <v>1002</v>
      </c>
      <c r="AI475" s="264" t="s">
        <v>1002</v>
      </c>
      <c r="AJ475" s="264" t="s">
        <v>995</v>
      </c>
      <c r="AK475" s="264" t="s">
        <v>995</v>
      </c>
      <c r="AL475" s="264" t="s">
        <v>995</v>
      </c>
    </row>
    <row r="476" spans="1:38">
      <c r="A476" s="264">
        <v>3957</v>
      </c>
      <c r="B476" s="264" t="s">
        <v>419</v>
      </c>
      <c r="C476" s="264" t="s">
        <v>1429</v>
      </c>
      <c r="D476" s="264" t="s">
        <v>1004</v>
      </c>
      <c r="E476" s="264">
        <v>64011</v>
      </c>
      <c r="F476" s="264" t="s">
        <v>416</v>
      </c>
      <c r="G476" s="389">
        <v>24444</v>
      </c>
      <c r="H476" s="264">
        <v>57</v>
      </c>
      <c r="I476" s="389">
        <v>39246</v>
      </c>
      <c r="K476" s="390">
        <v>42278</v>
      </c>
      <c r="L476" s="264">
        <v>20</v>
      </c>
      <c r="M476" s="264" t="s">
        <v>1015</v>
      </c>
      <c r="N476" s="264">
        <v>1</v>
      </c>
      <c r="O476" s="264" t="s">
        <v>829</v>
      </c>
      <c r="P476" s="264" t="s">
        <v>994</v>
      </c>
      <c r="Q476" s="264" t="s">
        <v>1009</v>
      </c>
      <c r="R476" s="264" t="s">
        <v>1010</v>
      </c>
      <c r="S476" s="264" t="s">
        <v>996</v>
      </c>
      <c r="T476" s="264" t="s">
        <v>997</v>
      </c>
      <c r="U476" s="264" t="s">
        <v>995</v>
      </c>
      <c r="V476" s="264" t="s">
        <v>995</v>
      </c>
      <c r="W476" s="264" t="s">
        <v>995</v>
      </c>
      <c r="X476" s="264" t="s">
        <v>828</v>
      </c>
      <c r="Y476" s="264" t="s">
        <v>998</v>
      </c>
      <c r="Z476" s="264">
        <v>31</v>
      </c>
      <c r="AA476" s="264" t="s">
        <v>999</v>
      </c>
      <c r="AB476" s="264">
        <v>31</v>
      </c>
      <c r="AC476" s="264" t="s">
        <v>999</v>
      </c>
      <c r="AD476" s="264" t="s">
        <v>1000</v>
      </c>
      <c r="AE476" s="264" t="s">
        <v>1000</v>
      </c>
      <c r="AF476" s="264" t="s">
        <v>1000</v>
      </c>
      <c r="AG476" s="264" t="s">
        <v>1000</v>
      </c>
      <c r="AH476" s="264" t="s">
        <v>1002</v>
      </c>
      <c r="AI476" s="264" t="s">
        <v>1002</v>
      </c>
      <c r="AJ476" s="264" t="s">
        <v>995</v>
      </c>
      <c r="AK476" s="264" t="s">
        <v>995</v>
      </c>
      <c r="AL476" s="264" t="s">
        <v>995</v>
      </c>
    </row>
    <row r="477" spans="1:38">
      <c r="A477" s="264">
        <v>3967</v>
      </c>
      <c r="B477" s="264" t="s">
        <v>427</v>
      </c>
      <c r="C477" s="264" t="s">
        <v>1436</v>
      </c>
      <c r="D477" s="264" t="s">
        <v>1004</v>
      </c>
      <c r="E477" s="264">
        <v>64111</v>
      </c>
      <c r="F477" s="264" t="s">
        <v>422</v>
      </c>
      <c r="G477" s="389">
        <v>24433</v>
      </c>
      <c r="H477" s="264">
        <v>57</v>
      </c>
      <c r="I477" s="389">
        <v>39335</v>
      </c>
      <c r="K477" s="390">
        <v>42278</v>
      </c>
      <c r="L477" s="264">
        <v>20</v>
      </c>
      <c r="M477" s="264" t="s">
        <v>1015</v>
      </c>
      <c r="N477" s="264">
        <v>1</v>
      </c>
      <c r="O477" s="264" t="s">
        <v>829</v>
      </c>
      <c r="P477" s="264" t="s">
        <v>994</v>
      </c>
      <c r="Q477" s="264" t="s">
        <v>1009</v>
      </c>
      <c r="R477" s="264" t="s">
        <v>1010</v>
      </c>
      <c r="S477" s="264" t="s">
        <v>996</v>
      </c>
      <c r="T477" s="264" t="s">
        <v>997</v>
      </c>
      <c r="U477" s="264" t="s">
        <v>995</v>
      </c>
      <c r="V477" s="264" t="s">
        <v>995</v>
      </c>
      <c r="W477" s="264" t="s">
        <v>995</v>
      </c>
      <c r="X477" s="264" t="s">
        <v>828</v>
      </c>
      <c r="Y477" s="264" t="s">
        <v>998</v>
      </c>
      <c r="Z477" s="264">
        <v>31</v>
      </c>
      <c r="AA477" s="264" t="s">
        <v>999</v>
      </c>
      <c r="AB477" s="264">
        <v>31</v>
      </c>
      <c r="AC477" s="264" t="s">
        <v>999</v>
      </c>
      <c r="AD477" s="264" t="s">
        <v>1000</v>
      </c>
      <c r="AE477" s="264" t="s">
        <v>1000</v>
      </c>
      <c r="AF477" s="264" t="s">
        <v>1000</v>
      </c>
      <c r="AG477" s="264" t="s">
        <v>1000</v>
      </c>
      <c r="AH477" s="264" t="s">
        <v>1002</v>
      </c>
      <c r="AI477" s="264" t="s">
        <v>1002</v>
      </c>
      <c r="AJ477" s="264" t="s">
        <v>995</v>
      </c>
      <c r="AK477" s="264" t="s">
        <v>995</v>
      </c>
      <c r="AL477" s="264" t="s">
        <v>995</v>
      </c>
    </row>
    <row r="478" spans="1:38">
      <c r="A478" s="264">
        <v>5162</v>
      </c>
      <c r="B478" s="264" t="s">
        <v>425</v>
      </c>
      <c r="C478" s="264" t="s">
        <v>1437</v>
      </c>
      <c r="D478" s="264" t="s">
        <v>1004</v>
      </c>
      <c r="E478" s="264">
        <v>64111</v>
      </c>
      <c r="F478" s="264" t="s">
        <v>422</v>
      </c>
      <c r="G478" s="389">
        <v>26317</v>
      </c>
      <c r="H478" s="264">
        <v>52</v>
      </c>
      <c r="I478" s="389">
        <v>32227</v>
      </c>
      <c r="K478" s="390">
        <v>42278</v>
      </c>
      <c r="L478" s="264">
        <v>20</v>
      </c>
      <c r="M478" s="264" t="s">
        <v>1015</v>
      </c>
      <c r="N478" s="264">
        <v>1</v>
      </c>
      <c r="O478" s="264" t="s">
        <v>829</v>
      </c>
      <c r="P478" s="264" t="s">
        <v>994</v>
      </c>
      <c r="Q478" s="264" t="s">
        <v>1009</v>
      </c>
      <c r="R478" s="264" t="s">
        <v>1010</v>
      </c>
      <c r="S478" s="264" t="s">
        <v>996</v>
      </c>
      <c r="T478" s="264" t="s">
        <v>997</v>
      </c>
      <c r="U478" s="264" t="s">
        <v>995</v>
      </c>
      <c r="V478" s="264" t="s">
        <v>995</v>
      </c>
      <c r="W478" s="264" t="s">
        <v>995</v>
      </c>
      <c r="X478" s="264" t="s">
        <v>828</v>
      </c>
      <c r="Y478" s="264" t="s">
        <v>998</v>
      </c>
      <c r="Z478" s="264">
        <v>31</v>
      </c>
      <c r="AA478" s="264" t="s">
        <v>999</v>
      </c>
      <c r="AB478" s="264">
        <v>31</v>
      </c>
      <c r="AC478" s="264" t="s">
        <v>999</v>
      </c>
      <c r="AD478" s="264" t="s">
        <v>1000</v>
      </c>
      <c r="AE478" s="264" t="s">
        <v>1000</v>
      </c>
      <c r="AF478" s="264" t="s">
        <v>1000</v>
      </c>
      <c r="AG478" s="264" t="s">
        <v>1000</v>
      </c>
      <c r="AH478" s="264" t="s">
        <v>1002</v>
      </c>
      <c r="AI478" s="264" t="s">
        <v>1002</v>
      </c>
      <c r="AJ478" s="264" t="s">
        <v>995</v>
      </c>
      <c r="AK478" s="264" t="s">
        <v>995</v>
      </c>
      <c r="AL478" s="264" t="s">
        <v>995</v>
      </c>
    </row>
    <row r="479" spans="1:38">
      <c r="A479" s="264">
        <v>8092</v>
      </c>
      <c r="B479" s="264" t="s">
        <v>598</v>
      </c>
      <c r="C479" s="264" t="s">
        <v>1430</v>
      </c>
      <c r="D479" s="264" t="s">
        <v>991</v>
      </c>
      <c r="E479" s="264">
        <v>64021</v>
      </c>
      <c r="F479" s="264" t="s">
        <v>416</v>
      </c>
      <c r="G479" s="389">
        <v>24316</v>
      </c>
      <c r="H479" s="264">
        <v>57</v>
      </c>
      <c r="I479" s="389">
        <v>40960</v>
      </c>
      <c r="K479" s="390">
        <v>42278</v>
      </c>
      <c r="L479" s="264">
        <v>70</v>
      </c>
      <c r="M479" s="264" t="s">
        <v>1024</v>
      </c>
      <c r="N479" s="264">
        <v>1</v>
      </c>
      <c r="O479" s="264" t="s">
        <v>829</v>
      </c>
      <c r="P479" s="264" t="s">
        <v>994</v>
      </c>
      <c r="Q479" s="264" t="s">
        <v>1009</v>
      </c>
      <c r="R479" s="264" t="s">
        <v>1010</v>
      </c>
      <c r="S479" s="264" t="s">
        <v>996</v>
      </c>
      <c r="T479" s="264" t="s">
        <v>997</v>
      </c>
      <c r="U479" s="264" t="s">
        <v>995</v>
      </c>
      <c r="V479" s="264" t="s">
        <v>995</v>
      </c>
      <c r="W479" s="264" t="s">
        <v>995</v>
      </c>
      <c r="X479" s="264" t="s">
        <v>828</v>
      </c>
      <c r="Y479" s="264" t="s">
        <v>998</v>
      </c>
      <c r="Z479" s="264">
        <v>31</v>
      </c>
      <c r="AA479" s="264" t="s">
        <v>999</v>
      </c>
      <c r="AB479" s="264">
        <v>31</v>
      </c>
      <c r="AC479" s="264" t="s">
        <v>999</v>
      </c>
      <c r="AD479" s="264" t="s">
        <v>1000</v>
      </c>
      <c r="AE479" s="264" t="s">
        <v>1000</v>
      </c>
      <c r="AF479" s="264" t="s">
        <v>1000</v>
      </c>
      <c r="AG479" s="264" t="s">
        <v>1000</v>
      </c>
      <c r="AH479" s="264" t="s">
        <v>1002</v>
      </c>
      <c r="AI479" s="264" t="s">
        <v>1002</v>
      </c>
      <c r="AJ479" s="264" t="s">
        <v>995</v>
      </c>
      <c r="AK479" s="264" t="s">
        <v>995</v>
      </c>
      <c r="AL479" s="264" t="s">
        <v>995</v>
      </c>
    </row>
    <row r="480" spans="1:38">
      <c r="A480" s="264">
        <v>8174</v>
      </c>
      <c r="B480" s="264" t="s">
        <v>564</v>
      </c>
      <c r="C480" s="264" t="s">
        <v>1431</v>
      </c>
      <c r="D480" s="264" t="s">
        <v>1004</v>
      </c>
      <c r="E480" s="264">
        <v>64021</v>
      </c>
      <c r="F480" s="264" t="s">
        <v>416</v>
      </c>
      <c r="G480" s="389">
        <v>21290</v>
      </c>
      <c r="H480" s="264">
        <v>65</v>
      </c>
      <c r="I480" s="389">
        <v>32028</v>
      </c>
      <c r="K480" s="390">
        <v>43101</v>
      </c>
      <c r="L480" s="264">
        <v>70</v>
      </c>
      <c r="M480" s="264" t="s">
        <v>1024</v>
      </c>
      <c r="N480" s="264">
        <v>1</v>
      </c>
      <c r="O480" s="264" t="s">
        <v>829</v>
      </c>
      <c r="P480" s="264" t="s">
        <v>994</v>
      </c>
      <c r="Q480" s="264" t="s">
        <v>1009</v>
      </c>
      <c r="R480" s="264" t="s">
        <v>1010</v>
      </c>
      <c r="S480" s="264" t="s">
        <v>996</v>
      </c>
      <c r="T480" s="264" t="s">
        <v>997</v>
      </c>
      <c r="U480" s="264" t="s">
        <v>995</v>
      </c>
      <c r="V480" s="264" t="s">
        <v>995</v>
      </c>
      <c r="W480" s="264" t="s">
        <v>995</v>
      </c>
      <c r="X480" s="264" t="s">
        <v>828</v>
      </c>
      <c r="Y480" s="264" t="s">
        <v>998</v>
      </c>
      <c r="Z480" s="264">
        <v>31</v>
      </c>
      <c r="AA480" s="264" t="s">
        <v>999</v>
      </c>
      <c r="AB480" s="264">
        <v>31</v>
      </c>
      <c r="AC480" s="264" t="s">
        <v>999</v>
      </c>
      <c r="AD480" s="264" t="s">
        <v>1000</v>
      </c>
      <c r="AE480" s="264" t="s">
        <v>1000</v>
      </c>
      <c r="AF480" s="264" t="s">
        <v>1000</v>
      </c>
      <c r="AG480" s="264" t="s">
        <v>1000</v>
      </c>
      <c r="AH480" s="264" t="s">
        <v>1002</v>
      </c>
      <c r="AI480" s="264" t="s">
        <v>1002</v>
      </c>
      <c r="AJ480" s="264" t="s">
        <v>995</v>
      </c>
      <c r="AK480" s="264" t="s">
        <v>995</v>
      </c>
      <c r="AL480" s="264" t="s">
        <v>995</v>
      </c>
    </row>
    <row r="481" spans="1:38">
      <c r="A481" s="264">
        <v>8201</v>
      </c>
      <c r="B481" s="264" t="s">
        <v>782</v>
      </c>
      <c r="C481" s="264" t="s">
        <v>1432</v>
      </c>
      <c r="D481" s="264" t="s">
        <v>1004</v>
      </c>
      <c r="E481" s="264">
        <v>64021</v>
      </c>
      <c r="F481" s="264" t="s">
        <v>416</v>
      </c>
      <c r="G481" s="389">
        <v>22403</v>
      </c>
      <c r="H481" s="264">
        <v>62</v>
      </c>
      <c r="I481" s="389">
        <v>34659</v>
      </c>
      <c r="K481" s="390">
        <v>44197</v>
      </c>
      <c r="L481" s="264">
        <v>70</v>
      </c>
      <c r="M481" s="264" t="s">
        <v>1024</v>
      </c>
      <c r="N481" s="264">
        <v>1</v>
      </c>
      <c r="O481" s="264" t="s">
        <v>829</v>
      </c>
      <c r="P481" s="264" t="s">
        <v>994</v>
      </c>
      <c r="Q481" s="264" t="s">
        <v>1009</v>
      </c>
      <c r="R481" s="264" t="s">
        <v>1010</v>
      </c>
      <c r="S481" s="264" t="s">
        <v>996</v>
      </c>
      <c r="T481" s="264" t="s">
        <v>997</v>
      </c>
      <c r="U481" s="264" t="s">
        <v>995</v>
      </c>
      <c r="V481" s="264" t="s">
        <v>995</v>
      </c>
      <c r="W481" s="264" t="s">
        <v>995</v>
      </c>
      <c r="X481" s="264" t="s">
        <v>828</v>
      </c>
      <c r="Y481" s="264" t="s">
        <v>998</v>
      </c>
      <c r="Z481" s="264">
        <v>31</v>
      </c>
      <c r="AA481" s="264" t="s">
        <v>999</v>
      </c>
      <c r="AB481" s="264">
        <v>31</v>
      </c>
      <c r="AC481" s="264" t="s">
        <v>999</v>
      </c>
      <c r="AD481" s="264" t="s">
        <v>1000</v>
      </c>
      <c r="AE481" s="264" t="s">
        <v>1000</v>
      </c>
      <c r="AF481" s="264" t="s">
        <v>1000</v>
      </c>
      <c r="AG481" s="264" t="s">
        <v>1000</v>
      </c>
      <c r="AH481" s="264" t="s">
        <v>1002</v>
      </c>
      <c r="AI481" s="264" t="s">
        <v>1002</v>
      </c>
      <c r="AJ481" s="264" t="s">
        <v>995</v>
      </c>
      <c r="AK481" s="264" t="s">
        <v>995</v>
      </c>
      <c r="AL481" s="264" t="s">
        <v>995</v>
      </c>
    </row>
    <row r="482" spans="1:38">
      <c r="A482" s="264">
        <v>8243</v>
      </c>
      <c r="B482" s="264" t="s">
        <v>1433</v>
      </c>
      <c r="C482" s="264" t="s">
        <v>1434</v>
      </c>
      <c r="D482" s="264" t="s">
        <v>1004</v>
      </c>
      <c r="E482" s="264">
        <v>64021</v>
      </c>
      <c r="F482" s="264" t="s">
        <v>416</v>
      </c>
      <c r="G482" s="389">
        <v>37561</v>
      </c>
      <c r="H482" s="264">
        <v>21</v>
      </c>
      <c r="I482" s="389">
        <v>45078</v>
      </c>
      <c r="K482" s="390">
        <v>45078</v>
      </c>
      <c r="L482" s="264">
        <v>70</v>
      </c>
      <c r="M482" s="264" t="s">
        <v>1024</v>
      </c>
      <c r="N482" s="264">
        <v>1</v>
      </c>
      <c r="O482" s="264" t="s">
        <v>829</v>
      </c>
      <c r="P482" s="264" t="s">
        <v>994</v>
      </c>
      <c r="Q482" s="264" t="s">
        <v>1009</v>
      </c>
      <c r="R482" s="264" t="s">
        <v>1010</v>
      </c>
      <c r="S482" s="264" t="s">
        <v>996</v>
      </c>
      <c r="T482" s="264" t="s">
        <v>997</v>
      </c>
      <c r="U482" s="264" t="s">
        <v>995</v>
      </c>
      <c r="V482" s="264" t="s">
        <v>995</v>
      </c>
      <c r="W482" s="264" t="s">
        <v>995</v>
      </c>
      <c r="X482" s="264" t="s">
        <v>828</v>
      </c>
      <c r="Y482" s="264" t="s">
        <v>998</v>
      </c>
      <c r="Z482" s="264">
        <v>31</v>
      </c>
      <c r="AA482" s="264" t="s">
        <v>999</v>
      </c>
      <c r="AB482" s="264">
        <v>31</v>
      </c>
      <c r="AC482" s="264" t="s">
        <v>999</v>
      </c>
      <c r="AD482" s="264" t="s">
        <v>1000</v>
      </c>
      <c r="AE482" s="264" t="s">
        <v>1000</v>
      </c>
      <c r="AF482" s="264" t="s">
        <v>1000</v>
      </c>
      <c r="AG482" s="264" t="s">
        <v>1000</v>
      </c>
      <c r="AH482" s="264" t="s">
        <v>1002</v>
      </c>
      <c r="AI482" s="264" t="s">
        <v>1002</v>
      </c>
      <c r="AJ482" s="264" t="s">
        <v>995</v>
      </c>
      <c r="AK482" s="264" t="s">
        <v>995</v>
      </c>
      <c r="AL482" s="264" t="s">
        <v>995</v>
      </c>
    </row>
    <row r="483" spans="1:38">
      <c r="A483" s="264">
        <v>3464</v>
      </c>
      <c r="B483" s="264" t="s">
        <v>512</v>
      </c>
      <c r="C483" s="264" t="s">
        <v>1538</v>
      </c>
      <c r="D483" s="264" t="s">
        <v>1004</v>
      </c>
      <c r="E483" s="264">
        <v>69211</v>
      </c>
      <c r="F483" s="264" t="s">
        <v>508</v>
      </c>
      <c r="G483" s="389">
        <v>35637</v>
      </c>
      <c r="H483" s="264">
        <v>26</v>
      </c>
      <c r="I483" s="389">
        <v>42461</v>
      </c>
      <c r="K483" s="390">
        <v>42461</v>
      </c>
      <c r="L483" s="264">
        <v>20</v>
      </c>
      <c r="M483" s="264" t="s">
        <v>1015</v>
      </c>
      <c r="N483" s="264">
        <v>1</v>
      </c>
      <c r="O483" s="264" t="s">
        <v>829</v>
      </c>
      <c r="P483" s="264" t="s">
        <v>994</v>
      </c>
      <c r="Q483" s="264" t="s">
        <v>1009</v>
      </c>
      <c r="R483" s="264" t="s">
        <v>1010</v>
      </c>
      <c r="S483" s="264" t="s">
        <v>996</v>
      </c>
      <c r="T483" s="264" t="s">
        <v>997</v>
      </c>
      <c r="U483" s="264" t="s">
        <v>995</v>
      </c>
      <c r="V483" s="264" t="s">
        <v>995</v>
      </c>
      <c r="W483" s="264" t="s">
        <v>995</v>
      </c>
      <c r="X483" s="264" t="s">
        <v>828</v>
      </c>
      <c r="Y483" s="264" t="s">
        <v>998</v>
      </c>
      <c r="Z483" s="264">
        <v>31</v>
      </c>
      <c r="AA483" s="264" t="s">
        <v>999</v>
      </c>
      <c r="AB483" s="264">
        <v>31</v>
      </c>
      <c r="AC483" s="264" t="s">
        <v>999</v>
      </c>
      <c r="AD483" s="264" t="s">
        <v>1000</v>
      </c>
      <c r="AE483" s="264" t="s">
        <v>1000</v>
      </c>
      <c r="AF483" s="264" t="s">
        <v>1000</v>
      </c>
      <c r="AG483" s="264" t="s">
        <v>1000</v>
      </c>
      <c r="AH483" s="264" t="s">
        <v>1002</v>
      </c>
      <c r="AI483" s="264" t="s">
        <v>1002</v>
      </c>
      <c r="AJ483" s="264" t="s">
        <v>995</v>
      </c>
      <c r="AK483" s="264" t="s">
        <v>995</v>
      </c>
      <c r="AL483" s="264" t="s">
        <v>995</v>
      </c>
    </row>
    <row r="484" spans="1:38">
      <c r="A484" s="264">
        <v>3487</v>
      </c>
      <c r="B484" s="264" t="s">
        <v>480</v>
      </c>
      <c r="C484" s="264" t="s">
        <v>1498</v>
      </c>
      <c r="D484" s="264" t="s">
        <v>1004</v>
      </c>
      <c r="E484" s="264">
        <v>67211</v>
      </c>
      <c r="F484" s="264" t="s">
        <v>476</v>
      </c>
      <c r="G484" s="389">
        <v>35915</v>
      </c>
      <c r="H484" s="264">
        <v>25</v>
      </c>
      <c r="I484" s="389">
        <v>42826</v>
      </c>
      <c r="K484" s="390">
        <v>42856</v>
      </c>
      <c r="L484" s="264">
        <v>20</v>
      </c>
      <c r="M484" s="264" t="s">
        <v>1015</v>
      </c>
      <c r="N484" s="264">
        <v>1</v>
      </c>
      <c r="O484" s="264" t="s">
        <v>829</v>
      </c>
      <c r="P484" s="264" t="s">
        <v>994</v>
      </c>
      <c r="Q484" s="264" t="s">
        <v>1009</v>
      </c>
      <c r="R484" s="264" t="s">
        <v>1010</v>
      </c>
      <c r="S484" s="264" t="s">
        <v>996</v>
      </c>
      <c r="T484" s="264" t="s">
        <v>997</v>
      </c>
      <c r="U484" s="264" t="s">
        <v>995</v>
      </c>
      <c r="V484" s="264" t="s">
        <v>995</v>
      </c>
      <c r="W484" s="264" t="s">
        <v>995</v>
      </c>
      <c r="X484" s="264" t="s">
        <v>828</v>
      </c>
      <c r="Y484" s="264" t="s">
        <v>998</v>
      </c>
      <c r="Z484" s="264">
        <v>31</v>
      </c>
      <c r="AA484" s="264" t="s">
        <v>999</v>
      </c>
      <c r="AB484" s="264">
        <v>31</v>
      </c>
      <c r="AC484" s="264" t="s">
        <v>999</v>
      </c>
      <c r="AD484" s="264" t="s">
        <v>1000</v>
      </c>
      <c r="AE484" s="264" t="s">
        <v>1000</v>
      </c>
      <c r="AF484" s="264" t="s">
        <v>1000</v>
      </c>
      <c r="AG484" s="264" t="s">
        <v>1000</v>
      </c>
      <c r="AH484" s="264" t="s">
        <v>1002</v>
      </c>
      <c r="AI484" s="264" t="s">
        <v>1002</v>
      </c>
      <c r="AJ484" s="264" t="s">
        <v>995</v>
      </c>
      <c r="AK484" s="264" t="s">
        <v>995</v>
      </c>
      <c r="AL484" s="264" t="s">
        <v>995</v>
      </c>
    </row>
    <row r="485" spans="1:38">
      <c r="A485" s="264">
        <v>3986</v>
      </c>
      <c r="B485" s="264" t="s">
        <v>511</v>
      </c>
      <c r="C485" s="264" t="s">
        <v>1499</v>
      </c>
      <c r="D485" s="264" t="s">
        <v>1004</v>
      </c>
      <c r="E485" s="264">
        <v>67211</v>
      </c>
      <c r="F485" s="264" t="s">
        <v>476</v>
      </c>
      <c r="G485" s="389">
        <v>24899</v>
      </c>
      <c r="H485" s="264">
        <v>55</v>
      </c>
      <c r="I485" s="389">
        <v>39376</v>
      </c>
      <c r="K485" s="390">
        <v>42278</v>
      </c>
      <c r="L485" s="264">
        <v>20</v>
      </c>
      <c r="M485" s="264" t="s">
        <v>1015</v>
      </c>
      <c r="N485" s="264">
        <v>1</v>
      </c>
      <c r="O485" s="264" t="s">
        <v>829</v>
      </c>
      <c r="P485" s="264" t="s">
        <v>994</v>
      </c>
      <c r="Q485" s="264" t="s">
        <v>1009</v>
      </c>
      <c r="R485" s="264" t="s">
        <v>1010</v>
      </c>
      <c r="S485" s="264" t="s">
        <v>996</v>
      </c>
      <c r="T485" s="264" t="s">
        <v>997</v>
      </c>
      <c r="U485" s="264" t="s">
        <v>995</v>
      </c>
      <c r="V485" s="264" t="s">
        <v>995</v>
      </c>
      <c r="W485" s="264" t="s">
        <v>995</v>
      </c>
      <c r="X485" s="264" t="s">
        <v>828</v>
      </c>
      <c r="Y485" s="264" t="s">
        <v>998</v>
      </c>
      <c r="Z485" s="264">
        <v>31</v>
      </c>
      <c r="AA485" s="264" t="s">
        <v>999</v>
      </c>
      <c r="AB485" s="264">
        <v>31</v>
      </c>
      <c r="AC485" s="264" t="s">
        <v>999</v>
      </c>
      <c r="AD485" s="264" t="s">
        <v>1000</v>
      </c>
      <c r="AE485" s="264" t="s">
        <v>1000</v>
      </c>
      <c r="AF485" s="264" t="s">
        <v>1000</v>
      </c>
      <c r="AG485" s="264" t="s">
        <v>1000</v>
      </c>
      <c r="AH485" s="264" t="s">
        <v>1002</v>
      </c>
      <c r="AI485" s="264" t="s">
        <v>1002</v>
      </c>
      <c r="AJ485" s="264" t="s">
        <v>995</v>
      </c>
      <c r="AK485" s="264" t="s">
        <v>995</v>
      </c>
      <c r="AL485" s="264" t="s">
        <v>995</v>
      </c>
    </row>
    <row r="486" spans="1:38">
      <c r="A486" s="264">
        <v>3997</v>
      </c>
      <c r="B486" s="264" t="s">
        <v>505</v>
      </c>
      <c r="C486" s="264" t="s">
        <v>1536</v>
      </c>
      <c r="D486" s="264" t="s">
        <v>1004</v>
      </c>
      <c r="E486" s="264">
        <v>69111</v>
      </c>
      <c r="F486" s="264" t="s">
        <v>506</v>
      </c>
      <c r="G486" s="389">
        <v>28068</v>
      </c>
      <c r="H486" s="264">
        <v>47</v>
      </c>
      <c r="I486" s="389">
        <v>39528</v>
      </c>
      <c r="K486" s="390">
        <v>42278</v>
      </c>
      <c r="L486" s="264">
        <v>20</v>
      </c>
      <c r="M486" s="264" t="s">
        <v>1015</v>
      </c>
      <c r="N486" s="264">
        <v>1</v>
      </c>
      <c r="O486" s="264" t="s">
        <v>829</v>
      </c>
      <c r="P486" s="264" t="s">
        <v>994</v>
      </c>
      <c r="Q486" s="264" t="s">
        <v>1009</v>
      </c>
      <c r="R486" s="264" t="s">
        <v>1010</v>
      </c>
      <c r="S486" s="264" t="s">
        <v>996</v>
      </c>
      <c r="T486" s="264" t="s">
        <v>997</v>
      </c>
      <c r="U486" s="264" t="s">
        <v>995</v>
      </c>
      <c r="V486" s="264" t="s">
        <v>995</v>
      </c>
      <c r="W486" s="264" t="s">
        <v>995</v>
      </c>
      <c r="X486" s="264" t="s">
        <v>828</v>
      </c>
      <c r="Y486" s="264" t="s">
        <v>998</v>
      </c>
      <c r="Z486" s="264">
        <v>31</v>
      </c>
      <c r="AA486" s="264" t="s">
        <v>999</v>
      </c>
      <c r="AB486" s="264">
        <v>31</v>
      </c>
      <c r="AC486" s="264" t="s">
        <v>999</v>
      </c>
      <c r="AD486" s="264" t="s">
        <v>1000</v>
      </c>
      <c r="AE486" s="264" t="s">
        <v>1000</v>
      </c>
      <c r="AF486" s="264" t="s">
        <v>1000</v>
      </c>
      <c r="AG486" s="264" t="s">
        <v>1000</v>
      </c>
      <c r="AH486" s="264" t="s">
        <v>1002</v>
      </c>
      <c r="AI486" s="264" t="s">
        <v>1002</v>
      </c>
      <c r="AJ486" s="264" t="s">
        <v>995</v>
      </c>
      <c r="AK486" s="264" t="s">
        <v>995</v>
      </c>
      <c r="AL486" s="264" t="s">
        <v>995</v>
      </c>
    </row>
    <row r="487" spans="1:38">
      <c r="A487" s="264">
        <v>8212</v>
      </c>
      <c r="B487" s="264" t="s">
        <v>842</v>
      </c>
      <c r="C487" s="264" t="s">
        <v>1539</v>
      </c>
      <c r="D487" s="264" t="s">
        <v>1004</v>
      </c>
      <c r="E487" s="264">
        <v>69211</v>
      </c>
      <c r="F487" s="264" t="s">
        <v>508</v>
      </c>
      <c r="G487" s="389">
        <v>22943</v>
      </c>
      <c r="H487" s="264">
        <v>61</v>
      </c>
      <c r="I487" s="389">
        <v>29654</v>
      </c>
      <c r="K487" s="390">
        <v>44866</v>
      </c>
      <c r="L487" s="264">
        <v>70</v>
      </c>
      <c r="M487" s="264" t="s">
        <v>1024</v>
      </c>
      <c r="N487" s="264">
        <v>1</v>
      </c>
      <c r="O487" s="264" t="s">
        <v>829</v>
      </c>
      <c r="P487" s="264" t="s">
        <v>994</v>
      </c>
      <c r="Q487" s="264" t="s">
        <v>1009</v>
      </c>
      <c r="R487" s="264" t="s">
        <v>1010</v>
      </c>
      <c r="S487" s="264" t="s">
        <v>996</v>
      </c>
      <c r="T487" s="264" t="s">
        <v>997</v>
      </c>
      <c r="U487" s="264" t="s">
        <v>995</v>
      </c>
      <c r="V487" s="264" t="s">
        <v>995</v>
      </c>
      <c r="W487" s="264" t="s">
        <v>995</v>
      </c>
      <c r="X487" s="264" t="s">
        <v>828</v>
      </c>
      <c r="Y487" s="264" t="s">
        <v>998</v>
      </c>
      <c r="Z487" s="264">
        <v>31</v>
      </c>
      <c r="AA487" s="264" t="s">
        <v>999</v>
      </c>
      <c r="AB487" s="264">
        <v>31</v>
      </c>
      <c r="AC487" s="264" t="s">
        <v>999</v>
      </c>
      <c r="AD487" s="264" t="s">
        <v>1000</v>
      </c>
      <c r="AE487" s="264" t="s">
        <v>1000</v>
      </c>
      <c r="AF487" s="264" t="s">
        <v>1000</v>
      </c>
      <c r="AG487" s="264" t="s">
        <v>1000</v>
      </c>
      <c r="AH487" s="264" t="s">
        <v>1002</v>
      </c>
      <c r="AI487" s="264" t="s">
        <v>1002</v>
      </c>
      <c r="AJ487" s="264" t="s">
        <v>995</v>
      </c>
      <c r="AK487" s="264" t="s">
        <v>995</v>
      </c>
      <c r="AL487" s="264" t="s">
        <v>995</v>
      </c>
    </row>
    <row r="488" spans="1:38">
      <c r="A488" s="264">
        <v>8255</v>
      </c>
      <c r="B488" s="264" t="s">
        <v>1608</v>
      </c>
      <c r="C488" s="264" t="s">
        <v>1609</v>
      </c>
      <c r="D488" s="264" t="s">
        <v>991</v>
      </c>
      <c r="E488" s="264">
        <v>69221</v>
      </c>
      <c r="F488" s="264" t="s">
        <v>508</v>
      </c>
      <c r="G488" s="389">
        <v>25875</v>
      </c>
      <c r="H488" s="264">
        <v>53</v>
      </c>
      <c r="I488" s="389">
        <v>45313</v>
      </c>
      <c r="K488" s="390">
        <v>45323</v>
      </c>
      <c r="L488" s="264">
        <v>70</v>
      </c>
      <c r="M488" s="264" t="s">
        <v>1024</v>
      </c>
      <c r="N488" s="264">
        <v>1</v>
      </c>
      <c r="O488" s="264" t="s">
        <v>829</v>
      </c>
      <c r="P488" s="264" t="s">
        <v>994</v>
      </c>
      <c r="Q488" s="264" t="s">
        <v>1009</v>
      </c>
      <c r="R488" s="264" t="s">
        <v>1010</v>
      </c>
      <c r="S488" s="264" t="s">
        <v>996</v>
      </c>
      <c r="T488" s="264" t="s">
        <v>997</v>
      </c>
      <c r="U488" s="264" t="s">
        <v>995</v>
      </c>
      <c r="V488" s="264" t="s">
        <v>995</v>
      </c>
      <c r="W488" s="264" t="s">
        <v>995</v>
      </c>
      <c r="X488" s="264" t="s">
        <v>828</v>
      </c>
      <c r="Y488" s="264" t="s">
        <v>998</v>
      </c>
      <c r="Z488" s="264">
        <v>31</v>
      </c>
      <c r="AA488" s="264" t="s">
        <v>999</v>
      </c>
      <c r="AB488" s="264">
        <v>31</v>
      </c>
      <c r="AC488" s="264" t="s">
        <v>999</v>
      </c>
      <c r="AD488" s="264" t="s">
        <v>1000</v>
      </c>
      <c r="AE488" s="264" t="s">
        <v>1000</v>
      </c>
      <c r="AF488" s="264" t="s">
        <v>1000</v>
      </c>
      <c r="AG488" s="264" t="s">
        <v>1000</v>
      </c>
      <c r="AH488" s="264" t="s">
        <v>1002</v>
      </c>
      <c r="AI488" s="264" t="s">
        <v>1002</v>
      </c>
      <c r="AJ488" s="264" t="s">
        <v>995</v>
      </c>
      <c r="AK488" s="264" t="s">
        <v>995</v>
      </c>
      <c r="AL488" s="264" t="s">
        <v>995</v>
      </c>
    </row>
    <row r="489" spans="1:38">
      <c r="A489" s="264">
        <v>1341</v>
      </c>
      <c r="B489" s="264" t="s">
        <v>137</v>
      </c>
      <c r="C489" s="264" t="s">
        <v>1367</v>
      </c>
      <c r="D489" s="264" t="s">
        <v>1004</v>
      </c>
      <c r="E489" s="264">
        <v>60300</v>
      </c>
      <c r="F489" s="264" t="s">
        <v>138</v>
      </c>
      <c r="G489" s="389">
        <v>26017</v>
      </c>
      <c r="H489" s="264">
        <v>52</v>
      </c>
      <c r="I489" s="389">
        <v>38797</v>
      </c>
      <c r="K489" s="390">
        <v>42278</v>
      </c>
      <c r="L489" s="264">
        <v>20</v>
      </c>
      <c r="M489" s="264" t="s">
        <v>1015</v>
      </c>
      <c r="N489" s="264">
        <v>1</v>
      </c>
      <c r="O489" s="264" t="s">
        <v>829</v>
      </c>
      <c r="P489" s="264" t="s">
        <v>994</v>
      </c>
      <c r="Q489" s="264" t="s">
        <v>1009</v>
      </c>
      <c r="R489" s="264" t="s">
        <v>1010</v>
      </c>
      <c r="S489" s="264" t="s">
        <v>996</v>
      </c>
      <c r="T489" s="264" t="s">
        <v>997</v>
      </c>
      <c r="U489" s="264" t="s">
        <v>995</v>
      </c>
      <c r="V489" s="264" t="s">
        <v>995</v>
      </c>
      <c r="W489" s="264" t="s">
        <v>995</v>
      </c>
      <c r="X489" s="264" t="s">
        <v>828</v>
      </c>
      <c r="Y489" s="264" t="s">
        <v>998</v>
      </c>
      <c r="Z489" s="264">
        <v>31</v>
      </c>
      <c r="AA489" s="264" t="s">
        <v>999</v>
      </c>
      <c r="AB489" s="264">
        <v>31</v>
      </c>
      <c r="AC489" s="264" t="s">
        <v>999</v>
      </c>
      <c r="AD489" s="264" t="s">
        <v>1000</v>
      </c>
      <c r="AE489" s="264" t="s">
        <v>1000</v>
      </c>
      <c r="AF489" s="264" t="s">
        <v>1000</v>
      </c>
      <c r="AG489" s="264" t="s">
        <v>1000</v>
      </c>
      <c r="AH489" s="264" t="s">
        <v>1002</v>
      </c>
      <c r="AI489" s="264" t="s">
        <v>1002</v>
      </c>
      <c r="AJ489" s="264" t="s">
        <v>995</v>
      </c>
      <c r="AK489" s="264" t="s">
        <v>995</v>
      </c>
      <c r="AL489" s="264" t="s">
        <v>995</v>
      </c>
    </row>
    <row r="490" spans="1:38">
      <c r="A490" s="264">
        <v>2829</v>
      </c>
      <c r="B490" s="264" t="s">
        <v>102</v>
      </c>
      <c r="C490" s="264" t="s">
        <v>1368</v>
      </c>
      <c r="D490" s="264" t="s">
        <v>1004</v>
      </c>
      <c r="E490" s="264">
        <v>60300</v>
      </c>
      <c r="F490" s="264" t="s">
        <v>138</v>
      </c>
      <c r="G490" s="389">
        <v>25636</v>
      </c>
      <c r="H490" s="264">
        <v>53</v>
      </c>
      <c r="I490" s="389">
        <v>32226</v>
      </c>
      <c r="K490" s="390">
        <v>42278</v>
      </c>
      <c r="L490" s="264">
        <v>20</v>
      </c>
      <c r="M490" s="264" t="s">
        <v>1015</v>
      </c>
      <c r="N490" s="264">
        <v>1</v>
      </c>
      <c r="O490" s="264" t="s">
        <v>829</v>
      </c>
      <c r="P490" s="264" t="s">
        <v>994</v>
      </c>
      <c r="Q490" s="264" t="s">
        <v>1009</v>
      </c>
      <c r="R490" s="264" t="s">
        <v>1010</v>
      </c>
      <c r="S490" s="264" t="s">
        <v>996</v>
      </c>
      <c r="T490" s="264" t="s">
        <v>997</v>
      </c>
      <c r="U490" s="264" t="s">
        <v>995</v>
      </c>
      <c r="V490" s="264" t="s">
        <v>995</v>
      </c>
      <c r="W490" s="264" t="s">
        <v>995</v>
      </c>
      <c r="X490" s="264" t="s">
        <v>828</v>
      </c>
      <c r="Y490" s="264" t="s">
        <v>998</v>
      </c>
      <c r="Z490" s="264">
        <v>31</v>
      </c>
      <c r="AA490" s="264" t="s">
        <v>999</v>
      </c>
      <c r="AB490" s="264">
        <v>31</v>
      </c>
      <c r="AC490" s="264" t="s">
        <v>999</v>
      </c>
      <c r="AD490" s="264" t="s">
        <v>1000</v>
      </c>
      <c r="AE490" s="264" t="s">
        <v>1000</v>
      </c>
      <c r="AF490" s="264" t="s">
        <v>1000</v>
      </c>
      <c r="AG490" s="264" t="s">
        <v>1000</v>
      </c>
      <c r="AH490" s="264" t="s">
        <v>1002</v>
      </c>
      <c r="AI490" s="264" t="s">
        <v>1002</v>
      </c>
      <c r="AJ490" s="264" t="s">
        <v>995</v>
      </c>
      <c r="AK490" s="264" t="s">
        <v>995</v>
      </c>
      <c r="AL490" s="264" t="s">
        <v>995</v>
      </c>
    </row>
    <row r="491" spans="1:38">
      <c r="A491" s="264">
        <v>2953</v>
      </c>
      <c r="B491" s="264" t="s">
        <v>145</v>
      </c>
      <c r="C491" s="264" t="s">
        <v>1369</v>
      </c>
      <c r="D491" s="264" t="s">
        <v>1004</v>
      </c>
      <c r="E491" s="264">
        <v>60300</v>
      </c>
      <c r="F491" s="264" t="s">
        <v>138</v>
      </c>
      <c r="G491" s="389">
        <v>27328</v>
      </c>
      <c r="H491" s="264">
        <v>49</v>
      </c>
      <c r="I491" s="389">
        <v>34050</v>
      </c>
      <c r="K491" s="390">
        <v>42278</v>
      </c>
      <c r="L491" s="264">
        <v>20</v>
      </c>
      <c r="M491" s="264" t="s">
        <v>1015</v>
      </c>
      <c r="N491" s="264">
        <v>1</v>
      </c>
      <c r="O491" s="264" t="s">
        <v>829</v>
      </c>
      <c r="P491" s="264" t="s">
        <v>994</v>
      </c>
      <c r="Q491" s="264" t="s">
        <v>1009</v>
      </c>
      <c r="R491" s="264" t="s">
        <v>1010</v>
      </c>
      <c r="S491" s="264" t="s">
        <v>996</v>
      </c>
      <c r="T491" s="264" t="s">
        <v>997</v>
      </c>
      <c r="U491" s="264" t="s">
        <v>995</v>
      </c>
      <c r="V491" s="264" t="s">
        <v>995</v>
      </c>
      <c r="W491" s="264" t="s">
        <v>995</v>
      </c>
      <c r="X491" s="264" t="s">
        <v>828</v>
      </c>
      <c r="Y491" s="264" t="s">
        <v>998</v>
      </c>
      <c r="Z491" s="264">
        <v>31</v>
      </c>
      <c r="AA491" s="264" t="s">
        <v>999</v>
      </c>
      <c r="AB491" s="264">
        <v>31</v>
      </c>
      <c r="AC491" s="264" t="s">
        <v>999</v>
      </c>
      <c r="AD491" s="264" t="s">
        <v>1000</v>
      </c>
      <c r="AE491" s="264" t="s">
        <v>1000</v>
      </c>
      <c r="AF491" s="264" t="s">
        <v>1000</v>
      </c>
      <c r="AG491" s="264" t="s">
        <v>1000</v>
      </c>
      <c r="AH491" s="264" t="s">
        <v>1002</v>
      </c>
      <c r="AI491" s="264" t="s">
        <v>1002</v>
      </c>
      <c r="AJ491" s="264" t="s">
        <v>995</v>
      </c>
      <c r="AK491" s="264" t="s">
        <v>995</v>
      </c>
      <c r="AL491" s="264" t="s">
        <v>995</v>
      </c>
    </row>
    <row r="492" spans="1:38">
      <c r="A492" s="264">
        <v>3137</v>
      </c>
      <c r="B492" s="264" t="s">
        <v>140</v>
      </c>
      <c r="C492" s="264" t="s">
        <v>1370</v>
      </c>
      <c r="D492" s="264" t="s">
        <v>1004</v>
      </c>
      <c r="E492" s="264">
        <v>60300</v>
      </c>
      <c r="F492" s="264" t="s">
        <v>138</v>
      </c>
      <c r="G492" s="389">
        <v>28049</v>
      </c>
      <c r="H492" s="264">
        <v>47</v>
      </c>
      <c r="I492" s="389">
        <v>35510</v>
      </c>
      <c r="K492" s="390">
        <v>42278</v>
      </c>
      <c r="L492" s="264">
        <v>20</v>
      </c>
      <c r="M492" s="264" t="s">
        <v>1015</v>
      </c>
      <c r="N492" s="264">
        <v>1</v>
      </c>
      <c r="O492" s="264" t="s">
        <v>829</v>
      </c>
      <c r="P492" s="264" t="s">
        <v>994</v>
      </c>
      <c r="Q492" s="264" t="s">
        <v>1009</v>
      </c>
      <c r="R492" s="264" t="s">
        <v>1010</v>
      </c>
      <c r="S492" s="264" t="s">
        <v>996</v>
      </c>
      <c r="T492" s="264" t="s">
        <v>997</v>
      </c>
      <c r="U492" s="264" t="s">
        <v>995</v>
      </c>
      <c r="V492" s="264" t="s">
        <v>995</v>
      </c>
      <c r="W492" s="264" t="s">
        <v>995</v>
      </c>
      <c r="X492" s="264" t="s">
        <v>828</v>
      </c>
      <c r="Y492" s="264" t="s">
        <v>998</v>
      </c>
      <c r="Z492" s="264">
        <v>31</v>
      </c>
      <c r="AA492" s="264" t="s">
        <v>999</v>
      </c>
      <c r="AB492" s="264">
        <v>31</v>
      </c>
      <c r="AC492" s="264" t="s">
        <v>999</v>
      </c>
      <c r="AD492" s="264" t="s">
        <v>1000</v>
      </c>
      <c r="AE492" s="264" t="s">
        <v>1000</v>
      </c>
      <c r="AF492" s="264" t="s">
        <v>1000</v>
      </c>
      <c r="AG492" s="264" t="s">
        <v>1000</v>
      </c>
      <c r="AH492" s="264" t="s">
        <v>1002</v>
      </c>
      <c r="AI492" s="264" t="s">
        <v>1002</v>
      </c>
      <c r="AJ492" s="264" t="s">
        <v>995</v>
      </c>
      <c r="AK492" s="264" t="s">
        <v>995</v>
      </c>
      <c r="AL492" s="264" t="s">
        <v>995</v>
      </c>
    </row>
    <row r="493" spans="1:38">
      <c r="A493" s="264">
        <v>3762</v>
      </c>
      <c r="B493" s="264" t="s">
        <v>139</v>
      </c>
      <c r="C493" s="264" t="s">
        <v>1371</v>
      </c>
      <c r="D493" s="264" t="s">
        <v>1004</v>
      </c>
      <c r="E493" s="264">
        <v>60300</v>
      </c>
      <c r="F493" s="264" t="s">
        <v>138</v>
      </c>
      <c r="G493" s="389">
        <v>24951</v>
      </c>
      <c r="H493" s="264">
        <v>55</v>
      </c>
      <c r="I493" s="389">
        <v>32623</v>
      </c>
      <c r="K493" s="390">
        <v>42278</v>
      </c>
      <c r="L493" s="264">
        <v>20</v>
      </c>
      <c r="M493" s="264" t="s">
        <v>1015</v>
      </c>
      <c r="N493" s="264">
        <v>1</v>
      </c>
      <c r="O493" s="264" t="s">
        <v>829</v>
      </c>
      <c r="P493" s="264" t="s">
        <v>994</v>
      </c>
      <c r="Q493" s="264" t="s">
        <v>1009</v>
      </c>
      <c r="R493" s="264" t="s">
        <v>1010</v>
      </c>
      <c r="S493" s="264" t="s">
        <v>996</v>
      </c>
      <c r="T493" s="264" t="s">
        <v>997</v>
      </c>
      <c r="U493" s="264" t="s">
        <v>995</v>
      </c>
      <c r="V493" s="264" t="s">
        <v>995</v>
      </c>
      <c r="W493" s="264" t="s">
        <v>995</v>
      </c>
      <c r="X493" s="264" t="s">
        <v>828</v>
      </c>
      <c r="Y493" s="264" t="s">
        <v>998</v>
      </c>
      <c r="Z493" s="264">
        <v>31</v>
      </c>
      <c r="AA493" s="264" t="s">
        <v>999</v>
      </c>
      <c r="AB493" s="264">
        <v>31</v>
      </c>
      <c r="AC493" s="264" t="s">
        <v>999</v>
      </c>
      <c r="AD493" s="264" t="s">
        <v>1000</v>
      </c>
      <c r="AE493" s="264" t="s">
        <v>1000</v>
      </c>
      <c r="AF493" s="264" t="s">
        <v>1000</v>
      </c>
      <c r="AG493" s="264" t="s">
        <v>1000</v>
      </c>
      <c r="AH493" s="264" t="s">
        <v>1002</v>
      </c>
      <c r="AI493" s="264" t="s">
        <v>1002</v>
      </c>
      <c r="AJ493" s="264" t="s">
        <v>995</v>
      </c>
      <c r="AK493" s="264" t="s">
        <v>995</v>
      </c>
      <c r="AL493" s="264" t="s">
        <v>995</v>
      </c>
    </row>
    <row r="494" spans="1:38">
      <c r="A494" s="264">
        <v>3959</v>
      </c>
      <c r="B494" s="264" t="s">
        <v>142</v>
      </c>
      <c r="C494" s="264" t="s">
        <v>1372</v>
      </c>
      <c r="D494" s="264" t="s">
        <v>1004</v>
      </c>
      <c r="E494" s="264">
        <v>60300</v>
      </c>
      <c r="F494" s="264" t="s">
        <v>138</v>
      </c>
      <c r="G494" s="389">
        <v>24670</v>
      </c>
      <c r="H494" s="264">
        <v>56</v>
      </c>
      <c r="I494" s="389">
        <v>39246</v>
      </c>
      <c r="K494" s="390">
        <v>42278</v>
      </c>
      <c r="L494" s="264">
        <v>20</v>
      </c>
      <c r="M494" s="264" t="s">
        <v>1015</v>
      </c>
      <c r="N494" s="264">
        <v>1</v>
      </c>
      <c r="O494" s="264" t="s">
        <v>829</v>
      </c>
      <c r="P494" s="264" t="s">
        <v>994</v>
      </c>
      <c r="Q494" s="264" t="s">
        <v>1009</v>
      </c>
      <c r="R494" s="264" t="s">
        <v>1010</v>
      </c>
      <c r="S494" s="264" t="s">
        <v>996</v>
      </c>
      <c r="T494" s="264" t="s">
        <v>997</v>
      </c>
      <c r="U494" s="264" t="s">
        <v>995</v>
      </c>
      <c r="V494" s="264" t="s">
        <v>995</v>
      </c>
      <c r="W494" s="264" t="s">
        <v>995</v>
      </c>
      <c r="X494" s="264" t="s">
        <v>828</v>
      </c>
      <c r="Y494" s="264" t="s">
        <v>998</v>
      </c>
      <c r="Z494" s="264">
        <v>31</v>
      </c>
      <c r="AA494" s="264" t="s">
        <v>999</v>
      </c>
      <c r="AB494" s="264">
        <v>31</v>
      </c>
      <c r="AC494" s="264" t="s">
        <v>999</v>
      </c>
      <c r="AD494" s="264" t="s">
        <v>1000</v>
      </c>
      <c r="AE494" s="264" t="s">
        <v>1000</v>
      </c>
      <c r="AF494" s="264" t="s">
        <v>1000</v>
      </c>
      <c r="AG494" s="264" t="s">
        <v>1000</v>
      </c>
      <c r="AH494" s="264" t="s">
        <v>1002</v>
      </c>
      <c r="AI494" s="264" t="s">
        <v>1002</v>
      </c>
      <c r="AJ494" s="264" t="s">
        <v>995</v>
      </c>
      <c r="AK494" s="264" t="s">
        <v>995</v>
      </c>
      <c r="AL494" s="264" t="s">
        <v>995</v>
      </c>
    </row>
    <row r="495" spans="1:38">
      <c r="A495" s="264">
        <v>3970</v>
      </c>
      <c r="B495" s="264" t="s">
        <v>143</v>
      </c>
      <c r="C495" s="264" t="s">
        <v>1282</v>
      </c>
      <c r="D495" s="264" t="s">
        <v>1004</v>
      </c>
      <c r="E495" s="264">
        <v>60300</v>
      </c>
      <c r="F495" s="264" t="s">
        <v>138</v>
      </c>
      <c r="G495" s="389">
        <v>23633</v>
      </c>
      <c r="H495" s="264">
        <v>59</v>
      </c>
      <c r="I495" s="389">
        <v>39335</v>
      </c>
      <c r="K495" s="390">
        <v>42278</v>
      </c>
      <c r="L495" s="264">
        <v>20</v>
      </c>
      <c r="M495" s="264" t="s">
        <v>1015</v>
      </c>
      <c r="N495" s="264">
        <v>1</v>
      </c>
      <c r="O495" s="264" t="s">
        <v>829</v>
      </c>
      <c r="P495" s="264" t="s">
        <v>994</v>
      </c>
      <c r="Q495" s="264" t="s">
        <v>1009</v>
      </c>
      <c r="R495" s="264" t="s">
        <v>1010</v>
      </c>
      <c r="S495" s="264" t="s">
        <v>996</v>
      </c>
      <c r="T495" s="264" t="s">
        <v>997</v>
      </c>
      <c r="U495" s="264" t="s">
        <v>995</v>
      </c>
      <c r="V495" s="264" t="s">
        <v>995</v>
      </c>
      <c r="W495" s="264" t="s">
        <v>995</v>
      </c>
      <c r="X495" s="264" t="s">
        <v>828</v>
      </c>
      <c r="Y495" s="264" t="s">
        <v>998</v>
      </c>
      <c r="Z495" s="264">
        <v>31</v>
      </c>
      <c r="AA495" s="264" t="s">
        <v>999</v>
      </c>
      <c r="AB495" s="264">
        <v>31</v>
      </c>
      <c r="AC495" s="264" t="s">
        <v>999</v>
      </c>
      <c r="AD495" s="264" t="s">
        <v>1000</v>
      </c>
      <c r="AE495" s="264" t="s">
        <v>1000</v>
      </c>
      <c r="AF495" s="264" t="s">
        <v>1000</v>
      </c>
      <c r="AG495" s="264" t="s">
        <v>1000</v>
      </c>
      <c r="AH495" s="264" t="s">
        <v>1002</v>
      </c>
      <c r="AI495" s="264" t="s">
        <v>1002</v>
      </c>
      <c r="AJ495" s="264" t="s">
        <v>995</v>
      </c>
      <c r="AK495" s="264" t="s">
        <v>995</v>
      </c>
      <c r="AL495" s="264" t="s">
        <v>995</v>
      </c>
    </row>
    <row r="496" spans="1:38">
      <c r="A496" s="264">
        <v>3994</v>
      </c>
      <c r="B496" s="264" t="s">
        <v>144</v>
      </c>
      <c r="C496" s="264" t="s">
        <v>1373</v>
      </c>
      <c r="D496" s="264" t="s">
        <v>1004</v>
      </c>
      <c r="E496" s="264">
        <v>60300</v>
      </c>
      <c r="F496" s="264" t="s">
        <v>138</v>
      </c>
      <c r="G496" s="389">
        <v>27488</v>
      </c>
      <c r="H496" s="264">
        <v>48</v>
      </c>
      <c r="I496" s="389">
        <v>39468</v>
      </c>
      <c r="K496" s="390">
        <v>42278</v>
      </c>
      <c r="L496" s="264">
        <v>20</v>
      </c>
      <c r="M496" s="264" t="s">
        <v>1015</v>
      </c>
      <c r="N496" s="264">
        <v>1</v>
      </c>
      <c r="O496" s="264" t="s">
        <v>829</v>
      </c>
      <c r="P496" s="264" t="s">
        <v>994</v>
      </c>
      <c r="Q496" s="264" t="s">
        <v>1009</v>
      </c>
      <c r="R496" s="264" t="s">
        <v>1010</v>
      </c>
      <c r="S496" s="264" t="s">
        <v>996</v>
      </c>
      <c r="T496" s="264" t="s">
        <v>997</v>
      </c>
      <c r="U496" s="264" t="s">
        <v>995</v>
      </c>
      <c r="V496" s="264" t="s">
        <v>995</v>
      </c>
      <c r="W496" s="264" t="s">
        <v>995</v>
      </c>
      <c r="X496" s="264" t="s">
        <v>828</v>
      </c>
      <c r="Y496" s="264" t="s">
        <v>998</v>
      </c>
      <c r="Z496" s="264">
        <v>31</v>
      </c>
      <c r="AA496" s="264" t="s">
        <v>999</v>
      </c>
      <c r="AB496" s="264">
        <v>31</v>
      </c>
      <c r="AC496" s="264" t="s">
        <v>999</v>
      </c>
      <c r="AD496" s="264" t="s">
        <v>1000</v>
      </c>
      <c r="AE496" s="264" t="s">
        <v>1000</v>
      </c>
      <c r="AF496" s="264" t="s">
        <v>1000</v>
      </c>
      <c r="AG496" s="264" t="s">
        <v>1000</v>
      </c>
      <c r="AH496" s="264" t="s">
        <v>1002</v>
      </c>
      <c r="AI496" s="264" t="s">
        <v>1002</v>
      </c>
      <c r="AJ496" s="264" t="s">
        <v>995</v>
      </c>
      <c r="AK496" s="264" t="s">
        <v>995</v>
      </c>
      <c r="AL496" s="264" t="s">
        <v>995</v>
      </c>
    </row>
    <row r="497" spans="1:38">
      <c r="A497" s="264">
        <v>8171</v>
      </c>
      <c r="B497" s="264" t="s">
        <v>563</v>
      </c>
      <c r="C497" s="264" t="s">
        <v>1380</v>
      </c>
      <c r="D497" s="264" t="s">
        <v>1004</v>
      </c>
      <c r="E497" s="264">
        <v>60421</v>
      </c>
      <c r="F497" s="264" t="s">
        <v>411</v>
      </c>
      <c r="G497" s="389">
        <v>21147</v>
      </c>
      <c r="H497" s="264">
        <v>66</v>
      </c>
      <c r="I497" s="389">
        <v>43063</v>
      </c>
      <c r="K497" s="390">
        <v>42736</v>
      </c>
      <c r="L497" s="264">
        <v>70</v>
      </c>
      <c r="M497" s="264" t="s">
        <v>1024</v>
      </c>
      <c r="N497" s="264">
        <v>1</v>
      </c>
      <c r="O497" s="264" t="s">
        <v>829</v>
      </c>
      <c r="P497" s="264" t="s">
        <v>994</v>
      </c>
      <c r="Q497" s="264" t="s">
        <v>1009</v>
      </c>
      <c r="R497" s="264" t="s">
        <v>1010</v>
      </c>
      <c r="S497" s="264" t="s">
        <v>996</v>
      </c>
      <c r="T497" s="264" t="s">
        <v>997</v>
      </c>
      <c r="U497" s="264" t="s">
        <v>995</v>
      </c>
      <c r="V497" s="264" t="s">
        <v>995</v>
      </c>
      <c r="W497" s="264" t="s">
        <v>995</v>
      </c>
      <c r="X497" s="264" t="s">
        <v>828</v>
      </c>
      <c r="Y497" s="264" t="s">
        <v>998</v>
      </c>
      <c r="Z497" s="264">
        <v>31</v>
      </c>
      <c r="AA497" s="264" t="s">
        <v>999</v>
      </c>
      <c r="AB497" s="264">
        <v>31</v>
      </c>
      <c r="AC497" s="264" t="s">
        <v>999</v>
      </c>
      <c r="AD497" s="264" t="s">
        <v>1000</v>
      </c>
      <c r="AE497" s="264" t="s">
        <v>1000</v>
      </c>
      <c r="AF497" s="264" t="s">
        <v>1000</v>
      </c>
      <c r="AG497" s="264" t="s">
        <v>1000</v>
      </c>
      <c r="AH497" s="264" t="s">
        <v>1002</v>
      </c>
      <c r="AI497" s="264" t="s">
        <v>1002</v>
      </c>
      <c r="AJ497" s="264" t="s">
        <v>995</v>
      </c>
      <c r="AK497" s="264" t="s">
        <v>995</v>
      </c>
      <c r="AL497" s="264" t="s">
        <v>995</v>
      </c>
    </row>
    <row r="498" spans="1:38">
      <c r="A498" s="264">
        <v>2777</v>
      </c>
      <c r="B498" s="264" t="s">
        <v>413</v>
      </c>
      <c r="C498" s="264" t="s">
        <v>1374</v>
      </c>
      <c r="D498" s="264" t="s">
        <v>1004</v>
      </c>
      <c r="E498" s="264">
        <v>60411</v>
      </c>
      <c r="F498" s="264" t="s">
        <v>411</v>
      </c>
      <c r="G498" s="389">
        <v>24687</v>
      </c>
      <c r="H498" s="264">
        <v>56</v>
      </c>
      <c r="I498" s="389">
        <v>31497</v>
      </c>
      <c r="K498" s="390">
        <v>42278</v>
      </c>
      <c r="L498" s="264">
        <v>20</v>
      </c>
      <c r="M498" s="264" t="s">
        <v>1015</v>
      </c>
      <c r="N498" s="264">
        <v>1</v>
      </c>
      <c r="O498" s="264" t="s">
        <v>829</v>
      </c>
      <c r="P498" s="264" t="s">
        <v>994</v>
      </c>
      <c r="Q498" s="264" t="s">
        <v>1009</v>
      </c>
      <c r="R498" s="264" t="s">
        <v>1010</v>
      </c>
      <c r="S498" s="264" t="s">
        <v>996</v>
      </c>
      <c r="T498" s="264" t="s">
        <v>997</v>
      </c>
      <c r="U498" s="264" t="s">
        <v>995</v>
      </c>
      <c r="V498" s="264" t="s">
        <v>995</v>
      </c>
      <c r="W498" s="264" t="s">
        <v>995</v>
      </c>
      <c r="X498" s="264" t="s">
        <v>828</v>
      </c>
      <c r="Y498" s="264" t="s">
        <v>998</v>
      </c>
      <c r="Z498" s="264">
        <v>31</v>
      </c>
      <c r="AA498" s="264" t="s">
        <v>999</v>
      </c>
      <c r="AB498" s="264">
        <v>31</v>
      </c>
      <c r="AC498" s="264" t="s">
        <v>999</v>
      </c>
      <c r="AD498" s="264" t="s">
        <v>1000</v>
      </c>
      <c r="AE498" s="264" t="s">
        <v>1000</v>
      </c>
      <c r="AF498" s="264" t="s">
        <v>1000</v>
      </c>
      <c r="AG498" s="264" t="s">
        <v>1000</v>
      </c>
      <c r="AH498" s="264" t="s">
        <v>1002</v>
      </c>
      <c r="AI498" s="264" t="s">
        <v>1002</v>
      </c>
      <c r="AJ498" s="264" t="s">
        <v>995</v>
      </c>
      <c r="AK498" s="264" t="s">
        <v>995</v>
      </c>
      <c r="AL498" s="264" t="s">
        <v>995</v>
      </c>
    </row>
    <row r="499" spans="1:38">
      <c r="A499" s="264">
        <v>2883</v>
      </c>
      <c r="B499" s="264" t="s">
        <v>245</v>
      </c>
      <c r="C499" s="264" t="s">
        <v>1375</v>
      </c>
      <c r="D499" s="264" t="s">
        <v>991</v>
      </c>
      <c r="E499" s="264">
        <v>60411</v>
      </c>
      <c r="F499" s="264" t="s">
        <v>411</v>
      </c>
      <c r="G499" s="389">
        <v>26065</v>
      </c>
      <c r="H499" s="264">
        <v>52</v>
      </c>
      <c r="I499" s="389">
        <v>32954</v>
      </c>
      <c r="K499" s="390">
        <v>42278</v>
      </c>
      <c r="L499" s="264">
        <v>20</v>
      </c>
      <c r="M499" s="264" t="s">
        <v>1015</v>
      </c>
      <c r="N499" s="264">
        <v>1</v>
      </c>
      <c r="O499" s="264" t="s">
        <v>829</v>
      </c>
      <c r="P499" s="264" t="s">
        <v>994</v>
      </c>
      <c r="Q499" s="264" t="s">
        <v>1009</v>
      </c>
      <c r="R499" s="264" t="s">
        <v>1010</v>
      </c>
      <c r="S499" s="264" t="s">
        <v>996</v>
      </c>
      <c r="T499" s="264" t="s">
        <v>997</v>
      </c>
      <c r="U499" s="264" t="s">
        <v>995</v>
      </c>
      <c r="V499" s="264" t="s">
        <v>995</v>
      </c>
      <c r="W499" s="264" t="s">
        <v>995</v>
      </c>
      <c r="X499" s="264" t="s">
        <v>828</v>
      </c>
      <c r="Y499" s="264" t="s">
        <v>998</v>
      </c>
      <c r="Z499" s="264">
        <v>31</v>
      </c>
      <c r="AA499" s="264" t="s">
        <v>999</v>
      </c>
      <c r="AB499" s="264">
        <v>31</v>
      </c>
      <c r="AC499" s="264" t="s">
        <v>999</v>
      </c>
      <c r="AD499" s="264" t="s">
        <v>1000</v>
      </c>
      <c r="AE499" s="264" t="s">
        <v>1000</v>
      </c>
      <c r="AF499" s="264" t="s">
        <v>1000</v>
      </c>
      <c r="AG499" s="264" t="s">
        <v>1000</v>
      </c>
      <c r="AH499" s="264" t="s">
        <v>1002</v>
      </c>
      <c r="AI499" s="264" t="s">
        <v>1002</v>
      </c>
      <c r="AJ499" s="264" t="s">
        <v>995</v>
      </c>
      <c r="AK499" s="264" t="s">
        <v>995</v>
      </c>
      <c r="AL499" s="264" t="s">
        <v>995</v>
      </c>
    </row>
    <row r="500" spans="1:38">
      <c r="A500" s="264">
        <v>3873</v>
      </c>
      <c r="B500" s="264" t="s">
        <v>412</v>
      </c>
      <c r="C500" s="264" t="s">
        <v>1376</v>
      </c>
      <c r="D500" s="264" t="s">
        <v>1004</v>
      </c>
      <c r="E500" s="264">
        <v>60411</v>
      </c>
      <c r="F500" s="264" t="s">
        <v>411</v>
      </c>
      <c r="G500" s="389">
        <v>27534</v>
      </c>
      <c r="H500" s="264">
        <v>48</v>
      </c>
      <c r="I500" s="389">
        <v>35640</v>
      </c>
      <c r="K500" s="390">
        <v>42278</v>
      </c>
      <c r="L500" s="264">
        <v>20</v>
      </c>
      <c r="M500" s="264" t="s">
        <v>1015</v>
      </c>
      <c r="N500" s="264">
        <v>1</v>
      </c>
      <c r="O500" s="264" t="s">
        <v>829</v>
      </c>
      <c r="P500" s="264" t="s">
        <v>994</v>
      </c>
      <c r="Q500" s="264" t="s">
        <v>1009</v>
      </c>
      <c r="R500" s="264" t="s">
        <v>1010</v>
      </c>
      <c r="S500" s="264" t="s">
        <v>996</v>
      </c>
      <c r="T500" s="264" t="s">
        <v>997</v>
      </c>
      <c r="U500" s="264" t="s">
        <v>995</v>
      </c>
      <c r="V500" s="264" t="s">
        <v>995</v>
      </c>
      <c r="W500" s="264" t="s">
        <v>995</v>
      </c>
      <c r="X500" s="264" t="s">
        <v>828</v>
      </c>
      <c r="Y500" s="264" t="s">
        <v>998</v>
      </c>
      <c r="Z500" s="264">
        <v>31</v>
      </c>
      <c r="AA500" s="264" t="s">
        <v>999</v>
      </c>
      <c r="AB500" s="264">
        <v>31</v>
      </c>
      <c r="AC500" s="264" t="s">
        <v>999</v>
      </c>
      <c r="AD500" s="264" t="s">
        <v>1000</v>
      </c>
      <c r="AE500" s="264" t="s">
        <v>1000</v>
      </c>
      <c r="AF500" s="264" t="s">
        <v>1000</v>
      </c>
      <c r="AG500" s="264" t="s">
        <v>1000</v>
      </c>
      <c r="AH500" s="264" t="s">
        <v>1002</v>
      </c>
      <c r="AI500" s="264" t="s">
        <v>1002</v>
      </c>
      <c r="AJ500" s="264" t="s">
        <v>995</v>
      </c>
      <c r="AK500" s="264" t="s">
        <v>995</v>
      </c>
      <c r="AL500" s="264" t="s">
        <v>995</v>
      </c>
    </row>
    <row r="501" spans="1:38">
      <c r="A501" s="264">
        <v>8033</v>
      </c>
      <c r="B501" s="264" t="s">
        <v>596</v>
      </c>
      <c r="C501" s="264" t="s">
        <v>1377</v>
      </c>
      <c r="D501" s="264" t="s">
        <v>991</v>
      </c>
      <c r="E501" s="264">
        <v>60421</v>
      </c>
      <c r="F501" s="264" t="s">
        <v>411</v>
      </c>
      <c r="G501" s="389">
        <v>25964</v>
      </c>
      <c r="H501" s="264">
        <v>53</v>
      </c>
      <c r="I501" s="389">
        <v>40319</v>
      </c>
      <c r="K501" s="390">
        <v>42278</v>
      </c>
      <c r="L501" s="264">
        <v>70</v>
      </c>
      <c r="M501" s="264" t="s">
        <v>1024</v>
      </c>
      <c r="N501" s="264">
        <v>1</v>
      </c>
      <c r="O501" s="264" t="s">
        <v>829</v>
      </c>
      <c r="P501" s="264" t="s">
        <v>994</v>
      </c>
      <c r="Q501" s="264" t="s">
        <v>1009</v>
      </c>
      <c r="R501" s="264" t="s">
        <v>1010</v>
      </c>
      <c r="S501" s="264" t="s">
        <v>996</v>
      </c>
      <c r="T501" s="264" t="s">
        <v>997</v>
      </c>
      <c r="U501" s="264" t="s">
        <v>995</v>
      </c>
      <c r="V501" s="264" t="s">
        <v>995</v>
      </c>
      <c r="W501" s="264" t="s">
        <v>995</v>
      </c>
      <c r="X501" s="264" t="s">
        <v>828</v>
      </c>
      <c r="Y501" s="264" t="s">
        <v>998</v>
      </c>
      <c r="Z501" s="264">
        <v>31</v>
      </c>
      <c r="AA501" s="264" t="s">
        <v>999</v>
      </c>
      <c r="AB501" s="264">
        <v>31</v>
      </c>
      <c r="AC501" s="264" t="s">
        <v>999</v>
      </c>
      <c r="AD501" s="264" t="s">
        <v>1000</v>
      </c>
      <c r="AE501" s="264" t="s">
        <v>1000</v>
      </c>
      <c r="AF501" s="264" t="s">
        <v>1000</v>
      </c>
      <c r="AG501" s="264" t="s">
        <v>1000</v>
      </c>
      <c r="AH501" s="264" t="s">
        <v>1002</v>
      </c>
      <c r="AI501" s="264" t="s">
        <v>1002</v>
      </c>
      <c r="AJ501" s="264" t="s">
        <v>995</v>
      </c>
      <c r="AK501" s="264" t="s">
        <v>995</v>
      </c>
      <c r="AL501" s="264" t="s">
        <v>995</v>
      </c>
    </row>
    <row r="502" spans="1:38">
      <c r="A502" s="264">
        <v>8126</v>
      </c>
      <c r="B502" s="264" t="s">
        <v>600</v>
      </c>
      <c r="C502" s="264" t="s">
        <v>1378</v>
      </c>
      <c r="D502" s="264" t="s">
        <v>991</v>
      </c>
      <c r="E502" s="264">
        <v>60421</v>
      </c>
      <c r="F502" s="264" t="s">
        <v>411</v>
      </c>
      <c r="G502" s="389">
        <v>32951</v>
      </c>
      <c r="H502" s="264">
        <v>33</v>
      </c>
      <c r="I502" s="389">
        <v>41646</v>
      </c>
      <c r="K502" s="390">
        <v>42278</v>
      </c>
      <c r="L502" s="264">
        <v>70</v>
      </c>
      <c r="M502" s="264" t="s">
        <v>1024</v>
      </c>
      <c r="N502" s="264">
        <v>1</v>
      </c>
      <c r="O502" s="264" t="s">
        <v>829</v>
      </c>
      <c r="P502" s="264" t="s">
        <v>994</v>
      </c>
      <c r="Q502" s="264" t="s">
        <v>1009</v>
      </c>
      <c r="R502" s="264" t="s">
        <v>1010</v>
      </c>
      <c r="S502" s="264" t="s">
        <v>996</v>
      </c>
      <c r="T502" s="264" t="s">
        <v>997</v>
      </c>
      <c r="U502" s="264" t="s">
        <v>995</v>
      </c>
      <c r="V502" s="264" t="s">
        <v>995</v>
      </c>
      <c r="W502" s="264" t="s">
        <v>995</v>
      </c>
      <c r="X502" s="264" t="s">
        <v>828</v>
      </c>
      <c r="Y502" s="264" t="s">
        <v>998</v>
      </c>
      <c r="Z502" s="264">
        <v>31</v>
      </c>
      <c r="AA502" s="264" t="s">
        <v>999</v>
      </c>
      <c r="AB502" s="264">
        <v>31</v>
      </c>
      <c r="AC502" s="264" t="s">
        <v>999</v>
      </c>
      <c r="AD502" s="264" t="s">
        <v>1000</v>
      </c>
      <c r="AE502" s="264" t="s">
        <v>1000</v>
      </c>
      <c r="AF502" s="264" t="s">
        <v>1000</v>
      </c>
      <c r="AG502" s="264" t="s">
        <v>1000</v>
      </c>
      <c r="AH502" s="264" t="s">
        <v>1002</v>
      </c>
      <c r="AI502" s="264" t="s">
        <v>1002</v>
      </c>
      <c r="AJ502" s="264" t="s">
        <v>995</v>
      </c>
      <c r="AK502" s="264" t="s">
        <v>995</v>
      </c>
      <c r="AL502" s="264" t="s">
        <v>995</v>
      </c>
    </row>
    <row r="503" spans="1:38">
      <c r="A503" s="264">
        <v>8165</v>
      </c>
      <c r="B503" s="264" t="s">
        <v>777</v>
      </c>
      <c r="C503" s="264" t="s">
        <v>1379</v>
      </c>
      <c r="D503" s="264" t="s">
        <v>991</v>
      </c>
      <c r="E503" s="264">
        <v>60421</v>
      </c>
      <c r="F503" s="264" t="s">
        <v>411</v>
      </c>
      <c r="G503" s="389">
        <v>31624</v>
      </c>
      <c r="H503" s="264">
        <v>37</v>
      </c>
      <c r="I503" s="389">
        <v>42887</v>
      </c>
      <c r="K503" s="390">
        <v>44743</v>
      </c>
      <c r="L503" s="264">
        <v>70</v>
      </c>
      <c r="M503" s="264" t="s">
        <v>1024</v>
      </c>
      <c r="N503" s="264">
        <v>1</v>
      </c>
      <c r="O503" s="264" t="s">
        <v>829</v>
      </c>
      <c r="P503" s="264" t="s">
        <v>994</v>
      </c>
      <c r="Q503" s="264" t="s">
        <v>1009</v>
      </c>
      <c r="R503" s="264" t="s">
        <v>1010</v>
      </c>
      <c r="S503" s="264" t="s">
        <v>996</v>
      </c>
      <c r="T503" s="264" t="s">
        <v>997</v>
      </c>
      <c r="U503" s="264" t="s">
        <v>995</v>
      </c>
      <c r="V503" s="264" t="s">
        <v>995</v>
      </c>
      <c r="W503" s="264" t="s">
        <v>995</v>
      </c>
      <c r="X503" s="264" t="s">
        <v>828</v>
      </c>
      <c r="Y503" s="264" t="s">
        <v>998</v>
      </c>
      <c r="Z503" s="264">
        <v>31</v>
      </c>
      <c r="AA503" s="264" t="s">
        <v>999</v>
      </c>
      <c r="AB503" s="264">
        <v>31</v>
      </c>
      <c r="AC503" s="264" t="s">
        <v>999</v>
      </c>
      <c r="AD503" s="264" t="s">
        <v>1000</v>
      </c>
      <c r="AE503" s="264" t="s">
        <v>1000</v>
      </c>
      <c r="AF503" s="264" t="s">
        <v>1000</v>
      </c>
      <c r="AG503" s="264" t="s">
        <v>1000</v>
      </c>
      <c r="AH503" s="264" t="s">
        <v>1002</v>
      </c>
      <c r="AI503" s="264" t="s">
        <v>1002</v>
      </c>
      <c r="AJ503" s="264" t="s">
        <v>995</v>
      </c>
      <c r="AK503" s="264" t="s">
        <v>995</v>
      </c>
      <c r="AL503" s="264" t="s">
        <v>995</v>
      </c>
    </row>
    <row r="504" spans="1:38">
      <c r="A504" s="264">
        <v>1387</v>
      </c>
      <c r="B504" s="264" t="s">
        <v>236</v>
      </c>
      <c r="C504" s="264" t="s">
        <v>1312</v>
      </c>
      <c r="D504" s="264" t="s">
        <v>991</v>
      </c>
      <c r="E504" s="264">
        <v>44200</v>
      </c>
      <c r="F504" s="264" t="s">
        <v>114</v>
      </c>
      <c r="G504" s="389">
        <v>31397</v>
      </c>
      <c r="H504" s="264">
        <v>38</v>
      </c>
      <c r="I504" s="389">
        <v>41765</v>
      </c>
      <c r="K504" s="390">
        <v>42278</v>
      </c>
      <c r="L504" s="264">
        <v>20</v>
      </c>
      <c r="M504" s="264" t="s">
        <v>1015</v>
      </c>
      <c r="N504" s="264">
        <v>1</v>
      </c>
      <c r="O504" s="264" t="s">
        <v>829</v>
      </c>
      <c r="P504" s="264" t="s">
        <v>994</v>
      </c>
      <c r="Q504" s="264" t="s">
        <v>1009</v>
      </c>
      <c r="R504" s="264" t="s">
        <v>1010</v>
      </c>
      <c r="S504" s="264" t="s">
        <v>996</v>
      </c>
      <c r="T504" s="264" t="s">
        <v>997</v>
      </c>
      <c r="U504" s="264" t="s">
        <v>995</v>
      </c>
      <c r="V504" s="264" t="s">
        <v>995</v>
      </c>
      <c r="W504" s="264" t="s">
        <v>995</v>
      </c>
      <c r="X504" s="264" t="s">
        <v>828</v>
      </c>
      <c r="Y504" s="264" t="s">
        <v>998</v>
      </c>
      <c r="Z504" s="264">
        <v>31</v>
      </c>
      <c r="AA504" s="264" t="s">
        <v>999</v>
      </c>
      <c r="AB504" s="264">
        <v>31</v>
      </c>
      <c r="AC504" s="264" t="s">
        <v>999</v>
      </c>
      <c r="AD504" s="264" t="s">
        <v>1000</v>
      </c>
      <c r="AE504" s="264" t="s">
        <v>1000</v>
      </c>
      <c r="AF504" s="264" t="s">
        <v>1000</v>
      </c>
      <c r="AG504" s="264" t="s">
        <v>1000</v>
      </c>
      <c r="AH504" s="264" t="s">
        <v>1002</v>
      </c>
      <c r="AI504" s="264" t="s">
        <v>1002</v>
      </c>
      <c r="AJ504" s="264" t="s">
        <v>995</v>
      </c>
      <c r="AK504" s="264" t="s">
        <v>995</v>
      </c>
      <c r="AL504" s="264" t="s">
        <v>995</v>
      </c>
    </row>
    <row r="505" spans="1:38">
      <c r="A505" s="264">
        <v>1426</v>
      </c>
      <c r="B505" s="264" t="s">
        <v>831</v>
      </c>
      <c r="C505" s="264" t="s">
        <v>1313</v>
      </c>
      <c r="D505" s="264" t="s">
        <v>991</v>
      </c>
      <c r="E505" s="264">
        <v>44200</v>
      </c>
      <c r="F505" s="264" t="s">
        <v>114</v>
      </c>
      <c r="G505" s="389">
        <v>29324</v>
      </c>
      <c r="H505" s="264">
        <v>43</v>
      </c>
      <c r="I505" s="389">
        <v>44697</v>
      </c>
      <c r="K505" s="390">
        <v>44713</v>
      </c>
      <c r="L505" s="264">
        <v>20</v>
      </c>
      <c r="M505" s="264" t="s">
        <v>1015</v>
      </c>
      <c r="N505" s="264">
        <v>1</v>
      </c>
      <c r="O505" s="264" t="s">
        <v>829</v>
      </c>
      <c r="P505" s="264" t="s">
        <v>994</v>
      </c>
      <c r="Q505" s="264" t="s">
        <v>1009</v>
      </c>
      <c r="R505" s="264" t="s">
        <v>1010</v>
      </c>
      <c r="S505" s="264" t="s">
        <v>996</v>
      </c>
      <c r="T505" s="264" t="s">
        <v>1291</v>
      </c>
      <c r="U505" s="264" t="s">
        <v>995</v>
      </c>
      <c r="V505" s="264" t="s">
        <v>995</v>
      </c>
      <c r="W505" s="264" t="s">
        <v>995</v>
      </c>
      <c r="X505" s="264" t="s">
        <v>828</v>
      </c>
      <c r="Y505" s="264" t="s">
        <v>998</v>
      </c>
      <c r="Z505" s="264">
        <v>31</v>
      </c>
      <c r="AA505" s="264" t="s">
        <v>999</v>
      </c>
      <c r="AB505" s="264">
        <v>31</v>
      </c>
      <c r="AC505" s="264" t="s">
        <v>999</v>
      </c>
      <c r="AD505" s="264" t="s">
        <v>1000</v>
      </c>
      <c r="AE505" s="264" t="s">
        <v>1000</v>
      </c>
      <c r="AF505" s="264" t="s">
        <v>1000</v>
      </c>
      <c r="AG505" s="264" t="s">
        <v>1000</v>
      </c>
      <c r="AH505" s="264" t="s">
        <v>1002</v>
      </c>
      <c r="AI505" s="264" t="s">
        <v>1002</v>
      </c>
      <c r="AJ505" s="264" t="s">
        <v>995</v>
      </c>
      <c r="AK505" s="264" t="s">
        <v>995</v>
      </c>
      <c r="AL505" s="264" t="s">
        <v>995</v>
      </c>
    </row>
    <row r="506" spans="1:38">
      <c r="A506" s="264">
        <v>5070</v>
      </c>
      <c r="B506" s="264" t="s">
        <v>388</v>
      </c>
      <c r="C506" s="264" t="s">
        <v>1314</v>
      </c>
      <c r="D506" s="264" t="s">
        <v>1004</v>
      </c>
      <c r="E506" s="264">
        <v>44200</v>
      </c>
      <c r="F506" s="264" t="s">
        <v>114</v>
      </c>
      <c r="G506" s="389">
        <v>24406</v>
      </c>
      <c r="H506" s="264">
        <v>57</v>
      </c>
      <c r="I506" s="389">
        <v>30400</v>
      </c>
      <c r="K506" s="390">
        <v>42278</v>
      </c>
      <c r="L506" s="264">
        <v>20</v>
      </c>
      <c r="M506" s="264" t="s">
        <v>1015</v>
      </c>
      <c r="N506" s="264">
        <v>1</v>
      </c>
      <c r="O506" s="264" t="s">
        <v>829</v>
      </c>
      <c r="P506" s="264" t="s">
        <v>994</v>
      </c>
      <c r="Q506" s="264" t="s">
        <v>1009</v>
      </c>
      <c r="R506" s="264" t="s">
        <v>1010</v>
      </c>
      <c r="S506" s="264" t="s">
        <v>996</v>
      </c>
      <c r="T506" s="264" t="s">
        <v>997</v>
      </c>
      <c r="U506" s="264" t="s">
        <v>995</v>
      </c>
      <c r="V506" s="264" t="s">
        <v>995</v>
      </c>
      <c r="W506" s="264" t="s">
        <v>995</v>
      </c>
      <c r="X506" s="264" t="s">
        <v>828</v>
      </c>
      <c r="Y506" s="264" t="s">
        <v>998</v>
      </c>
      <c r="Z506" s="264">
        <v>31</v>
      </c>
      <c r="AA506" s="264" t="s">
        <v>999</v>
      </c>
      <c r="AB506" s="264">
        <v>31</v>
      </c>
      <c r="AC506" s="264" t="s">
        <v>999</v>
      </c>
      <c r="AD506" s="264" t="s">
        <v>1000</v>
      </c>
      <c r="AE506" s="264" t="s">
        <v>1000</v>
      </c>
      <c r="AF506" s="264" t="s">
        <v>1000</v>
      </c>
      <c r="AG506" s="264" t="s">
        <v>1000</v>
      </c>
      <c r="AH506" s="264" t="s">
        <v>1002</v>
      </c>
      <c r="AI506" s="264" t="s">
        <v>1002</v>
      </c>
      <c r="AJ506" s="264" t="s">
        <v>995</v>
      </c>
      <c r="AK506" s="264" t="s">
        <v>995</v>
      </c>
      <c r="AL506" s="264" t="s">
        <v>995</v>
      </c>
    </row>
    <row r="507" spans="1:38">
      <c r="A507" s="264">
        <v>8199</v>
      </c>
      <c r="B507" s="264" t="s">
        <v>580</v>
      </c>
      <c r="C507" s="264" t="s">
        <v>1318</v>
      </c>
      <c r="D507" s="264" t="s">
        <v>1004</v>
      </c>
      <c r="E507" s="264">
        <v>44220</v>
      </c>
      <c r="F507" s="264" t="s">
        <v>114</v>
      </c>
      <c r="G507" s="389">
        <v>22336</v>
      </c>
      <c r="H507" s="264">
        <v>62</v>
      </c>
      <c r="I507" s="389">
        <v>28934</v>
      </c>
      <c r="K507" s="390">
        <v>44256</v>
      </c>
      <c r="L507" s="264">
        <v>70</v>
      </c>
      <c r="M507" s="264" t="s">
        <v>1024</v>
      </c>
      <c r="N507" s="264">
        <v>1</v>
      </c>
      <c r="O507" s="264" t="s">
        <v>829</v>
      </c>
      <c r="P507" s="264" t="s">
        <v>994</v>
      </c>
      <c r="Q507" s="264" t="s">
        <v>1009</v>
      </c>
      <c r="R507" s="264" t="s">
        <v>1010</v>
      </c>
      <c r="S507" s="264" t="s">
        <v>996</v>
      </c>
      <c r="T507" s="264" t="s">
        <v>997</v>
      </c>
      <c r="U507" s="264" t="s">
        <v>995</v>
      </c>
      <c r="V507" s="264" t="s">
        <v>995</v>
      </c>
      <c r="W507" s="264" t="s">
        <v>995</v>
      </c>
      <c r="X507" s="264" t="s">
        <v>828</v>
      </c>
      <c r="Y507" s="264" t="s">
        <v>998</v>
      </c>
      <c r="Z507" s="264">
        <v>31</v>
      </c>
      <c r="AA507" s="264" t="s">
        <v>999</v>
      </c>
      <c r="AB507" s="264">
        <v>31</v>
      </c>
      <c r="AC507" s="264" t="s">
        <v>999</v>
      </c>
      <c r="AD507" s="264" t="s">
        <v>1000</v>
      </c>
      <c r="AE507" s="264" t="s">
        <v>1000</v>
      </c>
      <c r="AF507" s="264" t="s">
        <v>1000</v>
      </c>
      <c r="AG507" s="264" t="s">
        <v>1000</v>
      </c>
      <c r="AH507" s="264" t="s">
        <v>1002</v>
      </c>
      <c r="AI507" s="264" t="s">
        <v>1002</v>
      </c>
      <c r="AJ507" s="264" t="s">
        <v>995</v>
      </c>
      <c r="AK507" s="264" t="s">
        <v>995</v>
      </c>
      <c r="AL507" s="264" t="s">
        <v>995</v>
      </c>
    </row>
    <row r="508" spans="1:38">
      <c r="A508" s="264">
        <v>3097</v>
      </c>
      <c r="B508" s="264" t="s">
        <v>390</v>
      </c>
      <c r="C508" s="264" t="s">
        <v>1320</v>
      </c>
      <c r="D508" s="264" t="s">
        <v>1004</v>
      </c>
      <c r="E508" s="264">
        <v>44511</v>
      </c>
      <c r="F508" s="264" t="s">
        <v>389</v>
      </c>
      <c r="G508" s="389">
        <v>27528</v>
      </c>
      <c r="H508" s="264">
        <v>48</v>
      </c>
      <c r="I508" s="389">
        <v>35149</v>
      </c>
      <c r="K508" s="390">
        <v>42278</v>
      </c>
      <c r="L508" s="264">
        <v>20</v>
      </c>
      <c r="M508" s="264" t="s">
        <v>1015</v>
      </c>
      <c r="N508" s="264">
        <v>1</v>
      </c>
      <c r="O508" s="264" t="s">
        <v>829</v>
      </c>
      <c r="P508" s="264" t="s">
        <v>994</v>
      </c>
      <c r="Q508" s="264" t="s">
        <v>1009</v>
      </c>
      <c r="R508" s="264" t="s">
        <v>1010</v>
      </c>
      <c r="S508" s="264" t="s">
        <v>996</v>
      </c>
      <c r="T508" s="264" t="s">
        <v>997</v>
      </c>
      <c r="U508" s="264" t="s">
        <v>995</v>
      </c>
      <c r="V508" s="264" t="s">
        <v>995</v>
      </c>
      <c r="W508" s="264" t="s">
        <v>995</v>
      </c>
      <c r="X508" s="264" t="s">
        <v>828</v>
      </c>
      <c r="Y508" s="264" t="s">
        <v>998</v>
      </c>
      <c r="Z508" s="264">
        <v>31</v>
      </c>
      <c r="AA508" s="264" t="s">
        <v>999</v>
      </c>
      <c r="AB508" s="264">
        <v>31</v>
      </c>
      <c r="AC508" s="264" t="s">
        <v>999</v>
      </c>
      <c r="AD508" s="264" t="s">
        <v>1000</v>
      </c>
      <c r="AE508" s="264" t="s">
        <v>1000</v>
      </c>
      <c r="AF508" s="264" t="s">
        <v>1000</v>
      </c>
      <c r="AG508" s="264" t="s">
        <v>1000</v>
      </c>
      <c r="AH508" s="264" t="s">
        <v>1002</v>
      </c>
      <c r="AI508" s="264" t="s">
        <v>1002</v>
      </c>
      <c r="AJ508" s="264" t="s">
        <v>995</v>
      </c>
      <c r="AK508" s="264" t="s">
        <v>995</v>
      </c>
      <c r="AL508" s="264" t="s">
        <v>995</v>
      </c>
    </row>
    <row r="509" spans="1:38">
      <c r="A509" s="264">
        <v>3459</v>
      </c>
      <c r="B509" s="264" t="s">
        <v>408</v>
      </c>
      <c r="C509" s="264" t="s">
        <v>1301</v>
      </c>
      <c r="D509" s="264" t="s">
        <v>1004</v>
      </c>
      <c r="E509" s="264">
        <v>44011</v>
      </c>
      <c r="F509" s="264" t="s">
        <v>381</v>
      </c>
      <c r="G509" s="389">
        <v>35526</v>
      </c>
      <c r="H509" s="264">
        <v>26</v>
      </c>
      <c r="I509" s="389">
        <v>42461</v>
      </c>
      <c r="K509" s="390">
        <v>42461</v>
      </c>
      <c r="L509" s="264">
        <v>20</v>
      </c>
      <c r="M509" s="264" t="s">
        <v>1015</v>
      </c>
      <c r="N509" s="264">
        <v>1</v>
      </c>
      <c r="O509" s="264" t="s">
        <v>829</v>
      </c>
      <c r="P509" s="264" t="s">
        <v>994</v>
      </c>
      <c r="Q509" s="264" t="s">
        <v>1009</v>
      </c>
      <c r="R509" s="264" t="s">
        <v>1010</v>
      </c>
      <c r="S509" s="264" t="s">
        <v>996</v>
      </c>
      <c r="T509" s="264" t="s">
        <v>997</v>
      </c>
      <c r="U509" s="264" t="s">
        <v>995</v>
      </c>
      <c r="V509" s="264" t="s">
        <v>995</v>
      </c>
      <c r="W509" s="264" t="s">
        <v>995</v>
      </c>
      <c r="X509" s="264" t="s">
        <v>828</v>
      </c>
      <c r="Y509" s="264" t="s">
        <v>998</v>
      </c>
      <c r="Z509" s="264">
        <v>31</v>
      </c>
      <c r="AA509" s="264" t="s">
        <v>999</v>
      </c>
      <c r="AB509" s="264">
        <v>31</v>
      </c>
      <c r="AC509" s="264" t="s">
        <v>999</v>
      </c>
      <c r="AD509" s="264" t="s">
        <v>1000</v>
      </c>
      <c r="AE509" s="264" t="s">
        <v>1000</v>
      </c>
      <c r="AF509" s="264" t="s">
        <v>1000</v>
      </c>
      <c r="AG509" s="264" t="s">
        <v>1000</v>
      </c>
      <c r="AH509" s="264" t="s">
        <v>1002</v>
      </c>
      <c r="AI509" s="264" t="s">
        <v>1002</v>
      </c>
      <c r="AJ509" s="264" t="s">
        <v>995</v>
      </c>
      <c r="AK509" s="264" t="s">
        <v>995</v>
      </c>
      <c r="AL509" s="264" t="s">
        <v>995</v>
      </c>
    </row>
    <row r="510" spans="1:38">
      <c r="A510" s="264">
        <v>1438</v>
      </c>
      <c r="B510" s="264" t="s">
        <v>838</v>
      </c>
      <c r="C510" s="264" t="s">
        <v>1304</v>
      </c>
      <c r="D510" s="264" t="s">
        <v>1004</v>
      </c>
      <c r="E510" s="264">
        <v>44111</v>
      </c>
      <c r="F510" s="264" t="s">
        <v>383</v>
      </c>
      <c r="G510" s="389">
        <v>33933</v>
      </c>
      <c r="H510" s="264">
        <v>31</v>
      </c>
      <c r="I510" s="389">
        <v>44835</v>
      </c>
      <c r="K510" s="390">
        <v>44866</v>
      </c>
      <c r="L510" s="264">
        <v>20</v>
      </c>
      <c r="M510" s="264" t="s">
        <v>1015</v>
      </c>
      <c r="N510" s="264">
        <v>1</v>
      </c>
      <c r="O510" s="264" t="s">
        <v>829</v>
      </c>
      <c r="P510" s="264" t="s">
        <v>994</v>
      </c>
      <c r="Q510" s="264" t="s">
        <v>1009</v>
      </c>
      <c r="R510" s="264" t="s">
        <v>1010</v>
      </c>
      <c r="S510" s="264" t="s">
        <v>996</v>
      </c>
      <c r="T510" s="264" t="s">
        <v>997</v>
      </c>
      <c r="U510" s="264" t="s">
        <v>995</v>
      </c>
      <c r="V510" s="264" t="s">
        <v>995</v>
      </c>
      <c r="W510" s="264" t="s">
        <v>995</v>
      </c>
      <c r="X510" s="264" t="s">
        <v>828</v>
      </c>
      <c r="Y510" s="264" t="s">
        <v>998</v>
      </c>
      <c r="Z510" s="264">
        <v>31</v>
      </c>
      <c r="AA510" s="264" t="s">
        <v>999</v>
      </c>
      <c r="AB510" s="264">
        <v>31</v>
      </c>
      <c r="AC510" s="264" t="s">
        <v>999</v>
      </c>
      <c r="AD510" s="264" t="s">
        <v>1000</v>
      </c>
      <c r="AE510" s="264" t="s">
        <v>1000</v>
      </c>
      <c r="AF510" s="264" t="s">
        <v>1000</v>
      </c>
      <c r="AG510" s="264" t="s">
        <v>1000</v>
      </c>
      <c r="AH510" s="264" t="s">
        <v>1002</v>
      </c>
      <c r="AI510" s="264" t="s">
        <v>1002</v>
      </c>
      <c r="AJ510" s="264" t="s">
        <v>995</v>
      </c>
      <c r="AK510" s="264" t="s">
        <v>995</v>
      </c>
      <c r="AL510" s="264" t="s">
        <v>995</v>
      </c>
    </row>
    <row r="511" spans="1:38">
      <c r="A511" s="264">
        <v>2770</v>
      </c>
      <c r="B511" s="264" t="s">
        <v>385</v>
      </c>
      <c r="C511" s="264" t="s">
        <v>1305</v>
      </c>
      <c r="D511" s="264" t="s">
        <v>1004</v>
      </c>
      <c r="E511" s="264">
        <v>44111</v>
      </c>
      <c r="F511" s="264" t="s">
        <v>383</v>
      </c>
      <c r="G511" s="389">
        <v>24822</v>
      </c>
      <c r="H511" s="264">
        <v>56</v>
      </c>
      <c r="I511" s="389">
        <v>31497</v>
      </c>
      <c r="K511" s="390">
        <v>42278</v>
      </c>
      <c r="L511" s="264">
        <v>20</v>
      </c>
      <c r="M511" s="264" t="s">
        <v>1015</v>
      </c>
      <c r="N511" s="264">
        <v>1</v>
      </c>
      <c r="O511" s="264" t="s">
        <v>829</v>
      </c>
      <c r="P511" s="264" t="s">
        <v>994</v>
      </c>
      <c r="Q511" s="264" t="s">
        <v>1009</v>
      </c>
      <c r="R511" s="264" t="s">
        <v>1010</v>
      </c>
      <c r="S511" s="264" t="s">
        <v>996</v>
      </c>
      <c r="T511" s="264" t="s">
        <v>997</v>
      </c>
      <c r="U511" s="264" t="s">
        <v>995</v>
      </c>
      <c r="V511" s="264" t="s">
        <v>995</v>
      </c>
      <c r="W511" s="264" t="s">
        <v>995</v>
      </c>
      <c r="X511" s="264" t="s">
        <v>828</v>
      </c>
      <c r="Y511" s="264" t="s">
        <v>998</v>
      </c>
      <c r="Z511" s="264">
        <v>31</v>
      </c>
      <c r="AA511" s="264" t="s">
        <v>999</v>
      </c>
      <c r="AB511" s="264">
        <v>31</v>
      </c>
      <c r="AC511" s="264" t="s">
        <v>999</v>
      </c>
      <c r="AD511" s="264" t="s">
        <v>1000</v>
      </c>
      <c r="AE511" s="264" t="s">
        <v>1000</v>
      </c>
      <c r="AF511" s="264" t="s">
        <v>1000</v>
      </c>
      <c r="AG511" s="264" t="s">
        <v>1000</v>
      </c>
      <c r="AH511" s="264" t="s">
        <v>1002</v>
      </c>
      <c r="AI511" s="264" t="s">
        <v>1002</v>
      </c>
      <c r="AJ511" s="264" t="s">
        <v>995</v>
      </c>
      <c r="AK511" s="264" t="s">
        <v>995</v>
      </c>
      <c r="AL511" s="264" t="s">
        <v>995</v>
      </c>
    </row>
    <row r="512" spans="1:38">
      <c r="A512" s="264">
        <v>1322</v>
      </c>
      <c r="B512" s="264" t="s">
        <v>113</v>
      </c>
      <c r="C512" s="264" t="s">
        <v>1331</v>
      </c>
      <c r="D512" s="264" t="s">
        <v>1004</v>
      </c>
      <c r="E512" s="264">
        <v>45111</v>
      </c>
      <c r="F512" s="264" t="s">
        <v>396</v>
      </c>
      <c r="G512" s="389">
        <v>27208</v>
      </c>
      <c r="H512" s="264">
        <v>49</v>
      </c>
      <c r="I512" s="389">
        <v>37347</v>
      </c>
      <c r="K512" s="390">
        <v>42278</v>
      </c>
      <c r="L512" s="264">
        <v>20</v>
      </c>
      <c r="M512" s="264" t="s">
        <v>1015</v>
      </c>
      <c r="N512" s="264">
        <v>1</v>
      </c>
      <c r="O512" s="264" t="s">
        <v>829</v>
      </c>
      <c r="P512" s="264" t="s">
        <v>994</v>
      </c>
      <c r="Q512" s="264" t="s">
        <v>1009</v>
      </c>
      <c r="R512" s="264" t="s">
        <v>1010</v>
      </c>
      <c r="S512" s="264" t="s">
        <v>996</v>
      </c>
      <c r="T512" s="264" t="s">
        <v>997</v>
      </c>
      <c r="U512" s="264" t="s">
        <v>995</v>
      </c>
      <c r="V512" s="264" t="s">
        <v>995</v>
      </c>
      <c r="W512" s="264" t="s">
        <v>995</v>
      </c>
      <c r="X512" s="264" t="s">
        <v>828</v>
      </c>
      <c r="Y512" s="264" t="s">
        <v>998</v>
      </c>
      <c r="Z512" s="264">
        <v>31</v>
      </c>
      <c r="AA512" s="264" t="s">
        <v>999</v>
      </c>
      <c r="AB512" s="264">
        <v>31</v>
      </c>
      <c r="AC512" s="264" t="s">
        <v>999</v>
      </c>
      <c r="AD512" s="264" t="s">
        <v>1000</v>
      </c>
      <c r="AE512" s="264" t="s">
        <v>1000</v>
      </c>
      <c r="AF512" s="264" t="s">
        <v>1000</v>
      </c>
      <c r="AG512" s="264" t="s">
        <v>1000</v>
      </c>
      <c r="AH512" s="264" t="s">
        <v>1002</v>
      </c>
      <c r="AI512" s="264" t="s">
        <v>1002</v>
      </c>
      <c r="AJ512" s="264" t="s">
        <v>995</v>
      </c>
      <c r="AK512" s="264" t="s">
        <v>995</v>
      </c>
      <c r="AL512" s="264" t="s">
        <v>995</v>
      </c>
    </row>
    <row r="513" spans="1:38">
      <c r="A513" s="264">
        <v>3900</v>
      </c>
      <c r="B513" s="264" t="s">
        <v>395</v>
      </c>
      <c r="C513" s="264" t="s">
        <v>1332</v>
      </c>
      <c r="D513" s="264" t="s">
        <v>1004</v>
      </c>
      <c r="E513" s="264">
        <v>45111</v>
      </c>
      <c r="F513" s="264" t="s">
        <v>396</v>
      </c>
      <c r="G513" s="389">
        <v>23414</v>
      </c>
      <c r="H513" s="264">
        <v>59</v>
      </c>
      <c r="I513" s="389">
        <v>37235</v>
      </c>
      <c r="K513" s="390">
        <v>42278</v>
      </c>
      <c r="L513" s="264">
        <v>20</v>
      </c>
      <c r="M513" s="264" t="s">
        <v>1015</v>
      </c>
      <c r="N513" s="264">
        <v>1</v>
      </c>
      <c r="O513" s="264" t="s">
        <v>829</v>
      </c>
      <c r="P513" s="264" t="s">
        <v>994</v>
      </c>
      <c r="Q513" s="264" t="s">
        <v>1009</v>
      </c>
      <c r="R513" s="264" t="s">
        <v>1010</v>
      </c>
      <c r="S513" s="264" t="s">
        <v>996</v>
      </c>
      <c r="T513" s="264" t="s">
        <v>997</v>
      </c>
      <c r="U513" s="264" t="s">
        <v>995</v>
      </c>
      <c r="V513" s="264" t="s">
        <v>995</v>
      </c>
      <c r="W513" s="264" t="s">
        <v>995</v>
      </c>
      <c r="X513" s="264" t="s">
        <v>828</v>
      </c>
      <c r="Y513" s="264" t="s">
        <v>998</v>
      </c>
      <c r="Z513" s="264">
        <v>31</v>
      </c>
      <c r="AA513" s="264" t="s">
        <v>999</v>
      </c>
      <c r="AB513" s="264">
        <v>31</v>
      </c>
      <c r="AC513" s="264" t="s">
        <v>999</v>
      </c>
      <c r="AD513" s="264" t="s">
        <v>1000</v>
      </c>
      <c r="AE513" s="264" t="s">
        <v>1000</v>
      </c>
      <c r="AF513" s="264" t="s">
        <v>1000</v>
      </c>
      <c r="AG513" s="264" t="s">
        <v>1000</v>
      </c>
      <c r="AH513" s="264" t="s">
        <v>1002</v>
      </c>
      <c r="AI513" s="264" t="s">
        <v>1002</v>
      </c>
      <c r="AJ513" s="264" t="s">
        <v>995</v>
      </c>
      <c r="AK513" s="264" t="s">
        <v>995</v>
      </c>
      <c r="AL513" s="264" t="s">
        <v>995</v>
      </c>
    </row>
    <row r="514" spans="1:38">
      <c r="A514" s="264">
        <v>8127</v>
      </c>
      <c r="B514" s="264" t="s">
        <v>554</v>
      </c>
      <c r="C514" s="264" t="s">
        <v>1303</v>
      </c>
      <c r="D514" s="264" t="s">
        <v>1004</v>
      </c>
      <c r="E514" s="264">
        <v>44021</v>
      </c>
      <c r="F514" s="264" t="s">
        <v>381</v>
      </c>
      <c r="G514" s="389">
        <v>19749</v>
      </c>
      <c r="H514" s="264">
        <v>70</v>
      </c>
      <c r="I514" s="389">
        <v>25284</v>
      </c>
      <c r="K514" s="390">
        <v>42675</v>
      </c>
      <c r="L514" s="264">
        <v>70</v>
      </c>
      <c r="M514" s="264" t="s">
        <v>1024</v>
      </c>
      <c r="N514" s="264">
        <v>1</v>
      </c>
      <c r="O514" s="264" t="s">
        <v>829</v>
      </c>
      <c r="P514" s="264" t="s">
        <v>994</v>
      </c>
      <c r="Q514" s="264" t="s">
        <v>1009</v>
      </c>
      <c r="R514" s="264" t="s">
        <v>1010</v>
      </c>
      <c r="S514" s="264" t="s">
        <v>1012</v>
      </c>
      <c r="T514" s="264" t="s">
        <v>997</v>
      </c>
      <c r="U514" s="264" t="s">
        <v>995</v>
      </c>
      <c r="V514" s="264" t="s">
        <v>995</v>
      </c>
      <c r="W514" s="264" t="s">
        <v>995</v>
      </c>
      <c r="X514" s="264" t="s">
        <v>828</v>
      </c>
      <c r="Y514" s="264" t="s">
        <v>998</v>
      </c>
      <c r="Z514" s="264">
        <v>31</v>
      </c>
      <c r="AA514" s="264" t="s">
        <v>999</v>
      </c>
      <c r="AB514" s="264">
        <v>31</v>
      </c>
      <c r="AC514" s="264" t="s">
        <v>999</v>
      </c>
      <c r="AD514" s="264" t="s">
        <v>1000</v>
      </c>
      <c r="AE514" s="264" t="s">
        <v>1000</v>
      </c>
      <c r="AF514" s="264" t="s">
        <v>1001</v>
      </c>
      <c r="AG514" s="264" t="s">
        <v>1000</v>
      </c>
      <c r="AH514" s="264" t="s">
        <v>1002</v>
      </c>
      <c r="AI514" s="264" t="s">
        <v>1002</v>
      </c>
      <c r="AJ514" s="264" t="s">
        <v>995</v>
      </c>
      <c r="AK514" s="264" t="s">
        <v>995</v>
      </c>
      <c r="AL514" s="264" t="s">
        <v>995</v>
      </c>
    </row>
    <row r="515" spans="1:38">
      <c r="A515" s="264">
        <v>3307</v>
      </c>
      <c r="B515" s="264" t="s">
        <v>380</v>
      </c>
      <c r="C515" s="264" t="s">
        <v>1302</v>
      </c>
      <c r="D515" s="264" t="s">
        <v>1004</v>
      </c>
      <c r="E515" s="264">
        <v>44011</v>
      </c>
      <c r="F515" s="264" t="s">
        <v>381</v>
      </c>
      <c r="G515" s="389">
        <v>33169</v>
      </c>
      <c r="H515" s="264">
        <v>33</v>
      </c>
      <c r="I515" s="389">
        <v>39895</v>
      </c>
      <c r="K515" s="390">
        <v>42278</v>
      </c>
      <c r="L515" s="264">
        <v>20</v>
      </c>
      <c r="M515" s="264" t="s">
        <v>1015</v>
      </c>
      <c r="N515" s="264">
        <v>1</v>
      </c>
      <c r="O515" s="264" t="s">
        <v>829</v>
      </c>
      <c r="P515" s="264" t="s">
        <v>994</v>
      </c>
      <c r="Q515" s="264" t="s">
        <v>1009</v>
      </c>
      <c r="R515" s="264" t="s">
        <v>1010</v>
      </c>
      <c r="S515" s="264" t="s">
        <v>996</v>
      </c>
      <c r="T515" s="264" t="s">
        <v>997</v>
      </c>
      <c r="U515" s="264" t="s">
        <v>995</v>
      </c>
      <c r="V515" s="264" t="s">
        <v>995</v>
      </c>
      <c r="W515" s="264" t="s">
        <v>995</v>
      </c>
      <c r="X515" s="264" t="s">
        <v>828</v>
      </c>
      <c r="Y515" s="264" t="s">
        <v>998</v>
      </c>
      <c r="Z515" s="264">
        <v>31</v>
      </c>
      <c r="AA515" s="264" t="s">
        <v>999</v>
      </c>
      <c r="AB515" s="264">
        <v>31</v>
      </c>
      <c r="AC515" s="264" t="s">
        <v>999</v>
      </c>
      <c r="AD515" s="264" t="s">
        <v>1000</v>
      </c>
      <c r="AE515" s="264" t="s">
        <v>1000</v>
      </c>
      <c r="AF515" s="264" t="s">
        <v>1000</v>
      </c>
      <c r="AG515" s="264" t="s">
        <v>1000</v>
      </c>
      <c r="AH515" s="264" t="s">
        <v>1002</v>
      </c>
      <c r="AI515" s="264" t="s">
        <v>1002</v>
      </c>
      <c r="AJ515" s="264" t="s">
        <v>995</v>
      </c>
      <c r="AK515" s="264" t="s">
        <v>995</v>
      </c>
      <c r="AL515" s="264" t="s">
        <v>995</v>
      </c>
    </row>
    <row r="516" spans="1:38">
      <c r="A516" s="264">
        <v>8250</v>
      </c>
      <c r="B516" s="264" t="s">
        <v>1308</v>
      </c>
      <c r="C516" s="264" t="s">
        <v>1309</v>
      </c>
      <c r="D516" s="264" t="s">
        <v>1004</v>
      </c>
      <c r="E516" s="264">
        <v>44121</v>
      </c>
      <c r="F516" s="264" t="s">
        <v>383</v>
      </c>
      <c r="G516" s="389">
        <v>24740</v>
      </c>
      <c r="H516" s="264">
        <v>56</v>
      </c>
      <c r="I516" s="389">
        <v>45200</v>
      </c>
      <c r="K516" s="390">
        <v>45231</v>
      </c>
      <c r="L516" s="264">
        <v>70</v>
      </c>
      <c r="M516" s="264" t="s">
        <v>1024</v>
      </c>
      <c r="N516" s="264">
        <v>1</v>
      </c>
      <c r="O516" s="264" t="s">
        <v>829</v>
      </c>
      <c r="P516" s="264" t="s">
        <v>994</v>
      </c>
      <c r="Q516" s="264" t="s">
        <v>1009</v>
      </c>
      <c r="R516" s="264" t="s">
        <v>1010</v>
      </c>
      <c r="S516" s="264" t="s">
        <v>996</v>
      </c>
      <c r="T516" s="264" t="s">
        <v>997</v>
      </c>
      <c r="U516" s="264" t="s">
        <v>995</v>
      </c>
      <c r="V516" s="264" t="s">
        <v>995</v>
      </c>
      <c r="W516" s="264" t="s">
        <v>995</v>
      </c>
      <c r="X516" s="264" t="s">
        <v>828</v>
      </c>
      <c r="Y516" s="264" t="s">
        <v>998</v>
      </c>
      <c r="Z516" s="264">
        <v>31</v>
      </c>
      <c r="AA516" s="264" t="s">
        <v>999</v>
      </c>
      <c r="AB516" s="264">
        <v>31</v>
      </c>
      <c r="AC516" s="264" t="s">
        <v>999</v>
      </c>
      <c r="AD516" s="264" t="s">
        <v>1000</v>
      </c>
      <c r="AE516" s="264" t="s">
        <v>1000</v>
      </c>
      <c r="AF516" s="264" t="s">
        <v>1000</v>
      </c>
      <c r="AG516" s="264" t="s">
        <v>1000</v>
      </c>
      <c r="AH516" s="264" t="s">
        <v>1002</v>
      </c>
      <c r="AI516" s="264" t="s">
        <v>1002</v>
      </c>
      <c r="AJ516" s="264" t="s">
        <v>995</v>
      </c>
      <c r="AK516" s="264" t="s">
        <v>995</v>
      </c>
      <c r="AL516" s="264" t="s">
        <v>995</v>
      </c>
    </row>
    <row r="517" spans="1:38">
      <c r="A517" s="264">
        <v>2685</v>
      </c>
      <c r="B517" s="264" t="s">
        <v>384</v>
      </c>
      <c r="C517" s="264" t="s">
        <v>1306</v>
      </c>
      <c r="D517" s="264" t="s">
        <v>1004</v>
      </c>
      <c r="E517" s="264">
        <v>44111</v>
      </c>
      <c r="F517" s="264" t="s">
        <v>383</v>
      </c>
      <c r="G517" s="389">
        <v>24170</v>
      </c>
      <c r="H517" s="264">
        <v>57</v>
      </c>
      <c r="I517" s="389">
        <v>30762</v>
      </c>
      <c r="K517" s="390">
        <v>42278</v>
      </c>
      <c r="L517" s="264">
        <v>20</v>
      </c>
      <c r="M517" s="264" t="s">
        <v>1015</v>
      </c>
      <c r="N517" s="264">
        <v>1</v>
      </c>
      <c r="O517" s="264" t="s">
        <v>829</v>
      </c>
      <c r="P517" s="264" t="s">
        <v>994</v>
      </c>
      <c r="Q517" s="264" t="s">
        <v>1009</v>
      </c>
      <c r="R517" s="264" t="s">
        <v>1010</v>
      </c>
      <c r="S517" s="264" t="s">
        <v>996</v>
      </c>
      <c r="T517" s="264" t="s">
        <v>997</v>
      </c>
      <c r="U517" s="264" t="s">
        <v>995</v>
      </c>
      <c r="V517" s="264" t="s">
        <v>995</v>
      </c>
      <c r="W517" s="264" t="s">
        <v>995</v>
      </c>
      <c r="X517" s="264" t="s">
        <v>828</v>
      </c>
      <c r="Y517" s="264" t="s">
        <v>998</v>
      </c>
      <c r="Z517" s="264">
        <v>31</v>
      </c>
      <c r="AA517" s="264" t="s">
        <v>999</v>
      </c>
      <c r="AB517" s="264">
        <v>31</v>
      </c>
      <c r="AC517" s="264" t="s">
        <v>999</v>
      </c>
      <c r="AD517" s="264" t="s">
        <v>1000</v>
      </c>
      <c r="AE517" s="264" t="s">
        <v>1000</v>
      </c>
      <c r="AF517" s="264" t="s">
        <v>1000</v>
      </c>
      <c r="AG517" s="264" t="s">
        <v>1000</v>
      </c>
      <c r="AH517" s="264" t="s">
        <v>1002</v>
      </c>
      <c r="AI517" s="264" t="s">
        <v>1002</v>
      </c>
      <c r="AJ517" s="264" t="s">
        <v>995</v>
      </c>
      <c r="AK517" s="264" t="s">
        <v>995</v>
      </c>
      <c r="AL517" s="264" t="s">
        <v>995</v>
      </c>
    </row>
    <row r="518" spans="1:38">
      <c r="A518" s="264">
        <v>3887</v>
      </c>
      <c r="B518" s="264" t="s">
        <v>386</v>
      </c>
      <c r="C518" s="264" t="s">
        <v>1307</v>
      </c>
      <c r="D518" s="264" t="s">
        <v>1004</v>
      </c>
      <c r="E518" s="264">
        <v>44111</v>
      </c>
      <c r="F518" s="264" t="s">
        <v>383</v>
      </c>
      <c r="G518" s="389">
        <v>26585</v>
      </c>
      <c r="H518" s="264">
        <v>51</v>
      </c>
      <c r="I518" s="389">
        <v>32592</v>
      </c>
      <c r="K518" s="390">
        <v>42278</v>
      </c>
      <c r="L518" s="264">
        <v>20</v>
      </c>
      <c r="M518" s="264" t="s">
        <v>1015</v>
      </c>
      <c r="N518" s="264">
        <v>1</v>
      </c>
      <c r="O518" s="264" t="s">
        <v>829</v>
      </c>
      <c r="P518" s="264" t="s">
        <v>994</v>
      </c>
      <c r="Q518" s="264" t="s">
        <v>1009</v>
      </c>
      <c r="R518" s="264" t="s">
        <v>1010</v>
      </c>
      <c r="S518" s="264" t="s">
        <v>996</v>
      </c>
      <c r="T518" s="264" t="s">
        <v>997</v>
      </c>
      <c r="U518" s="264" t="s">
        <v>1021</v>
      </c>
      <c r="V518" s="264" t="s">
        <v>995</v>
      </c>
      <c r="W518" s="264" t="s">
        <v>995</v>
      </c>
      <c r="X518" s="264" t="s">
        <v>828</v>
      </c>
      <c r="Y518" s="264" t="s">
        <v>998</v>
      </c>
      <c r="Z518" s="264">
        <v>31</v>
      </c>
      <c r="AA518" s="264" t="s">
        <v>999</v>
      </c>
      <c r="AB518" s="264">
        <v>31</v>
      </c>
      <c r="AC518" s="264" t="s">
        <v>999</v>
      </c>
      <c r="AD518" s="264" t="s">
        <v>1000</v>
      </c>
      <c r="AE518" s="264" t="s">
        <v>1000</v>
      </c>
      <c r="AF518" s="264" t="s">
        <v>1000</v>
      </c>
      <c r="AG518" s="264" t="s">
        <v>1000</v>
      </c>
      <c r="AH518" s="264" t="s">
        <v>1002</v>
      </c>
      <c r="AI518" s="264" t="s">
        <v>1002</v>
      </c>
      <c r="AJ518" s="264" t="s">
        <v>995</v>
      </c>
      <c r="AK518" s="264" t="s">
        <v>995</v>
      </c>
      <c r="AL518" s="264" t="s">
        <v>995</v>
      </c>
    </row>
    <row r="519" spans="1:38">
      <c r="A519" s="264">
        <v>1316</v>
      </c>
      <c r="B519" s="264" t="s">
        <v>115</v>
      </c>
      <c r="C519" s="264" t="s">
        <v>1315</v>
      </c>
      <c r="D519" s="264" t="s">
        <v>1004</v>
      </c>
      <c r="E519" s="264">
        <v>44200</v>
      </c>
      <c r="F519" s="264" t="s">
        <v>114</v>
      </c>
      <c r="G519" s="389">
        <v>27294</v>
      </c>
      <c r="H519" s="264">
        <v>49</v>
      </c>
      <c r="I519" s="389">
        <v>35145</v>
      </c>
      <c r="K519" s="390">
        <v>42278</v>
      </c>
      <c r="L519" s="264">
        <v>20</v>
      </c>
      <c r="M519" s="264" t="s">
        <v>1015</v>
      </c>
      <c r="N519" s="264">
        <v>1</v>
      </c>
      <c r="O519" s="264" t="s">
        <v>829</v>
      </c>
      <c r="P519" s="264" t="s">
        <v>994</v>
      </c>
      <c r="Q519" s="264" t="s">
        <v>1009</v>
      </c>
      <c r="R519" s="264" t="s">
        <v>1010</v>
      </c>
      <c r="S519" s="264" t="s">
        <v>996</v>
      </c>
      <c r="T519" s="264" t="s">
        <v>997</v>
      </c>
      <c r="U519" s="264" t="s">
        <v>995</v>
      </c>
      <c r="V519" s="264" t="s">
        <v>995</v>
      </c>
      <c r="W519" s="264" t="s">
        <v>995</v>
      </c>
      <c r="X519" s="264" t="s">
        <v>828</v>
      </c>
      <c r="Y519" s="264" t="s">
        <v>998</v>
      </c>
      <c r="Z519" s="264">
        <v>31</v>
      </c>
      <c r="AA519" s="264" t="s">
        <v>999</v>
      </c>
      <c r="AB519" s="264">
        <v>31</v>
      </c>
      <c r="AC519" s="264" t="s">
        <v>999</v>
      </c>
      <c r="AD519" s="264" t="s">
        <v>1000</v>
      </c>
      <c r="AE519" s="264" t="s">
        <v>1000</v>
      </c>
      <c r="AF519" s="264" t="s">
        <v>1000</v>
      </c>
      <c r="AG519" s="264" t="s">
        <v>1000</v>
      </c>
      <c r="AH519" s="264" t="s">
        <v>1002</v>
      </c>
      <c r="AI519" s="264" t="s">
        <v>1002</v>
      </c>
      <c r="AJ519" s="264" t="s">
        <v>995</v>
      </c>
      <c r="AK519" s="264" t="s">
        <v>995</v>
      </c>
      <c r="AL519" s="264" t="s">
        <v>995</v>
      </c>
    </row>
    <row r="520" spans="1:38">
      <c r="A520" s="264">
        <v>7963</v>
      </c>
      <c r="B520" s="264" t="s">
        <v>595</v>
      </c>
      <c r="C520" s="264" t="s">
        <v>1319</v>
      </c>
      <c r="D520" s="264" t="s">
        <v>991</v>
      </c>
      <c r="E520" s="264">
        <v>44220</v>
      </c>
      <c r="F520" s="264" t="s">
        <v>114</v>
      </c>
      <c r="G520" s="389">
        <v>21249</v>
      </c>
      <c r="H520" s="264">
        <v>65</v>
      </c>
      <c r="I520" s="389">
        <v>39328</v>
      </c>
      <c r="K520" s="390">
        <v>44531</v>
      </c>
      <c r="L520" s="264">
        <v>70</v>
      </c>
      <c r="M520" s="264" t="s">
        <v>1024</v>
      </c>
      <c r="N520" s="264">
        <v>1</v>
      </c>
      <c r="O520" s="264" t="s">
        <v>829</v>
      </c>
      <c r="P520" s="264" t="s">
        <v>994</v>
      </c>
      <c r="Q520" s="264" t="s">
        <v>1009</v>
      </c>
      <c r="R520" s="264" t="s">
        <v>1010</v>
      </c>
      <c r="S520" s="264" t="s">
        <v>996</v>
      </c>
      <c r="T520" s="264" t="s">
        <v>997</v>
      </c>
      <c r="U520" s="264" t="s">
        <v>995</v>
      </c>
      <c r="V520" s="264" t="s">
        <v>995</v>
      </c>
      <c r="W520" s="264" t="s">
        <v>995</v>
      </c>
      <c r="X520" s="264" t="s">
        <v>828</v>
      </c>
      <c r="Y520" s="264" t="s">
        <v>998</v>
      </c>
      <c r="Z520" s="264">
        <v>31</v>
      </c>
      <c r="AA520" s="264" t="s">
        <v>999</v>
      </c>
      <c r="AB520" s="264">
        <v>31</v>
      </c>
      <c r="AC520" s="264" t="s">
        <v>999</v>
      </c>
      <c r="AD520" s="264" t="s">
        <v>1000</v>
      </c>
      <c r="AE520" s="264" t="s">
        <v>1000</v>
      </c>
      <c r="AF520" s="264" t="s">
        <v>1000</v>
      </c>
      <c r="AG520" s="264" t="s">
        <v>1000</v>
      </c>
      <c r="AH520" s="264" t="s">
        <v>1002</v>
      </c>
      <c r="AI520" s="264" t="s">
        <v>1002</v>
      </c>
      <c r="AJ520" s="264" t="s">
        <v>995</v>
      </c>
      <c r="AK520" s="264" t="s">
        <v>995</v>
      </c>
      <c r="AL520" s="264" t="s">
        <v>995</v>
      </c>
    </row>
    <row r="521" spans="1:38">
      <c r="A521" s="264">
        <v>8232</v>
      </c>
      <c r="B521" s="264" t="s">
        <v>1310</v>
      </c>
      <c r="C521" s="264" t="s">
        <v>1311</v>
      </c>
      <c r="D521" s="264" t="s">
        <v>1004</v>
      </c>
      <c r="E521" s="264">
        <v>44121</v>
      </c>
      <c r="F521" s="264" t="s">
        <v>383</v>
      </c>
      <c r="G521" s="389">
        <v>22944</v>
      </c>
      <c r="H521" s="264">
        <v>61</v>
      </c>
      <c r="I521" s="389">
        <v>44999</v>
      </c>
      <c r="K521" s="390">
        <v>45017</v>
      </c>
      <c r="L521" s="264">
        <v>70</v>
      </c>
      <c r="M521" s="264" t="s">
        <v>1024</v>
      </c>
      <c r="N521" s="264">
        <v>1</v>
      </c>
      <c r="O521" s="264" t="s">
        <v>829</v>
      </c>
      <c r="P521" s="264" t="s">
        <v>994</v>
      </c>
      <c r="Q521" s="264" t="s">
        <v>1009</v>
      </c>
      <c r="R521" s="264" t="s">
        <v>1010</v>
      </c>
      <c r="S521" s="264" t="s">
        <v>996</v>
      </c>
      <c r="T521" s="264" t="s">
        <v>997</v>
      </c>
      <c r="U521" s="264" t="s">
        <v>995</v>
      </c>
      <c r="V521" s="264" t="s">
        <v>995</v>
      </c>
      <c r="W521" s="264" t="s">
        <v>995</v>
      </c>
      <c r="X521" s="264" t="s">
        <v>828</v>
      </c>
      <c r="Y521" s="264" t="s">
        <v>998</v>
      </c>
      <c r="Z521" s="264">
        <v>31</v>
      </c>
      <c r="AA521" s="264" t="s">
        <v>999</v>
      </c>
      <c r="AB521" s="264">
        <v>31</v>
      </c>
      <c r="AC521" s="264" t="s">
        <v>999</v>
      </c>
      <c r="AD521" s="264" t="s">
        <v>1000</v>
      </c>
      <c r="AE521" s="264" t="s">
        <v>1000</v>
      </c>
      <c r="AF521" s="264" t="s">
        <v>1000</v>
      </c>
      <c r="AG521" s="264" t="s">
        <v>1000</v>
      </c>
      <c r="AH521" s="264" t="s">
        <v>1002</v>
      </c>
      <c r="AI521" s="264" t="s">
        <v>1002</v>
      </c>
      <c r="AJ521" s="264" t="s">
        <v>995</v>
      </c>
      <c r="AK521" s="264" t="s">
        <v>995</v>
      </c>
      <c r="AL521" s="264" t="s">
        <v>995</v>
      </c>
    </row>
    <row r="522" spans="1:38">
      <c r="A522" s="264">
        <v>1326</v>
      </c>
      <c r="B522" s="264" t="s">
        <v>117</v>
      </c>
      <c r="C522" s="264" t="s">
        <v>1321</v>
      </c>
      <c r="D522" s="264" t="s">
        <v>1004</v>
      </c>
      <c r="E522" s="264">
        <v>44511</v>
      </c>
      <c r="F522" s="264" t="s">
        <v>389</v>
      </c>
      <c r="G522" s="389">
        <v>27648</v>
      </c>
      <c r="H522" s="264">
        <v>48</v>
      </c>
      <c r="I522" s="389">
        <v>38293</v>
      </c>
      <c r="K522" s="390">
        <v>42278</v>
      </c>
      <c r="L522" s="264">
        <v>20</v>
      </c>
      <c r="M522" s="264" t="s">
        <v>1015</v>
      </c>
      <c r="N522" s="264">
        <v>1</v>
      </c>
      <c r="O522" s="264" t="s">
        <v>829</v>
      </c>
      <c r="P522" s="264" t="s">
        <v>994</v>
      </c>
      <c r="Q522" s="264" t="s">
        <v>1009</v>
      </c>
      <c r="R522" s="264" t="s">
        <v>1010</v>
      </c>
      <c r="S522" s="264" t="s">
        <v>996</v>
      </c>
      <c r="T522" s="264" t="s">
        <v>997</v>
      </c>
      <c r="U522" s="264" t="s">
        <v>995</v>
      </c>
      <c r="V522" s="264" t="s">
        <v>995</v>
      </c>
      <c r="W522" s="264" t="s">
        <v>995</v>
      </c>
      <c r="X522" s="264" t="s">
        <v>828</v>
      </c>
      <c r="Y522" s="264" t="s">
        <v>998</v>
      </c>
      <c r="Z522" s="264">
        <v>31</v>
      </c>
      <c r="AA522" s="264" t="s">
        <v>999</v>
      </c>
      <c r="AB522" s="264">
        <v>31</v>
      </c>
      <c r="AC522" s="264" t="s">
        <v>999</v>
      </c>
      <c r="AD522" s="264" t="s">
        <v>1000</v>
      </c>
      <c r="AE522" s="264" t="s">
        <v>1000</v>
      </c>
      <c r="AF522" s="264" t="s">
        <v>1000</v>
      </c>
      <c r="AG522" s="264" t="s">
        <v>1000</v>
      </c>
      <c r="AH522" s="264" t="s">
        <v>1002</v>
      </c>
      <c r="AI522" s="264" t="s">
        <v>1002</v>
      </c>
      <c r="AJ522" s="264" t="s">
        <v>995</v>
      </c>
      <c r="AK522" s="264" t="s">
        <v>1010</v>
      </c>
      <c r="AL522" s="264" t="s">
        <v>995</v>
      </c>
    </row>
    <row r="523" spans="1:38">
      <c r="A523" s="264">
        <v>3460</v>
      </c>
      <c r="B523" s="264" t="s">
        <v>394</v>
      </c>
      <c r="C523" s="264" t="s">
        <v>1322</v>
      </c>
      <c r="D523" s="264" t="s">
        <v>1004</v>
      </c>
      <c r="E523" s="264">
        <v>44511</v>
      </c>
      <c r="F523" s="264" t="s">
        <v>389</v>
      </c>
      <c r="G523" s="389">
        <v>35867</v>
      </c>
      <c r="H523" s="264">
        <v>25</v>
      </c>
      <c r="I523" s="389">
        <v>42461</v>
      </c>
      <c r="J523" s="389"/>
      <c r="K523" s="390">
        <v>42461</v>
      </c>
      <c r="L523" s="264">
        <v>20</v>
      </c>
      <c r="M523" s="264" t="s">
        <v>1015</v>
      </c>
      <c r="N523" s="264">
        <v>1</v>
      </c>
      <c r="O523" s="264" t="s">
        <v>829</v>
      </c>
      <c r="P523" s="264" t="s">
        <v>994</v>
      </c>
      <c r="Q523" s="264" t="s">
        <v>1009</v>
      </c>
      <c r="R523" s="264" t="s">
        <v>1010</v>
      </c>
      <c r="S523" s="264" t="s">
        <v>996</v>
      </c>
      <c r="T523" s="264" t="s">
        <v>997</v>
      </c>
      <c r="U523" s="264" t="s">
        <v>995</v>
      </c>
      <c r="V523" s="264" t="s">
        <v>995</v>
      </c>
      <c r="W523" s="264" t="s">
        <v>995</v>
      </c>
      <c r="X523" s="264" t="s">
        <v>828</v>
      </c>
      <c r="Y523" s="264" t="s">
        <v>998</v>
      </c>
      <c r="Z523" s="264">
        <v>31</v>
      </c>
      <c r="AA523" s="264" t="s">
        <v>999</v>
      </c>
      <c r="AB523" s="264">
        <v>31</v>
      </c>
      <c r="AC523" s="264" t="s">
        <v>999</v>
      </c>
      <c r="AD523" s="264" t="s">
        <v>1000</v>
      </c>
      <c r="AE523" s="264" t="s">
        <v>1000</v>
      </c>
      <c r="AF523" s="264" t="s">
        <v>1000</v>
      </c>
      <c r="AG523" s="264" t="s">
        <v>1000</v>
      </c>
      <c r="AH523" s="264" t="s">
        <v>1002</v>
      </c>
      <c r="AI523" s="264" t="s">
        <v>1002</v>
      </c>
      <c r="AJ523" s="264" t="s">
        <v>995</v>
      </c>
      <c r="AK523" s="264" t="s">
        <v>995</v>
      </c>
      <c r="AL523" s="264" t="s">
        <v>995</v>
      </c>
    </row>
    <row r="524" spans="1:38">
      <c r="A524" s="264">
        <v>3477</v>
      </c>
      <c r="B524" s="264" t="s">
        <v>337</v>
      </c>
      <c r="C524" s="264" t="s">
        <v>1323</v>
      </c>
      <c r="D524" s="264" t="s">
        <v>1004</v>
      </c>
      <c r="E524" s="264">
        <v>44511</v>
      </c>
      <c r="F524" s="264" t="s">
        <v>389</v>
      </c>
      <c r="G524" s="389">
        <v>36245</v>
      </c>
      <c r="H524" s="264">
        <v>24</v>
      </c>
      <c r="I524" s="389">
        <v>42826</v>
      </c>
      <c r="K524" s="390">
        <v>42856</v>
      </c>
      <c r="L524" s="264">
        <v>20</v>
      </c>
      <c r="M524" s="264" t="s">
        <v>1015</v>
      </c>
      <c r="N524" s="264">
        <v>1</v>
      </c>
      <c r="O524" s="264" t="s">
        <v>829</v>
      </c>
      <c r="P524" s="264" t="s">
        <v>994</v>
      </c>
      <c r="Q524" s="264" t="s">
        <v>1009</v>
      </c>
      <c r="R524" s="264" t="s">
        <v>1010</v>
      </c>
      <c r="S524" s="264" t="s">
        <v>996</v>
      </c>
      <c r="T524" s="264" t="s">
        <v>997</v>
      </c>
      <c r="U524" s="264" t="s">
        <v>995</v>
      </c>
      <c r="V524" s="264" t="s">
        <v>995</v>
      </c>
      <c r="W524" s="264" t="s">
        <v>995</v>
      </c>
      <c r="X524" s="264" t="s">
        <v>828</v>
      </c>
      <c r="Y524" s="264" t="s">
        <v>998</v>
      </c>
      <c r="Z524" s="264">
        <v>31</v>
      </c>
      <c r="AA524" s="264" t="s">
        <v>999</v>
      </c>
      <c r="AB524" s="264">
        <v>31</v>
      </c>
      <c r="AC524" s="264" t="s">
        <v>999</v>
      </c>
      <c r="AD524" s="264" t="s">
        <v>1000</v>
      </c>
      <c r="AE524" s="264" t="s">
        <v>1000</v>
      </c>
      <c r="AF524" s="264" t="s">
        <v>1000</v>
      </c>
      <c r="AG524" s="264" t="s">
        <v>1000</v>
      </c>
      <c r="AH524" s="264" t="s">
        <v>1002</v>
      </c>
      <c r="AI524" s="264" t="s">
        <v>1002</v>
      </c>
      <c r="AJ524" s="264" t="s">
        <v>995</v>
      </c>
      <c r="AK524" s="264" t="s">
        <v>995</v>
      </c>
      <c r="AL524" s="264" t="s">
        <v>995</v>
      </c>
    </row>
    <row r="525" spans="1:38">
      <c r="A525" s="264">
        <v>3506</v>
      </c>
      <c r="B525" s="264" t="s">
        <v>329</v>
      </c>
      <c r="C525" s="264" t="s">
        <v>1324</v>
      </c>
      <c r="D525" s="264" t="s">
        <v>1004</v>
      </c>
      <c r="E525" s="264">
        <v>44511</v>
      </c>
      <c r="F525" s="264" t="s">
        <v>389</v>
      </c>
      <c r="G525" s="389">
        <v>36672</v>
      </c>
      <c r="H525" s="264">
        <v>23</v>
      </c>
      <c r="I525" s="389">
        <v>43556</v>
      </c>
      <c r="K525" s="390">
        <v>43586</v>
      </c>
      <c r="L525" s="264">
        <v>20</v>
      </c>
      <c r="M525" s="264" t="s">
        <v>1015</v>
      </c>
      <c r="N525" s="264">
        <v>1</v>
      </c>
      <c r="O525" s="264" t="s">
        <v>829</v>
      </c>
      <c r="P525" s="264" t="s">
        <v>994</v>
      </c>
      <c r="Q525" s="264" t="s">
        <v>1009</v>
      </c>
      <c r="R525" s="264" t="s">
        <v>1010</v>
      </c>
      <c r="S525" s="264" t="s">
        <v>996</v>
      </c>
      <c r="T525" s="264" t="s">
        <v>997</v>
      </c>
      <c r="U525" s="264" t="s">
        <v>995</v>
      </c>
      <c r="V525" s="264" t="s">
        <v>995</v>
      </c>
      <c r="W525" s="264" t="s">
        <v>995</v>
      </c>
      <c r="X525" s="264" t="s">
        <v>828</v>
      </c>
      <c r="Y525" s="264" t="s">
        <v>998</v>
      </c>
      <c r="Z525" s="264">
        <v>31</v>
      </c>
      <c r="AA525" s="264" t="s">
        <v>999</v>
      </c>
      <c r="AB525" s="264">
        <v>31</v>
      </c>
      <c r="AC525" s="264" t="s">
        <v>999</v>
      </c>
      <c r="AD525" s="264" t="s">
        <v>1000</v>
      </c>
      <c r="AE525" s="264" t="s">
        <v>1000</v>
      </c>
      <c r="AF525" s="264" t="s">
        <v>1000</v>
      </c>
      <c r="AG525" s="264" t="s">
        <v>1000</v>
      </c>
      <c r="AH525" s="264" t="s">
        <v>1002</v>
      </c>
      <c r="AI525" s="264" t="s">
        <v>1002</v>
      </c>
      <c r="AJ525" s="264" t="s">
        <v>995</v>
      </c>
      <c r="AK525" s="264" t="s">
        <v>995</v>
      </c>
      <c r="AL525" s="264" t="s">
        <v>995</v>
      </c>
    </row>
    <row r="526" spans="1:38">
      <c r="A526" s="264">
        <v>3940</v>
      </c>
      <c r="B526" s="264" t="s">
        <v>393</v>
      </c>
      <c r="C526" s="264" t="s">
        <v>1316</v>
      </c>
      <c r="D526" s="264" t="s">
        <v>1004</v>
      </c>
      <c r="E526" s="264">
        <v>44200</v>
      </c>
      <c r="F526" s="264" t="s">
        <v>114</v>
      </c>
      <c r="G526" s="389">
        <v>27760</v>
      </c>
      <c r="H526" s="264">
        <v>48</v>
      </c>
      <c r="I526" s="389">
        <v>38828</v>
      </c>
      <c r="K526" s="390">
        <v>42278</v>
      </c>
      <c r="L526" s="264">
        <v>20</v>
      </c>
      <c r="M526" s="264" t="s">
        <v>1015</v>
      </c>
      <c r="N526" s="264">
        <v>1</v>
      </c>
      <c r="O526" s="264" t="s">
        <v>829</v>
      </c>
      <c r="P526" s="264" t="s">
        <v>994</v>
      </c>
      <c r="Q526" s="264" t="s">
        <v>1009</v>
      </c>
      <c r="R526" s="264" t="s">
        <v>1010</v>
      </c>
      <c r="S526" s="264" t="s">
        <v>996</v>
      </c>
      <c r="T526" s="264" t="s">
        <v>997</v>
      </c>
      <c r="U526" s="264" t="s">
        <v>995</v>
      </c>
      <c r="V526" s="264" t="s">
        <v>995</v>
      </c>
      <c r="W526" s="264" t="s">
        <v>995</v>
      </c>
      <c r="X526" s="264" t="s">
        <v>828</v>
      </c>
      <c r="Y526" s="264" t="s">
        <v>998</v>
      </c>
      <c r="Z526" s="264">
        <v>31</v>
      </c>
      <c r="AA526" s="264" t="s">
        <v>999</v>
      </c>
      <c r="AB526" s="264">
        <v>31</v>
      </c>
      <c r="AC526" s="264" t="s">
        <v>999</v>
      </c>
      <c r="AD526" s="264" t="s">
        <v>1000</v>
      </c>
      <c r="AE526" s="264" t="s">
        <v>1000</v>
      </c>
      <c r="AF526" s="264" t="s">
        <v>1000</v>
      </c>
      <c r="AG526" s="264" t="s">
        <v>1000</v>
      </c>
      <c r="AH526" s="264" t="s">
        <v>1002</v>
      </c>
      <c r="AI526" s="264" t="s">
        <v>1002</v>
      </c>
      <c r="AJ526" s="264" t="s">
        <v>995</v>
      </c>
      <c r="AK526" s="264" t="s">
        <v>1010</v>
      </c>
      <c r="AL526" s="264" t="s">
        <v>995</v>
      </c>
    </row>
    <row r="527" spans="1:38">
      <c r="A527" s="264">
        <v>3946</v>
      </c>
      <c r="B527" s="264" t="s">
        <v>391</v>
      </c>
      <c r="C527" s="264" t="s">
        <v>1325</v>
      </c>
      <c r="D527" s="264" t="s">
        <v>1004</v>
      </c>
      <c r="E527" s="264">
        <v>44511</v>
      </c>
      <c r="F527" s="264" t="s">
        <v>389</v>
      </c>
      <c r="G527" s="389">
        <v>27461</v>
      </c>
      <c r="H527" s="264">
        <v>48</v>
      </c>
      <c r="I527" s="389">
        <v>39142</v>
      </c>
      <c r="K527" s="390">
        <v>42278</v>
      </c>
      <c r="L527" s="264">
        <v>20</v>
      </c>
      <c r="M527" s="264" t="s">
        <v>1015</v>
      </c>
      <c r="N527" s="264">
        <v>1</v>
      </c>
      <c r="O527" s="264" t="s">
        <v>829</v>
      </c>
      <c r="P527" s="264" t="s">
        <v>994</v>
      </c>
      <c r="Q527" s="264" t="s">
        <v>1009</v>
      </c>
      <c r="R527" s="264" t="s">
        <v>1010</v>
      </c>
      <c r="S527" s="264" t="s">
        <v>996</v>
      </c>
      <c r="T527" s="264" t="s">
        <v>997</v>
      </c>
      <c r="U527" s="264" t="s">
        <v>995</v>
      </c>
      <c r="V527" s="264" t="s">
        <v>995</v>
      </c>
      <c r="W527" s="264" t="s">
        <v>995</v>
      </c>
      <c r="X527" s="264" t="s">
        <v>828</v>
      </c>
      <c r="Y527" s="264" t="s">
        <v>998</v>
      </c>
      <c r="Z527" s="264">
        <v>31</v>
      </c>
      <c r="AA527" s="264" t="s">
        <v>999</v>
      </c>
      <c r="AB527" s="264">
        <v>31</v>
      </c>
      <c r="AC527" s="264" t="s">
        <v>999</v>
      </c>
      <c r="AD527" s="264" t="s">
        <v>1000</v>
      </c>
      <c r="AE527" s="264" t="s">
        <v>1000</v>
      </c>
      <c r="AF527" s="264" t="s">
        <v>1000</v>
      </c>
      <c r="AG527" s="264" t="s">
        <v>1000</v>
      </c>
      <c r="AH527" s="264" t="s">
        <v>1002</v>
      </c>
      <c r="AI527" s="264" t="s">
        <v>1002</v>
      </c>
      <c r="AJ527" s="264" t="s">
        <v>995</v>
      </c>
      <c r="AK527" s="264" t="s">
        <v>995</v>
      </c>
      <c r="AL527" s="264" t="s">
        <v>995</v>
      </c>
    </row>
    <row r="528" spans="1:38">
      <c r="A528" s="264">
        <v>7850</v>
      </c>
      <c r="B528" s="264" t="s">
        <v>536</v>
      </c>
      <c r="C528" s="264" t="s">
        <v>1326</v>
      </c>
      <c r="D528" s="264" t="s">
        <v>1004</v>
      </c>
      <c r="E528" s="264">
        <v>44521</v>
      </c>
      <c r="F528" s="264" t="s">
        <v>389</v>
      </c>
      <c r="G528" s="389">
        <v>31795</v>
      </c>
      <c r="H528" s="264">
        <v>37</v>
      </c>
      <c r="I528" s="389">
        <v>38432</v>
      </c>
      <c r="K528" s="390">
        <v>42278</v>
      </c>
      <c r="L528" s="264">
        <v>70</v>
      </c>
      <c r="M528" s="264" t="s">
        <v>1024</v>
      </c>
      <c r="N528" s="264">
        <v>1</v>
      </c>
      <c r="O528" s="264" t="s">
        <v>829</v>
      </c>
      <c r="P528" s="264" t="s">
        <v>994</v>
      </c>
      <c r="Q528" s="264" t="s">
        <v>1009</v>
      </c>
      <c r="R528" s="264" t="s">
        <v>1010</v>
      </c>
      <c r="S528" s="264" t="s">
        <v>996</v>
      </c>
      <c r="T528" s="264" t="s">
        <v>997</v>
      </c>
      <c r="U528" s="264" t="s">
        <v>1021</v>
      </c>
      <c r="V528" s="264" t="s">
        <v>995</v>
      </c>
      <c r="W528" s="264" t="s">
        <v>995</v>
      </c>
      <c r="X528" s="264" t="s">
        <v>828</v>
      </c>
      <c r="Y528" s="264" t="s">
        <v>998</v>
      </c>
      <c r="Z528" s="264">
        <v>31</v>
      </c>
      <c r="AA528" s="264" t="s">
        <v>999</v>
      </c>
      <c r="AB528" s="264">
        <v>31</v>
      </c>
      <c r="AC528" s="264" t="s">
        <v>999</v>
      </c>
      <c r="AD528" s="264" t="s">
        <v>1000</v>
      </c>
      <c r="AE528" s="264" t="s">
        <v>1000</v>
      </c>
      <c r="AF528" s="264" t="s">
        <v>1000</v>
      </c>
      <c r="AG528" s="264" t="s">
        <v>1000</v>
      </c>
      <c r="AH528" s="264" t="s">
        <v>1002</v>
      </c>
      <c r="AI528" s="264" t="s">
        <v>1002</v>
      </c>
      <c r="AJ528" s="264" t="s">
        <v>995</v>
      </c>
      <c r="AK528" s="264" t="s">
        <v>995</v>
      </c>
      <c r="AL528" s="264" t="s">
        <v>995</v>
      </c>
    </row>
    <row r="529" spans="1:38">
      <c r="A529" s="264">
        <v>8227</v>
      </c>
      <c r="B529" s="264" t="s">
        <v>1327</v>
      </c>
      <c r="C529" s="264" t="s">
        <v>1328</v>
      </c>
      <c r="D529" s="264" t="s">
        <v>1004</v>
      </c>
      <c r="E529" s="264">
        <v>44521</v>
      </c>
      <c r="F529" s="264" t="s">
        <v>389</v>
      </c>
      <c r="G529" s="389">
        <v>26964</v>
      </c>
      <c r="H529" s="264">
        <v>50</v>
      </c>
      <c r="I529" s="389">
        <v>44972</v>
      </c>
      <c r="K529" s="390">
        <v>44958</v>
      </c>
      <c r="L529" s="264">
        <v>70</v>
      </c>
      <c r="M529" s="264" t="s">
        <v>1024</v>
      </c>
      <c r="N529" s="264">
        <v>1</v>
      </c>
      <c r="O529" s="264" t="s">
        <v>829</v>
      </c>
      <c r="P529" s="264" t="s">
        <v>994</v>
      </c>
      <c r="Q529" s="264" t="s">
        <v>1009</v>
      </c>
      <c r="R529" s="264" t="s">
        <v>1010</v>
      </c>
      <c r="S529" s="264" t="s">
        <v>996</v>
      </c>
      <c r="T529" s="264" t="s">
        <v>997</v>
      </c>
      <c r="U529" s="264" t="s">
        <v>995</v>
      </c>
      <c r="V529" s="264" t="s">
        <v>995</v>
      </c>
      <c r="W529" s="264" t="s">
        <v>995</v>
      </c>
      <c r="X529" s="264" t="s">
        <v>828</v>
      </c>
      <c r="Y529" s="264" t="s">
        <v>998</v>
      </c>
      <c r="Z529" s="264">
        <v>31</v>
      </c>
      <c r="AA529" s="264" t="s">
        <v>999</v>
      </c>
      <c r="AB529" s="264">
        <v>31</v>
      </c>
      <c r="AC529" s="264" t="s">
        <v>999</v>
      </c>
      <c r="AD529" s="264" t="s">
        <v>1000</v>
      </c>
      <c r="AE529" s="264" t="s">
        <v>1000</v>
      </c>
      <c r="AF529" s="264" t="s">
        <v>1000</v>
      </c>
      <c r="AG529" s="264" t="s">
        <v>1000</v>
      </c>
      <c r="AH529" s="264" t="s">
        <v>1002</v>
      </c>
      <c r="AI529" s="264" t="s">
        <v>1002</v>
      </c>
      <c r="AJ529" s="264" t="s">
        <v>995</v>
      </c>
      <c r="AK529" s="264" t="s">
        <v>995</v>
      </c>
      <c r="AL529" s="264" t="s">
        <v>995</v>
      </c>
    </row>
    <row r="530" spans="1:38">
      <c r="A530" s="264">
        <v>8230</v>
      </c>
      <c r="B530" s="264" t="s">
        <v>1329</v>
      </c>
      <c r="C530" s="264" t="s">
        <v>1330</v>
      </c>
      <c r="D530" s="264" t="s">
        <v>1004</v>
      </c>
      <c r="E530" s="264">
        <v>44521</v>
      </c>
      <c r="F530" s="264" t="s">
        <v>389</v>
      </c>
      <c r="G530" s="389">
        <v>22981</v>
      </c>
      <c r="H530" s="264">
        <v>61</v>
      </c>
      <c r="I530" s="389">
        <v>44991</v>
      </c>
      <c r="K530" s="390">
        <v>45017</v>
      </c>
      <c r="L530" s="264">
        <v>70</v>
      </c>
      <c r="M530" s="264" t="s">
        <v>1024</v>
      </c>
      <c r="N530" s="264">
        <v>1</v>
      </c>
      <c r="O530" s="264" t="s">
        <v>829</v>
      </c>
      <c r="P530" s="264" t="s">
        <v>994</v>
      </c>
      <c r="Q530" s="264" t="s">
        <v>1009</v>
      </c>
      <c r="R530" s="264" t="s">
        <v>1010</v>
      </c>
      <c r="S530" s="264" t="s">
        <v>996</v>
      </c>
      <c r="T530" s="264" t="s">
        <v>997</v>
      </c>
      <c r="U530" s="264" t="s">
        <v>995</v>
      </c>
      <c r="V530" s="264" t="s">
        <v>995</v>
      </c>
      <c r="W530" s="264" t="s">
        <v>995</v>
      </c>
      <c r="X530" s="264" t="s">
        <v>828</v>
      </c>
      <c r="Y530" s="264" t="s">
        <v>998</v>
      </c>
      <c r="Z530" s="264">
        <v>31</v>
      </c>
      <c r="AA530" s="264" t="s">
        <v>999</v>
      </c>
      <c r="AB530" s="264">
        <v>31</v>
      </c>
      <c r="AC530" s="264" t="s">
        <v>999</v>
      </c>
      <c r="AD530" s="264" t="s">
        <v>1000</v>
      </c>
      <c r="AE530" s="264" t="s">
        <v>1000</v>
      </c>
      <c r="AF530" s="264" t="s">
        <v>1000</v>
      </c>
      <c r="AG530" s="264" t="s">
        <v>1000</v>
      </c>
      <c r="AH530" s="264" t="s">
        <v>1002</v>
      </c>
      <c r="AI530" s="264" t="s">
        <v>1002</v>
      </c>
      <c r="AJ530" s="264" t="s">
        <v>995</v>
      </c>
      <c r="AK530" s="264" t="s">
        <v>995</v>
      </c>
      <c r="AL530" s="264" t="s">
        <v>995</v>
      </c>
    </row>
    <row r="531" spans="1:38">
      <c r="A531" s="264">
        <v>1350</v>
      </c>
      <c r="B531" s="264" t="s">
        <v>118</v>
      </c>
      <c r="C531" s="264" t="s">
        <v>1317</v>
      </c>
      <c r="D531" s="264" t="s">
        <v>1004</v>
      </c>
      <c r="E531" s="264">
        <v>44200</v>
      </c>
      <c r="F531" s="264" t="s">
        <v>114</v>
      </c>
      <c r="G531" s="389">
        <v>31137</v>
      </c>
      <c r="H531" s="264">
        <v>38</v>
      </c>
      <c r="I531" s="389">
        <v>39545</v>
      </c>
      <c r="K531" s="390">
        <v>42278</v>
      </c>
      <c r="L531" s="264">
        <v>20</v>
      </c>
      <c r="M531" s="264" t="s">
        <v>1015</v>
      </c>
      <c r="N531" s="264">
        <v>1</v>
      </c>
      <c r="O531" s="264" t="s">
        <v>829</v>
      </c>
      <c r="P531" s="264" t="s">
        <v>994</v>
      </c>
      <c r="Q531" s="264" t="s">
        <v>1009</v>
      </c>
      <c r="R531" s="264" t="s">
        <v>1010</v>
      </c>
      <c r="S531" s="264" t="s">
        <v>996</v>
      </c>
      <c r="T531" s="264" t="s">
        <v>997</v>
      </c>
      <c r="U531" s="264" t="s">
        <v>995</v>
      </c>
      <c r="V531" s="264" t="s">
        <v>995</v>
      </c>
      <c r="W531" s="264" t="s">
        <v>995</v>
      </c>
      <c r="X531" s="264" t="s">
        <v>828</v>
      </c>
      <c r="Y531" s="264" t="s">
        <v>998</v>
      </c>
      <c r="Z531" s="264">
        <v>31</v>
      </c>
      <c r="AA531" s="264" t="s">
        <v>999</v>
      </c>
      <c r="AB531" s="264">
        <v>31</v>
      </c>
      <c r="AC531" s="264" t="s">
        <v>999</v>
      </c>
      <c r="AD531" s="264" t="s">
        <v>1000</v>
      </c>
      <c r="AE531" s="264" t="s">
        <v>1000</v>
      </c>
      <c r="AF531" s="264" t="s">
        <v>1000</v>
      </c>
      <c r="AG531" s="264" t="s">
        <v>1000</v>
      </c>
      <c r="AH531" s="264" t="s">
        <v>1002</v>
      </c>
      <c r="AI531" s="264" t="s">
        <v>1002</v>
      </c>
      <c r="AJ531" s="264" t="s">
        <v>995</v>
      </c>
      <c r="AK531" s="264" t="s">
        <v>995</v>
      </c>
      <c r="AL531" s="264" t="s">
        <v>995</v>
      </c>
    </row>
    <row r="532" spans="1:38">
      <c r="A532" s="264">
        <v>1359</v>
      </c>
      <c r="B532" s="264" t="s">
        <v>403</v>
      </c>
      <c r="C532" s="264" t="s">
        <v>1333</v>
      </c>
      <c r="D532" s="264" t="s">
        <v>1004</v>
      </c>
      <c r="E532" s="264">
        <v>45111</v>
      </c>
      <c r="F532" s="264" t="s">
        <v>396</v>
      </c>
      <c r="G532" s="389">
        <v>26439</v>
      </c>
      <c r="H532" s="264">
        <v>51</v>
      </c>
      <c r="I532" s="389">
        <v>39742</v>
      </c>
      <c r="K532" s="390">
        <v>42278</v>
      </c>
      <c r="L532" s="264">
        <v>20</v>
      </c>
      <c r="M532" s="264" t="s">
        <v>1015</v>
      </c>
      <c r="N532" s="264">
        <v>1</v>
      </c>
      <c r="O532" s="264" t="s">
        <v>829</v>
      </c>
      <c r="P532" s="264" t="s">
        <v>994</v>
      </c>
      <c r="Q532" s="264" t="s">
        <v>1009</v>
      </c>
      <c r="R532" s="264" t="s">
        <v>1010</v>
      </c>
      <c r="S532" s="264" t="s">
        <v>996</v>
      </c>
      <c r="T532" s="264" t="s">
        <v>997</v>
      </c>
      <c r="U532" s="264" t="s">
        <v>995</v>
      </c>
      <c r="V532" s="264" t="s">
        <v>995</v>
      </c>
      <c r="W532" s="264" t="s">
        <v>995</v>
      </c>
      <c r="X532" s="264" t="s">
        <v>828</v>
      </c>
      <c r="Y532" s="264" t="s">
        <v>998</v>
      </c>
      <c r="Z532" s="264">
        <v>31</v>
      </c>
      <c r="AA532" s="264" t="s">
        <v>999</v>
      </c>
      <c r="AB532" s="264">
        <v>31</v>
      </c>
      <c r="AC532" s="264" t="s">
        <v>999</v>
      </c>
      <c r="AD532" s="264" t="s">
        <v>1000</v>
      </c>
      <c r="AE532" s="264" t="s">
        <v>1000</v>
      </c>
      <c r="AF532" s="264" t="s">
        <v>1000</v>
      </c>
      <c r="AG532" s="264" t="s">
        <v>1000</v>
      </c>
      <c r="AH532" s="264" t="s">
        <v>1002</v>
      </c>
      <c r="AI532" s="264" t="s">
        <v>1002</v>
      </c>
      <c r="AJ532" s="264" t="s">
        <v>995</v>
      </c>
      <c r="AK532" s="264" t="s">
        <v>995</v>
      </c>
      <c r="AL532" s="264" t="s">
        <v>995</v>
      </c>
    </row>
    <row r="533" spans="1:38">
      <c r="A533" s="264">
        <v>1406</v>
      </c>
      <c r="B533" s="264" t="s">
        <v>404</v>
      </c>
      <c r="C533" s="264" t="s">
        <v>1334</v>
      </c>
      <c r="D533" s="264" t="s">
        <v>1004</v>
      </c>
      <c r="E533" s="264">
        <v>45111</v>
      </c>
      <c r="F533" s="264" t="s">
        <v>396</v>
      </c>
      <c r="G533" s="389">
        <v>32333</v>
      </c>
      <c r="H533" s="264">
        <v>35</v>
      </c>
      <c r="I533" s="389">
        <v>42191</v>
      </c>
      <c r="K533" s="390">
        <v>43132</v>
      </c>
      <c r="L533" s="264">
        <v>20</v>
      </c>
      <c r="M533" s="264" t="s">
        <v>1015</v>
      </c>
      <c r="N533" s="264">
        <v>1</v>
      </c>
      <c r="O533" s="264" t="s">
        <v>829</v>
      </c>
      <c r="P533" s="264" t="s">
        <v>994</v>
      </c>
      <c r="Q533" s="264" t="s">
        <v>1009</v>
      </c>
      <c r="R533" s="264" t="s">
        <v>1010</v>
      </c>
      <c r="S533" s="264" t="s">
        <v>996</v>
      </c>
      <c r="T533" s="264" t="s">
        <v>997</v>
      </c>
      <c r="U533" s="264" t="s">
        <v>995</v>
      </c>
      <c r="V533" s="264" t="s">
        <v>995</v>
      </c>
      <c r="W533" s="264" t="s">
        <v>995</v>
      </c>
      <c r="X533" s="264" t="s">
        <v>828</v>
      </c>
      <c r="Y533" s="264" t="s">
        <v>998</v>
      </c>
      <c r="Z533" s="264">
        <v>31</v>
      </c>
      <c r="AA533" s="264" t="s">
        <v>999</v>
      </c>
      <c r="AB533" s="264">
        <v>31</v>
      </c>
      <c r="AC533" s="264" t="s">
        <v>999</v>
      </c>
      <c r="AD533" s="264" t="s">
        <v>1000</v>
      </c>
      <c r="AE533" s="264" t="s">
        <v>1000</v>
      </c>
      <c r="AF533" s="264" t="s">
        <v>1000</v>
      </c>
      <c r="AG533" s="264" t="s">
        <v>1000</v>
      </c>
      <c r="AH533" s="264" t="s">
        <v>1002</v>
      </c>
      <c r="AI533" s="264" t="s">
        <v>1002</v>
      </c>
      <c r="AJ533" s="264" t="s">
        <v>995</v>
      </c>
      <c r="AK533" s="264" t="s">
        <v>995</v>
      </c>
      <c r="AL533" s="264" t="s">
        <v>995</v>
      </c>
    </row>
    <row r="534" spans="1:38">
      <c r="A534" s="264">
        <v>3348</v>
      </c>
      <c r="B534" s="264" t="s">
        <v>405</v>
      </c>
      <c r="C534" s="264" t="s">
        <v>1335</v>
      </c>
      <c r="D534" s="264" t="s">
        <v>1004</v>
      </c>
      <c r="E534" s="264">
        <v>45111</v>
      </c>
      <c r="F534" s="264" t="s">
        <v>396</v>
      </c>
      <c r="G534" s="389">
        <v>33918</v>
      </c>
      <c r="H534" s="264">
        <v>31</v>
      </c>
      <c r="I534" s="389">
        <v>40623</v>
      </c>
      <c r="K534" s="390">
        <v>42278</v>
      </c>
      <c r="L534" s="264">
        <v>20</v>
      </c>
      <c r="M534" s="264" t="s">
        <v>1015</v>
      </c>
      <c r="N534" s="264">
        <v>1</v>
      </c>
      <c r="O534" s="264" t="s">
        <v>829</v>
      </c>
      <c r="P534" s="264" t="s">
        <v>994</v>
      </c>
      <c r="Q534" s="264" t="s">
        <v>1009</v>
      </c>
      <c r="R534" s="264" t="s">
        <v>1010</v>
      </c>
      <c r="S534" s="264" t="s">
        <v>996</v>
      </c>
      <c r="T534" s="264" t="s">
        <v>997</v>
      </c>
      <c r="U534" s="264" t="s">
        <v>995</v>
      </c>
      <c r="V534" s="264" t="s">
        <v>995</v>
      </c>
      <c r="W534" s="264" t="s">
        <v>995</v>
      </c>
      <c r="X534" s="264" t="s">
        <v>828</v>
      </c>
      <c r="Y534" s="264" t="s">
        <v>998</v>
      </c>
      <c r="Z534" s="264">
        <v>31</v>
      </c>
      <c r="AA534" s="264" t="s">
        <v>999</v>
      </c>
      <c r="AB534" s="264">
        <v>31</v>
      </c>
      <c r="AC534" s="264" t="s">
        <v>999</v>
      </c>
      <c r="AD534" s="264" t="s">
        <v>1000</v>
      </c>
      <c r="AE534" s="264" t="s">
        <v>1000</v>
      </c>
      <c r="AF534" s="264" t="s">
        <v>1000</v>
      </c>
      <c r="AG534" s="264" t="s">
        <v>1000</v>
      </c>
      <c r="AH534" s="264" t="s">
        <v>1002</v>
      </c>
      <c r="AI534" s="264" t="s">
        <v>1002</v>
      </c>
      <c r="AJ534" s="264" t="s">
        <v>995</v>
      </c>
      <c r="AK534" s="264" t="s">
        <v>995</v>
      </c>
      <c r="AL534" s="264" t="s">
        <v>995</v>
      </c>
    </row>
    <row r="535" spans="1:38">
      <c r="A535" s="264">
        <v>3349</v>
      </c>
      <c r="B535" s="264" t="s">
        <v>406</v>
      </c>
      <c r="C535" s="264" t="s">
        <v>1336</v>
      </c>
      <c r="D535" s="264" t="s">
        <v>1004</v>
      </c>
      <c r="E535" s="264">
        <v>45111</v>
      </c>
      <c r="F535" s="264" t="s">
        <v>396</v>
      </c>
      <c r="G535" s="389">
        <v>33974</v>
      </c>
      <c r="H535" s="264">
        <v>31</v>
      </c>
      <c r="I535" s="389">
        <v>40623</v>
      </c>
      <c r="K535" s="390">
        <v>42278</v>
      </c>
      <c r="L535" s="264">
        <v>20</v>
      </c>
      <c r="M535" s="264" t="s">
        <v>1015</v>
      </c>
      <c r="N535" s="264">
        <v>1</v>
      </c>
      <c r="O535" s="264" t="s">
        <v>829</v>
      </c>
      <c r="P535" s="264" t="s">
        <v>994</v>
      </c>
      <c r="Q535" s="264" t="s">
        <v>1009</v>
      </c>
      <c r="R535" s="264" t="s">
        <v>1010</v>
      </c>
      <c r="S535" s="264" t="s">
        <v>996</v>
      </c>
      <c r="T535" s="264" t="s">
        <v>997</v>
      </c>
      <c r="U535" s="264" t="s">
        <v>995</v>
      </c>
      <c r="V535" s="264" t="s">
        <v>995</v>
      </c>
      <c r="W535" s="264" t="s">
        <v>995</v>
      </c>
      <c r="X535" s="264" t="s">
        <v>828</v>
      </c>
      <c r="Y535" s="264" t="s">
        <v>998</v>
      </c>
      <c r="Z535" s="264">
        <v>31</v>
      </c>
      <c r="AA535" s="264" t="s">
        <v>999</v>
      </c>
      <c r="AB535" s="264">
        <v>31</v>
      </c>
      <c r="AC535" s="264" t="s">
        <v>999</v>
      </c>
      <c r="AD535" s="264" t="s">
        <v>1000</v>
      </c>
      <c r="AE535" s="264" t="s">
        <v>1000</v>
      </c>
      <c r="AF535" s="264" t="s">
        <v>1000</v>
      </c>
      <c r="AG535" s="264" t="s">
        <v>1000</v>
      </c>
      <c r="AH535" s="264" t="s">
        <v>1002</v>
      </c>
      <c r="AI535" s="264" t="s">
        <v>1002</v>
      </c>
      <c r="AJ535" s="264" t="s">
        <v>995</v>
      </c>
      <c r="AK535" s="264" t="s">
        <v>995</v>
      </c>
      <c r="AL535" s="264" t="s">
        <v>995</v>
      </c>
    </row>
    <row r="536" spans="1:38">
      <c r="A536" s="264">
        <v>3483</v>
      </c>
      <c r="B536" s="264" t="s">
        <v>409</v>
      </c>
      <c r="C536" s="264" t="s">
        <v>1337</v>
      </c>
      <c r="D536" s="264" t="s">
        <v>1004</v>
      </c>
      <c r="E536" s="264">
        <v>45111</v>
      </c>
      <c r="F536" s="264" t="s">
        <v>396</v>
      </c>
      <c r="G536" s="389">
        <v>36081</v>
      </c>
      <c r="H536" s="264">
        <v>25</v>
      </c>
      <c r="I536" s="389">
        <v>42826</v>
      </c>
      <c r="K536" s="390">
        <v>42856</v>
      </c>
      <c r="L536" s="264">
        <v>20</v>
      </c>
      <c r="M536" s="264" t="s">
        <v>1015</v>
      </c>
      <c r="N536" s="264">
        <v>1</v>
      </c>
      <c r="O536" s="264" t="s">
        <v>829</v>
      </c>
      <c r="P536" s="264" t="s">
        <v>994</v>
      </c>
      <c r="Q536" s="264" t="s">
        <v>1009</v>
      </c>
      <c r="R536" s="264" t="s">
        <v>1010</v>
      </c>
      <c r="S536" s="264" t="s">
        <v>996</v>
      </c>
      <c r="T536" s="264" t="s">
        <v>997</v>
      </c>
      <c r="U536" s="264" t="s">
        <v>995</v>
      </c>
      <c r="V536" s="264" t="s">
        <v>995</v>
      </c>
      <c r="W536" s="264" t="s">
        <v>995</v>
      </c>
      <c r="X536" s="264" t="s">
        <v>828</v>
      </c>
      <c r="Y536" s="264" t="s">
        <v>998</v>
      </c>
      <c r="Z536" s="264">
        <v>31</v>
      </c>
      <c r="AA536" s="264" t="s">
        <v>999</v>
      </c>
      <c r="AB536" s="264">
        <v>31</v>
      </c>
      <c r="AC536" s="264" t="s">
        <v>999</v>
      </c>
      <c r="AD536" s="264" t="s">
        <v>1000</v>
      </c>
      <c r="AE536" s="264" t="s">
        <v>1000</v>
      </c>
      <c r="AF536" s="264" t="s">
        <v>1000</v>
      </c>
      <c r="AG536" s="264" t="s">
        <v>1000</v>
      </c>
      <c r="AH536" s="264" t="s">
        <v>1002</v>
      </c>
      <c r="AI536" s="264" t="s">
        <v>1002</v>
      </c>
      <c r="AJ536" s="264" t="s">
        <v>995</v>
      </c>
      <c r="AK536" s="264" t="s">
        <v>995</v>
      </c>
      <c r="AL536" s="264" t="s">
        <v>995</v>
      </c>
    </row>
    <row r="537" spans="1:38">
      <c r="A537" s="264">
        <v>3952</v>
      </c>
      <c r="B537" s="264" t="s">
        <v>402</v>
      </c>
      <c r="C537" s="264" t="s">
        <v>1338</v>
      </c>
      <c r="D537" s="264" t="s">
        <v>1004</v>
      </c>
      <c r="E537" s="264">
        <v>45111</v>
      </c>
      <c r="F537" s="264" t="s">
        <v>396</v>
      </c>
      <c r="G537" s="389">
        <v>27535</v>
      </c>
      <c r="H537" s="264">
        <v>48</v>
      </c>
      <c r="I537" s="389">
        <v>39264</v>
      </c>
      <c r="K537" s="390">
        <v>42278</v>
      </c>
      <c r="L537" s="264">
        <v>20</v>
      </c>
      <c r="M537" s="264" t="s">
        <v>1015</v>
      </c>
      <c r="N537" s="264">
        <v>1</v>
      </c>
      <c r="O537" s="264" t="s">
        <v>829</v>
      </c>
      <c r="P537" s="264" t="s">
        <v>994</v>
      </c>
      <c r="Q537" s="264" t="s">
        <v>1009</v>
      </c>
      <c r="R537" s="264" t="s">
        <v>1010</v>
      </c>
      <c r="S537" s="264" t="s">
        <v>996</v>
      </c>
      <c r="T537" s="264" t="s">
        <v>997</v>
      </c>
      <c r="U537" s="264" t="s">
        <v>995</v>
      </c>
      <c r="V537" s="264" t="s">
        <v>995</v>
      </c>
      <c r="W537" s="264" t="s">
        <v>995</v>
      </c>
      <c r="X537" s="264" t="s">
        <v>828</v>
      </c>
      <c r="Y537" s="264" t="s">
        <v>998</v>
      </c>
      <c r="Z537" s="264">
        <v>31</v>
      </c>
      <c r="AA537" s="264" t="s">
        <v>999</v>
      </c>
      <c r="AB537" s="264">
        <v>31</v>
      </c>
      <c r="AC537" s="264" t="s">
        <v>999</v>
      </c>
      <c r="AD537" s="264" t="s">
        <v>1000</v>
      </c>
      <c r="AE537" s="264" t="s">
        <v>1000</v>
      </c>
      <c r="AF537" s="264" t="s">
        <v>1000</v>
      </c>
      <c r="AG537" s="264" t="s">
        <v>1000</v>
      </c>
      <c r="AH537" s="264" t="s">
        <v>1002</v>
      </c>
      <c r="AI537" s="264" t="s">
        <v>1002</v>
      </c>
      <c r="AJ537" s="264" t="s">
        <v>995</v>
      </c>
      <c r="AK537" s="264" t="s">
        <v>995</v>
      </c>
      <c r="AL537" s="264" t="s">
        <v>995</v>
      </c>
    </row>
    <row r="538" spans="1:38">
      <c r="A538" s="264">
        <v>3978</v>
      </c>
      <c r="B538" s="264" t="s">
        <v>398</v>
      </c>
      <c r="C538" s="264" t="s">
        <v>1339</v>
      </c>
      <c r="D538" s="264" t="s">
        <v>1004</v>
      </c>
      <c r="E538" s="264">
        <v>45111</v>
      </c>
      <c r="F538" s="264" t="s">
        <v>396</v>
      </c>
      <c r="G538" s="389">
        <v>28630</v>
      </c>
      <c r="H538" s="264">
        <v>45</v>
      </c>
      <c r="I538" s="389">
        <v>39346</v>
      </c>
      <c r="K538" s="390">
        <v>42278</v>
      </c>
      <c r="L538" s="264">
        <v>20</v>
      </c>
      <c r="M538" s="264" t="s">
        <v>1015</v>
      </c>
      <c r="N538" s="264">
        <v>1</v>
      </c>
      <c r="O538" s="264" t="s">
        <v>829</v>
      </c>
      <c r="P538" s="264" t="s">
        <v>994</v>
      </c>
      <c r="Q538" s="264" t="s">
        <v>1009</v>
      </c>
      <c r="R538" s="264" t="s">
        <v>1010</v>
      </c>
      <c r="S538" s="264" t="s">
        <v>996</v>
      </c>
      <c r="T538" s="264" t="s">
        <v>997</v>
      </c>
      <c r="U538" s="264" t="s">
        <v>995</v>
      </c>
      <c r="V538" s="264" t="s">
        <v>995</v>
      </c>
      <c r="W538" s="264" t="s">
        <v>995</v>
      </c>
      <c r="X538" s="264" t="s">
        <v>828</v>
      </c>
      <c r="Y538" s="264" t="s">
        <v>998</v>
      </c>
      <c r="Z538" s="264">
        <v>31</v>
      </c>
      <c r="AA538" s="264" t="s">
        <v>999</v>
      </c>
      <c r="AB538" s="264">
        <v>31</v>
      </c>
      <c r="AC538" s="264" t="s">
        <v>999</v>
      </c>
      <c r="AD538" s="264" t="s">
        <v>1000</v>
      </c>
      <c r="AE538" s="264" t="s">
        <v>1000</v>
      </c>
      <c r="AF538" s="264" t="s">
        <v>1000</v>
      </c>
      <c r="AG538" s="264" t="s">
        <v>1000</v>
      </c>
      <c r="AH538" s="264" t="s">
        <v>1002</v>
      </c>
      <c r="AI538" s="264" t="s">
        <v>1002</v>
      </c>
      <c r="AJ538" s="264" t="s">
        <v>995</v>
      </c>
      <c r="AK538" s="264" t="s">
        <v>995</v>
      </c>
      <c r="AL538" s="264" t="s">
        <v>995</v>
      </c>
    </row>
    <row r="539" spans="1:38">
      <c r="A539" s="264">
        <v>3979</v>
      </c>
      <c r="B539" s="264" t="s">
        <v>399</v>
      </c>
      <c r="C539" s="264" t="s">
        <v>1340</v>
      </c>
      <c r="D539" s="264" t="s">
        <v>1004</v>
      </c>
      <c r="E539" s="264">
        <v>45111</v>
      </c>
      <c r="F539" s="264" t="s">
        <v>396</v>
      </c>
      <c r="G539" s="389">
        <v>29245</v>
      </c>
      <c r="H539" s="264">
        <v>44</v>
      </c>
      <c r="I539" s="389">
        <v>39346</v>
      </c>
      <c r="K539" s="390">
        <v>42278</v>
      </c>
      <c r="L539" s="264">
        <v>20</v>
      </c>
      <c r="M539" s="264" t="s">
        <v>1015</v>
      </c>
      <c r="N539" s="264">
        <v>1</v>
      </c>
      <c r="O539" s="264" t="s">
        <v>829</v>
      </c>
      <c r="P539" s="264" t="s">
        <v>994</v>
      </c>
      <c r="Q539" s="264" t="s">
        <v>1009</v>
      </c>
      <c r="R539" s="264" t="s">
        <v>1010</v>
      </c>
      <c r="S539" s="264" t="s">
        <v>996</v>
      </c>
      <c r="T539" s="264" t="s">
        <v>997</v>
      </c>
      <c r="U539" s="264" t="s">
        <v>995</v>
      </c>
      <c r="V539" s="264" t="s">
        <v>995</v>
      </c>
      <c r="W539" s="264" t="s">
        <v>995</v>
      </c>
      <c r="X539" s="264" t="s">
        <v>828</v>
      </c>
      <c r="Y539" s="264" t="s">
        <v>998</v>
      </c>
      <c r="Z539" s="264">
        <v>31</v>
      </c>
      <c r="AA539" s="264" t="s">
        <v>999</v>
      </c>
      <c r="AB539" s="264">
        <v>31</v>
      </c>
      <c r="AC539" s="264" t="s">
        <v>999</v>
      </c>
      <c r="AD539" s="264" t="s">
        <v>1000</v>
      </c>
      <c r="AE539" s="264" t="s">
        <v>1000</v>
      </c>
      <c r="AF539" s="264" t="s">
        <v>1000</v>
      </c>
      <c r="AG539" s="264" t="s">
        <v>1000</v>
      </c>
      <c r="AH539" s="264" t="s">
        <v>1002</v>
      </c>
      <c r="AI539" s="264" t="s">
        <v>1002</v>
      </c>
      <c r="AJ539" s="264" t="s">
        <v>995</v>
      </c>
      <c r="AK539" s="264" t="s">
        <v>995</v>
      </c>
      <c r="AL539" s="264" t="s">
        <v>995</v>
      </c>
    </row>
    <row r="540" spans="1:38">
      <c r="A540" s="264">
        <v>8184</v>
      </c>
      <c r="B540" s="264" t="s">
        <v>567</v>
      </c>
      <c r="C540" s="264" t="s">
        <v>1347</v>
      </c>
      <c r="D540" s="264" t="s">
        <v>1004</v>
      </c>
      <c r="E540" s="264">
        <v>45121</v>
      </c>
      <c r="F540" s="264" t="s">
        <v>396</v>
      </c>
      <c r="G540" s="389">
        <v>21607</v>
      </c>
      <c r="H540" s="264">
        <v>64</v>
      </c>
      <c r="I540" s="389">
        <v>37438</v>
      </c>
      <c r="K540" s="390">
        <v>43525</v>
      </c>
      <c r="L540" s="264">
        <v>70</v>
      </c>
      <c r="M540" s="264" t="s">
        <v>1024</v>
      </c>
      <c r="N540" s="264">
        <v>1</v>
      </c>
      <c r="O540" s="264" t="s">
        <v>829</v>
      </c>
      <c r="P540" s="264" t="s">
        <v>994</v>
      </c>
      <c r="Q540" s="264" t="s">
        <v>1009</v>
      </c>
      <c r="R540" s="264" t="s">
        <v>1010</v>
      </c>
      <c r="S540" s="264" t="s">
        <v>996</v>
      </c>
      <c r="T540" s="264" t="s">
        <v>997</v>
      </c>
      <c r="U540" s="264" t="s">
        <v>995</v>
      </c>
      <c r="V540" s="264" t="s">
        <v>995</v>
      </c>
      <c r="W540" s="264" t="s">
        <v>995</v>
      </c>
      <c r="X540" s="264" t="s">
        <v>828</v>
      </c>
      <c r="Y540" s="264" t="s">
        <v>998</v>
      </c>
      <c r="Z540" s="264">
        <v>31</v>
      </c>
      <c r="AA540" s="264" t="s">
        <v>999</v>
      </c>
      <c r="AB540" s="264">
        <v>31</v>
      </c>
      <c r="AC540" s="264" t="s">
        <v>999</v>
      </c>
      <c r="AD540" s="264" t="s">
        <v>1000</v>
      </c>
      <c r="AE540" s="264" t="s">
        <v>1000</v>
      </c>
      <c r="AF540" s="264" t="s">
        <v>1000</v>
      </c>
      <c r="AG540" s="264" t="s">
        <v>1000</v>
      </c>
      <c r="AH540" s="264" t="s">
        <v>1002</v>
      </c>
      <c r="AI540" s="264" t="s">
        <v>1002</v>
      </c>
      <c r="AJ540" s="264" t="s">
        <v>995</v>
      </c>
      <c r="AK540" s="264" t="s">
        <v>995</v>
      </c>
      <c r="AL540" s="264" t="s">
        <v>995</v>
      </c>
    </row>
    <row r="541" spans="1:38">
      <c r="A541" s="264">
        <v>1394</v>
      </c>
      <c r="B541" s="264" t="s">
        <v>400</v>
      </c>
      <c r="C541" s="264" t="s">
        <v>1341</v>
      </c>
      <c r="D541" s="264" t="s">
        <v>1004</v>
      </c>
      <c r="E541" s="264">
        <v>45111</v>
      </c>
      <c r="F541" s="264" t="s">
        <v>396</v>
      </c>
      <c r="G541" s="389">
        <v>27972</v>
      </c>
      <c r="H541" s="264">
        <v>47</v>
      </c>
      <c r="I541" s="389">
        <v>42036</v>
      </c>
      <c r="K541" s="390">
        <v>42278</v>
      </c>
      <c r="L541" s="264">
        <v>20</v>
      </c>
      <c r="M541" s="264" t="s">
        <v>1015</v>
      </c>
      <c r="N541" s="264">
        <v>1</v>
      </c>
      <c r="O541" s="264" t="s">
        <v>829</v>
      </c>
      <c r="P541" s="264" t="s">
        <v>994</v>
      </c>
      <c r="Q541" s="264" t="s">
        <v>1009</v>
      </c>
      <c r="R541" s="264" t="s">
        <v>1010</v>
      </c>
      <c r="S541" s="264" t="s">
        <v>996</v>
      </c>
      <c r="T541" s="264" t="s">
        <v>997</v>
      </c>
      <c r="U541" s="264" t="s">
        <v>995</v>
      </c>
      <c r="V541" s="264" t="s">
        <v>995</v>
      </c>
      <c r="W541" s="264" t="s">
        <v>995</v>
      </c>
      <c r="X541" s="264" t="s">
        <v>828</v>
      </c>
      <c r="Y541" s="264" t="s">
        <v>998</v>
      </c>
      <c r="Z541" s="264">
        <v>31</v>
      </c>
      <c r="AA541" s="264" t="s">
        <v>999</v>
      </c>
      <c r="AB541" s="264">
        <v>31</v>
      </c>
      <c r="AC541" s="264" t="s">
        <v>999</v>
      </c>
      <c r="AD541" s="264" t="s">
        <v>1000</v>
      </c>
      <c r="AE541" s="264" t="s">
        <v>1000</v>
      </c>
      <c r="AF541" s="264" t="s">
        <v>1000</v>
      </c>
      <c r="AG541" s="264" t="s">
        <v>1000</v>
      </c>
      <c r="AH541" s="264" t="s">
        <v>1002</v>
      </c>
      <c r="AI541" s="264" t="s">
        <v>1002</v>
      </c>
      <c r="AJ541" s="264" t="s">
        <v>995</v>
      </c>
      <c r="AK541" s="264" t="s">
        <v>1010</v>
      </c>
      <c r="AL541" s="264" t="s">
        <v>995</v>
      </c>
    </row>
    <row r="542" spans="1:38">
      <c r="A542" s="264">
        <v>1431</v>
      </c>
      <c r="B542" s="264" t="s">
        <v>835</v>
      </c>
      <c r="C542" s="264" t="s">
        <v>1342</v>
      </c>
      <c r="D542" s="264" t="s">
        <v>1004</v>
      </c>
      <c r="E542" s="264">
        <v>45111</v>
      </c>
      <c r="F542" s="264" t="s">
        <v>396</v>
      </c>
      <c r="G542" s="389">
        <v>33494</v>
      </c>
      <c r="H542" s="264">
        <v>32</v>
      </c>
      <c r="I542" s="389">
        <v>44743</v>
      </c>
      <c r="K542" s="390">
        <v>44774</v>
      </c>
      <c r="L542" s="264">
        <v>20</v>
      </c>
      <c r="M542" s="264" t="s">
        <v>1015</v>
      </c>
      <c r="N542" s="264">
        <v>1</v>
      </c>
      <c r="O542" s="264" t="s">
        <v>829</v>
      </c>
      <c r="P542" s="264" t="s">
        <v>994</v>
      </c>
      <c r="Q542" s="264" t="s">
        <v>1009</v>
      </c>
      <c r="R542" s="264" t="s">
        <v>1010</v>
      </c>
      <c r="S542" s="264" t="s">
        <v>996</v>
      </c>
      <c r="T542" s="264" t="s">
        <v>997</v>
      </c>
      <c r="U542" s="264" t="s">
        <v>995</v>
      </c>
      <c r="V542" s="264" t="s">
        <v>995</v>
      </c>
      <c r="W542" s="264" t="s">
        <v>995</v>
      </c>
      <c r="X542" s="264" t="s">
        <v>828</v>
      </c>
      <c r="Y542" s="264" t="s">
        <v>998</v>
      </c>
      <c r="Z542" s="264">
        <v>31</v>
      </c>
      <c r="AA542" s="264" t="s">
        <v>999</v>
      </c>
      <c r="AB542" s="264">
        <v>31</v>
      </c>
      <c r="AC542" s="264" t="s">
        <v>999</v>
      </c>
      <c r="AD542" s="264" t="s">
        <v>1000</v>
      </c>
      <c r="AE542" s="264" t="s">
        <v>1000</v>
      </c>
      <c r="AF542" s="264" t="s">
        <v>1000</v>
      </c>
      <c r="AG542" s="264" t="s">
        <v>1000</v>
      </c>
      <c r="AH542" s="264" t="s">
        <v>1002</v>
      </c>
      <c r="AI542" s="264" t="s">
        <v>1002</v>
      </c>
      <c r="AJ542" s="264" t="s">
        <v>995</v>
      </c>
      <c r="AK542" s="264" t="s">
        <v>995</v>
      </c>
      <c r="AL542" s="264" t="s">
        <v>995</v>
      </c>
    </row>
    <row r="543" spans="1:38">
      <c r="A543" s="264">
        <v>2811</v>
      </c>
      <c r="B543" s="264" t="s">
        <v>324</v>
      </c>
      <c r="C543" s="264" t="s">
        <v>1343</v>
      </c>
      <c r="D543" s="264" t="s">
        <v>1004</v>
      </c>
      <c r="E543" s="264">
        <v>45111</v>
      </c>
      <c r="F543" s="264" t="s">
        <v>396</v>
      </c>
      <c r="G543" s="389">
        <v>25227</v>
      </c>
      <c r="H543" s="264">
        <v>55</v>
      </c>
      <c r="I543" s="389">
        <v>31862</v>
      </c>
      <c r="K543" s="390">
        <v>42278</v>
      </c>
      <c r="L543" s="264">
        <v>20</v>
      </c>
      <c r="M543" s="264" t="s">
        <v>1015</v>
      </c>
      <c r="N543" s="264">
        <v>1</v>
      </c>
      <c r="O543" s="264" t="s">
        <v>829</v>
      </c>
      <c r="P543" s="264" t="s">
        <v>994</v>
      </c>
      <c r="Q543" s="264" t="s">
        <v>1009</v>
      </c>
      <c r="R543" s="264" t="s">
        <v>1010</v>
      </c>
      <c r="S543" s="264" t="s">
        <v>996</v>
      </c>
      <c r="T543" s="264" t="s">
        <v>997</v>
      </c>
      <c r="U543" s="264" t="s">
        <v>995</v>
      </c>
      <c r="V543" s="264" t="s">
        <v>995</v>
      </c>
      <c r="W543" s="264" t="s">
        <v>995</v>
      </c>
      <c r="X543" s="264" t="s">
        <v>828</v>
      </c>
      <c r="Y543" s="264" t="s">
        <v>998</v>
      </c>
      <c r="Z543" s="264">
        <v>31</v>
      </c>
      <c r="AA543" s="264" t="s">
        <v>999</v>
      </c>
      <c r="AB543" s="264">
        <v>31</v>
      </c>
      <c r="AC543" s="264" t="s">
        <v>999</v>
      </c>
      <c r="AD543" s="264" t="s">
        <v>1000</v>
      </c>
      <c r="AE543" s="264" t="s">
        <v>1000</v>
      </c>
      <c r="AF543" s="264" t="s">
        <v>1000</v>
      </c>
      <c r="AG543" s="264" t="s">
        <v>1000</v>
      </c>
      <c r="AH543" s="264" t="s">
        <v>1002</v>
      </c>
      <c r="AI543" s="264" t="s">
        <v>1002</v>
      </c>
      <c r="AJ543" s="264" t="s">
        <v>995</v>
      </c>
      <c r="AK543" s="264" t="s">
        <v>995</v>
      </c>
      <c r="AL543" s="264" t="s">
        <v>995</v>
      </c>
    </row>
    <row r="544" spans="1:38">
      <c r="A544" s="264">
        <v>3445</v>
      </c>
      <c r="B544" s="264" t="s">
        <v>407</v>
      </c>
      <c r="C544" s="264" t="s">
        <v>1344</v>
      </c>
      <c r="D544" s="264" t="s">
        <v>1004</v>
      </c>
      <c r="E544" s="264">
        <v>45111</v>
      </c>
      <c r="F544" s="264" t="s">
        <v>396</v>
      </c>
      <c r="G544" s="389">
        <v>35254</v>
      </c>
      <c r="H544" s="264">
        <v>27</v>
      </c>
      <c r="I544" s="389">
        <v>42095</v>
      </c>
      <c r="K544" s="390">
        <v>42278</v>
      </c>
      <c r="L544" s="264">
        <v>20</v>
      </c>
      <c r="M544" s="264" t="s">
        <v>1015</v>
      </c>
      <c r="N544" s="264">
        <v>1</v>
      </c>
      <c r="O544" s="264" t="s">
        <v>829</v>
      </c>
      <c r="P544" s="264" t="s">
        <v>994</v>
      </c>
      <c r="Q544" s="264" t="s">
        <v>1009</v>
      </c>
      <c r="R544" s="264" t="s">
        <v>1010</v>
      </c>
      <c r="S544" s="264" t="s">
        <v>996</v>
      </c>
      <c r="T544" s="264" t="s">
        <v>997</v>
      </c>
      <c r="U544" s="264" t="s">
        <v>995</v>
      </c>
      <c r="V544" s="264" t="s">
        <v>995</v>
      </c>
      <c r="W544" s="264" t="s">
        <v>995</v>
      </c>
      <c r="X544" s="264" t="s">
        <v>828</v>
      </c>
      <c r="Y544" s="264" t="s">
        <v>998</v>
      </c>
      <c r="Z544" s="264">
        <v>31</v>
      </c>
      <c r="AA544" s="264" t="s">
        <v>999</v>
      </c>
      <c r="AB544" s="264">
        <v>31</v>
      </c>
      <c r="AC544" s="264" t="s">
        <v>999</v>
      </c>
      <c r="AD544" s="264" t="s">
        <v>1000</v>
      </c>
      <c r="AE544" s="264" t="s">
        <v>1000</v>
      </c>
      <c r="AF544" s="264" t="s">
        <v>1000</v>
      </c>
      <c r="AG544" s="264" t="s">
        <v>1000</v>
      </c>
      <c r="AH544" s="264" t="s">
        <v>1002</v>
      </c>
      <c r="AI544" s="264" t="s">
        <v>1002</v>
      </c>
      <c r="AJ544" s="264" t="s">
        <v>995</v>
      </c>
      <c r="AK544" s="264" t="s">
        <v>995</v>
      </c>
      <c r="AL544" s="264" t="s">
        <v>995</v>
      </c>
    </row>
    <row r="545" spans="1:38">
      <c r="A545" s="264">
        <v>3899</v>
      </c>
      <c r="B545" s="264" t="s">
        <v>397</v>
      </c>
      <c r="C545" s="264" t="s">
        <v>1345</v>
      </c>
      <c r="D545" s="264" t="s">
        <v>1004</v>
      </c>
      <c r="E545" s="264">
        <v>45111</v>
      </c>
      <c r="F545" s="264" t="s">
        <v>396</v>
      </c>
      <c r="G545" s="389">
        <v>24237</v>
      </c>
      <c r="H545" s="264">
        <v>57</v>
      </c>
      <c r="I545" s="389">
        <v>31138</v>
      </c>
      <c r="K545" s="390">
        <v>42278</v>
      </c>
      <c r="L545" s="264">
        <v>20</v>
      </c>
      <c r="M545" s="264" t="s">
        <v>1015</v>
      </c>
      <c r="N545" s="264">
        <v>1</v>
      </c>
      <c r="O545" s="264" t="s">
        <v>829</v>
      </c>
      <c r="P545" s="264" t="s">
        <v>994</v>
      </c>
      <c r="Q545" s="264" t="s">
        <v>1009</v>
      </c>
      <c r="R545" s="264" t="s">
        <v>1010</v>
      </c>
      <c r="S545" s="264" t="s">
        <v>996</v>
      </c>
      <c r="T545" s="264" t="s">
        <v>997</v>
      </c>
      <c r="U545" s="264" t="s">
        <v>995</v>
      </c>
      <c r="V545" s="264" t="s">
        <v>995</v>
      </c>
      <c r="W545" s="264" t="s">
        <v>995</v>
      </c>
      <c r="X545" s="264" t="s">
        <v>828</v>
      </c>
      <c r="Y545" s="264" t="s">
        <v>998</v>
      </c>
      <c r="Z545" s="264">
        <v>31</v>
      </c>
      <c r="AA545" s="264" t="s">
        <v>999</v>
      </c>
      <c r="AB545" s="264">
        <v>31</v>
      </c>
      <c r="AC545" s="264" t="s">
        <v>999</v>
      </c>
      <c r="AD545" s="264" t="s">
        <v>1000</v>
      </c>
      <c r="AE545" s="264" t="s">
        <v>1000</v>
      </c>
      <c r="AF545" s="264" t="s">
        <v>1000</v>
      </c>
      <c r="AG545" s="264" t="s">
        <v>1000</v>
      </c>
      <c r="AH545" s="264" t="s">
        <v>1002</v>
      </c>
      <c r="AI545" s="264" t="s">
        <v>1002</v>
      </c>
      <c r="AJ545" s="264" t="s">
        <v>995</v>
      </c>
      <c r="AK545" s="264" t="s">
        <v>995</v>
      </c>
      <c r="AL545" s="264" t="s">
        <v>995</v>
      </c>
    </row>
    <row r="546" spans="1:38">
      <c r="A546" s="264">
        <v>3980</v>
      </c>
      <c r="B546" s="264" t="s">
        <v>401</v>
      </c>
      <c r="C546" s="264" t="s">
        <v>1346</v>
      </c>
      <c r="D546" s="264" t="s">
        <v>1004</v>
      </c>
      <c r="E546" s="264">
        <v>45111</v>
      </c>
      <c r="F546" s="264" t="s">
        <v>396</v>
      </c>
      <c r="G546" s="264">
        <v>26055</v>
      </c>
      <c r="H546" s="264">
        <v>52</v>
      </c>
      <c r="I546" s="264">
        <v>39346</v>
      </c>
      <c r="K546" s="264">
        <v>42278</v>
      </c>
      <c r="L546" s="264">
        <v>20</v>
      </c>
      <c r="M546" s="264" t="s">
        <v>1015</v>
      </c>
      <c r="N546" s="264">
        <v>1</v>
      </c>
      <c r="O546" s="264" t="s">
        <v>829</v>
      </c>
      <c r="P546" s="264" t="s">
        <v>994</v>
      </c>
      <c r="Q546" s="264" t="s">
        <v>1009</v>
      </c>
      <c r="R546" s="264" t="s">
        <v>1010</v>
      </c>
      <c r="S546" s="264" t="s">
        <v>996</v>
      </c>
      <c r="T546" s="264" t="s">
        <v>997</v>
      </c>
      <c r="U546" s="264" t="s">
        <v>995</v>
      </c>
      <c r="V546" s="264" t="s">
        <v>995</v>
      </c>
      <c r="W546" s="264" t="s">
        <v>995</v>
      </c>
      <c r="X546" s="264" t="s">
        <v>828</v>
      </c>
      <c r="Y546" s="264" t="s">
        <v>998</v>
      </c>
      <c r="Z546" s="264">
        <v>31</v>
      </c>
      <c r="AA546" s="264" t="s">
        <v>999</v>
      </c>
      <c r="AB546" s="264">
        <v>31</v>
      </c>
      <c r="AC546" s="264" t="s">
        <v>999</v>
      </c>
      <c r="AD546" s="264" t="s">
        <v>1000</v>
      </c>
      <c r="AE546" s="264" t="s">
        <v>1000</v>
      </c>
      <c r="AF546" s="264" t="s">
        <v>1000</v>
      </c>
      <c r="AG546" s="264" t="s">
        <v>1000</v>
      </c>
      <c r="AH546" s="264" t="s">
        <v>1002</v>
      </c>
      <c r="AI546" s="264" t="s">
        <v>1002</v>
      </c>
      <c r="AJ546" s="264" t="s">
        <v>995</v>
      </c>
      <c r="AK546" s="264" t="s">
        <v>995</v>
      </c>
      <c r="AL546" s="264" t="s">
        <v>995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3"/>
  <sheetViews>
    <sheetView zoomScale="85" zoomScaleNormal="85" workbookViewId="0">
      <pane xSplit="4" ySplit="4" topLeftCell="E549" activePane="bottomRight" state="frozen"/>
      <selection pane="topRight" activeCell="E1" sqref="E1"/>
      <selection pane="bottomLeft" activeCell="A5" sqref="A5"/>
      <selection pane="bottomRight" activeCell="A493" sqref="A493:XFD570"/>
    </sheetView>
  </sheetViews>
  <sheetFormatPr defaultRowHeight="18"/>
  <cols>
    <col min="2" max="2" width="5.59765625" customWidth="1"/>
    <col min="4" max="4" width="14.19921875" customWidth="1"/>
    <col min="5" max="5" width="4.3984375" customWidth="1"/>
    <col min="6" max="6" width="9.3984375" style="2" customWidth="1"/>
    <col min="7" max="7" width="11.69921875" style="3" customWidth="1"/>
    <col min="8" max="9" width="9.3984375" style="3" customWidth="1"/>
    <col min="10" max="13" width="10.69921875" style="2" customWidth="1"/>
    <col min="14" max="14" width="8.5" style="2" customWidth="1"/>
    <col min="15" max="15" width="4.19921875" style="154" hidden="1" customWidth="1"/>
    <col min="16" max="16" width="8" style="67" customWidth="1"/>
    <col min="17" max="17" width="18.59765625" customWidth="1"/>
    <col min="18" max="19" width="4.09765625" customWidth="1"/>
    <col min="20" max="20" width="4.5" customWidth="1"/>
  </cols>
  <sheetData>
    <row r="1" spans="1:20">
      <c r="D1" s="154"/>
    </row>
    <row r="2" spans="1:20" ht="18.75" customHeight="1" thickBot="1">
      <c r="D2" s="566" t="s">
        <v>0</v>
      </c>
      <c r="E2" s="567"/>
      <c r="F2" s="568"/>
      <c r="G2" s="4"/>
      <c r="H2" s="4"/>
      <c r="I2" s="4"/>
      <c r="J2" s="5"/>
      <c r="K2" s="5"/>
      <c r="L2" s="5"/>
      <c r="M2" s="5"/>
      <c r="N2" s="5"/>
    </row>
    <row r="3" spans="1:20" ht="18.75" customHeight="1">
      <c r="B3" s="6"/>
      <c r="C3" s="552" t="s">
        <v>1</v>
      </c>
      <c r="D3" s="552" t="s">
        <v>2</v>
      </c>
      <c r="E3" s="554" t="s">
        <v>3</v>
      </c>
      <c r="F3" s="556" t="s">
        <v>4</v>
      </c>
      <c r="G3" s="7"/>
      <c r="H3" s="7"/>
      <c r="I3" s="7"/>
      <c r="J3" s="558" t="s">
        <v>5</v>
      </c>
      <c r="K3" s="8"/>
      <c r="L3" s="8"/>
      <c r="M3" s="8"/>
      <c r="N3" s="8"/>
      <c r="O3" s="560" t="s">
        <v>6</v>
      </c>
      <c r="P3" s="68" t="s">
        <v>7</v>
      </c>
      <c r="Q3" s="152" t="s">
        <v>7</v>
      </c>
      <c r="R3" s="562" t="s">
        <v>8</v>
      </c>
      <c r="S3" s="562" t="s">
        <v>8</v>
      </c>
      <c r="T3" s="564" t="s">
        <v>9</v>
      </c>
    </row>
    <row r="4" spans="1:20" ht="18.75" customHeight="1" thickBot="1">
      <c r="B4" s="9"/>
      <c r="C4" s="553"/>
      <c r="D4" s="553"/>
      <c r="E4" s="555"/>
      <c r="F4" s="557"/>
      <c r="G4" s="10">
        <v>44440</v>
      </c>
      <c r="H4" s="7"/>
      <c r="I4" s="7"/>
      <c r="J4" s="559"/>
      <c r="K4" s="11"/>
      <c r="L4" s="8"/>
      <c r="M4" s="8"/>
      <c r="N4" s="8"/>
      <c r="O4" s="561"/>
      <c r="P4" s="69" t="s">
        <v>675</v>
      </c>
      <c r="Q4" s="153" t="s">
        <v>11</v>
      </c>
      <c r="R4" s="563"/>
      <c r="S4" s="563"/>
      <c r="T4" s="565"/>
    </row>
    <row r="5" spans="1:20" ht="18.75" customHeight="1">
      <c r="A5">
        <v>7</v>
      </c>
      <c r="B5" s="12">
        <v>62</v>
      </c>
      <c r="C5" s="13">
        <v>1410</v>
      </c>
      <c r="D5" s="13" t="s">
        <v>41</v>
      </c>
      <c r="E5" s="14" t="s">
        <v>677</v>
      </c>
      <c r="F5" s="15">
        <v>19941107</v>
      </c>
      <c r="G5" s="16">
        <f t="shared" ref="G5:G68" si="0">DATE(INT(F5/10000),INT(MOD(F5,10000)/100),MOD(F5,100))</f>
        <v>34645</v>
      </c>
      <c r="H5" s="2">
        <f t="shared" ref="H5:H68" si="1">DATEDIF(G5,$G$4,"Y")</f>
        <v>26</v>
      </c>
      <c r="I5" s="17"/>
      <c r="J5" s="18">
        <v>20200922</v>
      </c>
      <c r="K5" s="16">
        <f t="shared" ref="K5:K68" si="2">DATE(INT(J5/10000),INT(MOD(J5,10000)/100),MOD(J5,100))</f>
        <v>44096</v>
      </c>
      <c r="L5" s="2">
        <f t="shared" ref="L5:L68" si="3">DATEDIF(K5,$G$4,"Y")</f>
        <v>0</v>
      </c>
      <c r="M5" s="19"/>
      <c r="N5" s="19"/>
      <c r="O5" s="159">
        <v>8</v>
      </c>
      <c r="P5" s="70">
        <v>10000</v>
      </c>
      <c r="Q5" s="70" t="s">
        <v>26</v>
      </c>
      <c r="R5" s="13">
        <v>0</v>
      </c>
      <c r="S5" s="13"/>
      <c r="T5" s="13">
        <v>2</v>
      </c>
    </row>
    <row r="6" spans="1:20">
      <c r="A6">
        <v>20</v>
      </c>
      <c r="B6" s="21">
        <v>18</v>
      </c>
      <c r="C6" s="22">
        <v>1342</v>
      </c>
      <c r="D6" s="22" t="s">
        <v>249</v>
      </c>
      <c r="E6" s="23" t="s">
        <v>34</v>
      </c>
      <c r="F6" s="24">
        <v>19760731</v>
      </c>
      <c r="G6" s="16">
        <f t="shared" si="0"/>
        <v>27972</v>
      </c>
      <c r="H6" s="2">
        <f t="shared" si="1"/>
        <v>45</v>
      </c>
      <c r="I6" s="17"/>
      <c r="J6" s="25">
        <v>20030123</v>
      </c>
      <c r="K6" s="16">
        <f t="shared" si="2"/>
        <v>37644</v>
      </c>
      <c r="L6" s="2">
        <f t="shared" si="3"/>
        <v>18</v>
      </c>
      <c r="M6" s="25"/>
      <c r="N6" s="26"/>
      <c r="O6" s="27" t="s">
        <v>19</v>
      </c>
      <c r="P6" s="70">
        <v>80000</v>
      </c>
      <c r="Q6" s="70" t="s">
        <v>172</v>
      </c>
      <c r="R6" s="22">
        <v>0</v>
      </c>
      <c r="S6" s="22"/>
      <c r="T6" s="22">
        <v>2</v>
      </c>
    </row>
    <row r="7" spans="1:20">
      <c r="A7">
        <v>6</v>
      </c>
      <c r="B7" s="21">
        <v>229</v>
      </c>
      <c r="C7" s="22">
        <v>3297</v>
      </c>
      <c r="D7" s="22" t="s">
        <v>40</v>
      </c>
      <c r="E7" s="23" t="s">
        <v>34</v>
      </c>
      <c r="F7" s="24">
        <v>19900313</v>
      </c>
      <c r="G7" s="16">
        <f t="shared" si="0"/>
        <v>32945</v>
      </c>
      <c r="H7" s="2">
        <f t="shared" si="1"/>
        <v>31</v>
      </c>
      <c r="I7" s="17"/>
      <c r="J7" s="25">
        <v>20080321</v>
      </c>
      <c r="K7" s="16">
        <f t="shared" si="2"/>
        <v>39528</v>
      </c>
      <c r="L7" s="2">
        <f t="shared" si="3"/>
        <v>13</v>
      </c>
      <c r="M7" s="25"/>
      <c r="N7" s="26"/>
      <c r="O7" s="27" t="s">
        <v>35</v>
      </c>
      <c r="P7" s="73">
        <v>10000</v>
      </c>
      <c r="Q7" s="73" t="s">
        <v>26</v>
      </c>
      <c r="R7" s="22">
        <v>0</v>
      </c>
      <c r="S7" s="22"/>
      <c r="T7" s="22">
        <v>2</v>
      </c>
    </row>
    <row r="8" spans="1:20">
      <c r="A8">
        <v>14</v>
      </c>
      <c r="B8" s="21">
        <v>286</v>
      </c>
      <c r="C8" s="22">
        <v>3406</v>
      </c>
      <c r="D8" s="22" t="s">
        <v>526</v>
      </c>
      <c r="E8" s="23" t="s">
        <v>34</v>
      </c>
      <c r="F8" s="24">
        <v>19950225</v>
      </c>
      <c r="G8" s="16">
        <f t="shared" si="0"/>
        <v>34755</v>
      </c>
      <c r="H8" s="2">
        <f t="shared" si="1"/>
        <v>26</v>
      </c>
      <c r="I8" s="17"/>
      <c r="J8" s="25">
        <v>20130321</v>
      </c>
      <c r="K8" s="16">
        <f t="shared" si="2"/>
        <v>41354</v>
      </c>
      <c r="L8" s="2">
        <f t="shared" si="3"/>
        <v>8</v>
      </c>
      <c r="M8" s="25"/>
      <c r="N8" s="26"/>
      <c r="O8" s="27" t="s">
        <v>35</v>
      </c>
      <c r="P8" s="70">
        <v>66011</v>
      </c>
      <c r="Q8" s="70" t="s">
        <v>449</v>
      </c>
      <c r="R8" s="22">
        <v>1</v>
      </c>
      <c r="S8" s="22" t="s">
        <v>679</v>
      </c>
      <c r="T8" s="22">
        <v>2</v>
      </c>
    </row>
    <row r="9" spans="1:20">
      <c r="A9">
        <v>9</v>
      </c>
      <c r="B9" s="21">
        <v>22</v>
      </c>
      <c r="C9" s="22">
        <v>1348</v>
      </c>
      <c r="D9" s="22" t="s">
        <v>521</v>
      </c>
      <c r="E9" s="23" t="s">
        <v>34</v>
      </c>
      <c r="F9" s="24">
        <v>19870922</v>
      </c>
      <c r="G9" s="16">
        <f t="shared" si="0"/>
        <v>32042</v>
      </c>
      <c r="H9" s="2">
        <f t="shared" si="1"/>
        <v>33</v>
      </c>
      <c r="I9" s="17"/>
      <c r="J9" s="25">
        <v>20080321</v>
      </c>
      <c r="K9" s="16">
        <f t="shared" si="2"/>
        <v>39528</v>
      </c>
      <c r="L9" s="2">
        <f t="shared" si="3"/>
        <v>13</v>
      </c>
      <c r="M9" s="25"/>
      <c r="N9" s="19"/>
      <c r="O9" s="27" t="s">
        <v>35</v>
      </c>
      <c r="P9" s="70">
        <v>64111</v>
      </c>
      <c r="Q9" s="70" t="s">
        <v>422</v>
      </c>
      <c r="R9" s="22">
        <v>1</v>
      </c>
      <c r="S9" s="22" t="s">
        <v>679</v>
      </c>
      <c r="T9" s="22">
        <v>2</v>
      </c>
    </row>
    <row r="10" spans="1:20">
      <c r="A10">
        <v>11</v>
      </c>
      <c r="B10" s="21">
        <v>314</v>
      </c>
      <c r="C10" s="22">
        <v>3450</v>
      </c>
      <c r="D10" s="22" t="s">
        <v>523</v>
      </c>
      <c r="E10" s="23" t="s">
        <v>34</v>
      </c>
      <c r="F10" s="24">
        <v>19960920</v>
      </c>
      <c r="G10" s="16">
        <f t="shared" si="0"/>
        <v>35328</v>
      </c>
      <c r="H10" s="2">
        <f t="shared" si="1"/>
        <v>24</v>
      </c>
      <c r="I10" s="17"/>
      <c r="J10" s="25">
        <v>20150401</v>
      </c>
      <c r="K10" s="16">
        <f t="shared" si="2"/>
        <v>42095</v>
      </c>
      <c r="L10" s="2">
        <f t="shared" si="3"/>
        <v>6</v>
      </c>
      <c r="M10" s="25"/>
      <c r="N10" s="26"/>
      <c r="O10" s="27" t="s">
        <v>35</v>
      </c>
      <c r="P10" s="70">
        <v>65011</v>
      </c>
      <c r="Q10" s="70" t="s">
        <v>433</v>
      </c>
      <c r="R10" s="22">
        <v>1</v>
      </c>
      <c r="S10" s="22" t="s">
        <v>679</v>
      </c>
      <c r="T10" s="22">
        <v>2</v>
      </c>
    </row>
    <row r="11" spans="1:20">
      <c r="A11">
        <v>6</v>
      </c>
      <c r="B11" s="21">
        <v>154</v>
      </c>
      <c r="C11" s="22">
        <v>3093</v>
      </c>
      <c r="D11" s="22" t="s">
        <v>235</v>
      </c>
      <c r="E11" s="23" t="s">
        <v>34</v>
      </c>
      <c r="F11" s="24">
        <v>19750430</v>
      </c>
      <c r="G11" s="16">
        <f t="shared" si="0"/>
        <v>27514</v>
      </c>
      <c r="H11" s="2">
        <f t="shared" si="1"/>
        <v>46</v>
      </c>
      <c r="I11" s="17"/>
      <c r="J11" s="25">
        <v>19960321</v>
      </c>
      <c r="K11" s="16">
        <f t="shared" si="2"/>
        <v>35145</v>
      </c>
      <c r="L11" s="2">
        <f t="shared" si="3"/>
        <v>25</v>
      </c>
      <c r="M11" s="25"/>
      <c r="N11" s="26"/>
      <c r="O11" s="27" t="s">
        <v>19</v>
      </c>
      <c r="P11" s="70">
        <v>40000</v>
      </c>
      <c r="Q11" s="70" t="s">
        <v>87</v>
      </c>
      <c r="R11" s="22">
        <v>0</v>
      </c>
      <c r="S11" s="22"/>
      <c r="T11" s="22">
        <v>2</v>
      </c>
    </row>
    <row r="12" spans="1:20">
      <c r="A12">
        <v>3</v>
      </c>
      <c r="B12" s="21">
        <v>172</v>
      </c>
      <c r="C12" s="22">
        <v>3161</v>
      </c>
      <c r="D12" s="22" t="s">
        <v>232</v>
      </c>
      <c r="E12" s="23" t="s">
        <v>34</v>
      </c>
      <c r="F12" s="24">
        <v>19791010</v>
      </c>
      <c r="G12" s="16">
        <f t="shared" si="0"/>
        <v>29138</v>
      </c>
      <c r="H12" s="2">
        <f t="shared" si="1"/>
        <v>41</v>
      </c>
      <c r="I12" s="17"/>
      <c r="J12" s="25">
        <v>20000321</v>
      </c>
      <c r="K12" s="16">
        <f t="shared" si="2"/>
        <v>36606</v>
      </c>
      <c r="L12" s="2">
        <f t="shared" si="3"/>
        <v>21</v>
      </c>
      <c r="M12" s="25"/>
      <c r="N12" s="26"/>
      <c r="O12" s="27" t="s">
        <v>19</v>
      </c>
      <c r="P12" s="70">
        <v>22000</v>
      </c>
      <c r="Q12" s="70" t="s">
        <v>49</v>
      </c>
      <c r="R12" s="22">
        <v>0</v>
      </c>
      <c r="S12" s="22"/>
      <c r="T12" s="22">
        <v>2</v>
      </c>
    </row>
    <row r="13" spans="1:20">
      <c r="A13">
        <v>25</v>
      </c>
      <c r="B13" s="21">
        <v>227</v>
      </c>
      <c r="C13" s="22">
        <v>3295</v>
      </c>
      <c r="D13" s="22" t="s">
        <v>254</v>
      </c>
      <c r="E13" s="23" t="s">
        <v>34</v>
      </c>
      <c r="F13" s="24">
        <v>19900327</v>
      </c>
      <c r="G13" s="16">
        <f t="shared" si="0"/>
        <v>32959</v>
      </c>
      <c r="H13" s="2">
        <f t="shared" si="1"/>
        <v>31</v>
      </c>
      <c r="I13" s="17"/>
      <c r="J13" s="25">
        <v>20080321</v>
      </c>
      <c r="K13" s="16">
        <f t="shared" si="2"/>
        <v>39528</v>
      </c>
      <c r="L13" s="2">
        <f t="shared" si="3"/>
        <v>13</v>
      </c>
      <c r="M13" s="25"/>
      <c r="N13" s="19"/>
      <c r="O13" s="27" t="s">
        <v>35</v>
      </c>
      <c r="P13" s="70">
        <v>90000</v>
      </c>
      <c r="Q13" s="70" t="s">
        <v>218</v>
      </c>
      <c r="R13" s="22">
        <v>0</v>
      </c>
      <c r="S13" s="22"/>
      <c r="T13" s="22">
        <v>2</v>
      </c>
    </row>
    <row r="14" spans="1:20">
      <c r="A14">
        <v>9</v>
      </c>
      <c r="B14" s="21">
        <v>270</v>
      </c>
      <c r="C14" s="22">
        <v>3374</v>
      </c>
      <c r="D14" s="22" t="s">
        <v>238</v>
      </c>
      <c r="E14" s="23" t="s">
        <v>34</v>
      </c>
      <c r="F14" s="24">
        <v>19930406</v>
      </c>
      <c r="G14" s="16">
        <f t="shared" si="0"/>
        <v>34065</v>
      </c>
      <c r="H14" s="2">
        <f t="shared" si="1"/>
        <v>28</v>
      </c>
      <c r="I14" s="17"/>
      <c r="J14" s="25">
        <v>20120321</v>
      </c>
      <c r="K14" s="16">
        <f t="shared" si="2"/>
        <v>40989</v>
      </c>
      <c r="L14" s="2">
        <f t="shared" si="3"/>
        <v>9</v>
      </c>
      <c r="M14" s="25"/>
      <c r="N14" s="26"/>
      <c r="O14" s="27" t="s">
        <v>35</v>
      </c>
      <c r="P14" s="70">
        <v>50000</v>
      </c>
      <c r="Q14" s="70" t="s">
        <v>120</v>
      </c>
      <c r="R14" s="22">
        <v>0</v>
      </c>
      <c r="S14" s="22"/>
      <c r="T14" s="22">
        <v>2</v>
      </c>
    </row>
    <row r="15" spans="1:20">
      <c r="A15">
        <v>10</v>
      </c>
      <c r="B15" s="21">
        <v>348</v>
      </c>
      <c r="C15" s="22">
        <v>3496</v>
      </c>
      <c r="D15" s="22" t="s">
        <v>239</v>
      </c>
      <c r="E15" s="23" t="s">
        <v>34</v>
      </c>
      <c r="F15" s="24">
        <v>19990512</v>
      </c>
      <c r="G15" s="16">
        <f t="shared" si="0"/>
        <v>36292</v>
      </c>
      <c r="H15" s="2">
        <f t="shared" si="1"/>
        <v>22</v>
      </c>
      <c r="I15" s="17"/>
      <c r="J15" s="25">
        <v>20180402</v>
      </c>
      <c r="K15" s="16">
        <f t="shared" si="2"/>
        <v>43192</v>
      </c>
      <c r="L15" s="2">
        <f t="shared" si="3"/>
        <v>3</v>
      </c>
      <c r="M15" s="25"/>
      <c r="N15" s="26"/>
      <c r="O15" s="27">
        <v>6</v>
      </c>
      <c r="P15" s="70">
        <v>50000</v>
      </c>
      <c r="Q15" s="70" t="s">
        <v>120</v>
      </c>
      <c r="R15" s="22">
        <v>0</v>
      </c>
      <c r="S15" s="22"/>
      <c r="T15" s="22">
        <v>2</v>
      </c>
    </row>
    <row r="16" spans="1:20">
      <c r="A16">
        <v>12</v>
      </c>
      <c r="B16" s="21">
        <v>44</v>
      </c>
      <c r="C16" s="22">
        <v>1388</v>
      </c>
      <c r="D16" s="22" t="s">
        <v>241</v>
      </c>
      <c r="E16" s="23" t="s">
        <v>34</v>
      </c>
      <c r="F16" s="24">
        <v>19780106</v>
      </c>
      <c r="G16" s="16">
        <f t="shared" si="0"/>
        <v>28496</v>
      </c>
      <c r="H16" s="2">
        <f t="shared" si="1"/>
        <v>43</v>
      </c>
      <c r="I16" s="17"/>
      <c r="J16" s="25">
        <v>20140908</v>
      </c>
      <c r="K16" s="16">
        <f t="shared" si="2"/>
        <v>41890</v>
      </c>
      <c r="L16" s="2">
        <f t="shared" si="3"/>
        <v>6</v>
      </c>
      <c r="M16" s="25"/>
      <c r="N16" s="26"/>
      <c r="O16" s="27" t="s">
        <v>35</v>
      </c>
      <c r="P16" s="70">
        <v>60200</v>
      </c>
      <c r="Q16" s="70" t="s">
        <v>134</v>
      </c>
      <c r="R16" s="22">
        <v>0</v>
      </c>
      <c r="S16" s="22"/>
      <c r="T16" s="22">
        <v>2</v>
      </c>
    </row>
    <row r="17" spans="1:20">
      <c r="A17">
        <v>18</v>
      </c>
      <c r="B17" s="21">
        <v>274</v>
      </c>
      <c r="C17" s="22">
        <v>3383</v>
      </c>
      <c r="D17" s="22" t="s">
        <v>247</v>
      </c>
      <c r="E17" s="23" t="s">
        <v>34</v>
      </c>
      <c r="F17" s="24">
        <v>19931205</v>
      </c>
      <c r="G17" s="16">
        <f t="shared" si="0"/>
        <v>34308</v>
      </c>
      <c r="H17" s="2">
        <f t="shared" si="1"/>
        <v>27</v>
      </c>
      <c r="I17" s="17"/>
      <c r="J17" s="25">
        <v>20120321</v>
      </c>
      <c r="K17" s="16">
        <f t="shared" si="2"/>
        <v>40989</v>
      </c>
      <c r="L17" s="2">
        <f t="shared" si="3"/>
        <v>9</v>
      </c>
      <c r="M17" s="25"/>
      <c r="N17" s="26"/>
      <c r="O17" s="27" t="s">
        <v>35</v>
      </c>
      <c r="P17" s="70">
        <v>63000</v>
      </c>
      <c r="Q17" s="70" t="s">
        <v>165</v>
      </c>
      <c r="R17" s="22">
        <v>0</v>
      </c>
      <c r="S17" s="22"/>
      <c r="T17" s="22">
        <v>2</v>
      </c>
    </row>
    <row r="18" spans="1:20">
      <c r="A18">
        <v>1</v>
      </c>
      <c r="B18" s="21">
        <v>19</v>
      </c>
      <c r="C18" s="22">
        <v>1343</v>
      </c>
      <c r="D18" s="22" t="s">
        <v>230</v>
      </c>
      <c r="E18" s="23" t="s">
        <v>34</v>
      </c>
      <c r="F18" s="24">
        <v>19660702</v>
      </c>
      <c r="G18" s="16">
        <f t="shared" si="0"/>
        <v>24290</v>
      </c>
      <c r="H18" s="2">
        <f t="shared" si="1"/>
        <v>55</v>
      </c>
      <c r="I18" s="17"/>
      <c r="J18" s="25">
        <v>19990818</v>
      </c>
      <c r="K18" s="16">
        <f t="shared" si="2"/>
        <v>36390</v>
      </c>
      <c r="L18" s="2">
        <f t="shared" si="3"/>
        <v>22</v>
      </c>
      <c r="M18" s="25"/>
      <c r="N18" s="26"/>
      <c r="O18" s="27" t="s">
        <v>19</v>
      </c>
      <c r="P18" s="70">
        <v>20000</v>
      </c>
      <c r="Q18" s="70" t="s">
        <v>45</v>
      </c>
      <c r="R18" s="22">
        <v>0</v>
      </c>
      <c r="S18" s="22"/>
      <c r="T18" s="22">
        <v>1</v>
      </c>
    </row>
    <row r="19" spans="1:20">
      <c r="A19">
        <v>13</v>
      </c>
      <c r="B19" s="37">
        <v>119</v>
      </c>
      <c r="C19" s="37">
        <v>2955</v>
      </c>
      <c r="D19" s="37" t="s">
        <v>242</v>
      </c>
      <c r="E19" s="50" t="s">
        <v>34</v>
      </c>
      <c r="F19" s="19">
        <v>19740816</v>
      </c>
      <c r="G19" s="16">
        <f t="shared" si="0"/>
        <v>27257</v>
      </c>
      <c r="H19" s="2">
        <f t="shared" si="1"/>
        <v>47</v>
      </c>
      <c r="I19" s="17"/>
      <c r="J19" s="19">
        <v>19930322</v>
      </c>
      <c r="K19" s="16">
        <f t="shared" si="2"/>
        <v>34050</v>
      </c>
      <c r="L19" s="2">
        <f t="shared" si="3"/>
        <v>28</v>
      </c>
      <c r="M19" s="19"/>
      <c r="N19" s="19"/>
      <c r="O19" s="40" t="s">
        <v>35</v>
      </c>
      <c r="P19" s="70">
        <v>61000</v>
      </c>
      <c r="Q19" s="70" t="s">
        <v>147</v>
      </c>
      <c r="R19" s="37">
        <v>0</v>
      </c>
      <c r="S19" s="37"/>
      <c r="T19" s="37">
        <v>2</v>
      </c>
    </row>
    <row r="20" spans="1:20">
      <c r="A20">
        <v>23</v>
      </c>
      <c r="B20" s="21">
        <v>219</v>
      </c>
      <c r="C20" s="22">
        <v>3268</v>
      </c>
      <c r="D20" s="22" t="s">
        <v>252</v>
      </c>
      <c r="E20" s="23" t="s">
        <v>34</v>
      </c>
      <c r="F20" s="24">
        <v>19880517</v>
      </c>
      <c r="G20" s="16">
        <f t="shared" si="0"/>
        <v>32280</v>
      </c>
      <c r="H20" s="2">
        <f t="shared" si="1"/>
        <v>33</v>
      </c>
      <c r="I20" s="17"/>
      <c r="J20" s="25">
        <v>20070321</v>
      </c>
      <c r="K20" s="16">
        <f t="shared" si="2"/>
        <v>39162</v>
      </c>
      <c r="L20" s="2">
        <f t="shared" si="3"/>
        <v>14</v>
      </c>
      <c r="M20" s="25"/>
      <c r="N20" s="26"/>
      <c r="O20" s="27" t="s">
        <v>35</v>
      </c>
      <c r="P20" s="72">
        <v>60100</v>
      </c>
      <c r="Q20" s="72" t="s">
        <v>639</v>
      </c>
      <c r="R20" s="22">
        <v>0</v>
      </c>
      <c r="S20" s="22"/>
      <c r="T20" s="22">
        <v>2</v>
      </c>
    </row>
    <row r="21" spans="1:20">
      <c r="A21">
        <v>7</v>
      </c>
      <c r="B21" s="21">
        <v>43</v>
      </c>
      <c r="C21" s="22">
        <v>1387</v>
      </c>
      <c r="D21" s="22" t="s">
        <v>236</v>
      </c>
      <c r="E21" s="23" t="s">
        <v>34</v>
      </c>
      <c r="F21" s="24">
        <v>19851216</v>
      </c>
      <c r="G21" s="16">
        <f t="shared" si="0"/>
        <v>31397</v>
      </c>
      <c r="H21" s="2">
        <f t="shared" si="1"/>
        <v>35</v>
      </c>
      <c r="I21" s="17"/>
      <c r="J21" s="25">
        <v>20140506</v>
      </c>
      <c r="K21" s="16">
        <f t="shared" si="2"/>
        <v>41765</v>
      </c>
      <c r="L21" s="2">
        <f t="shared" si="3"/>
        <v>7</v>
      </c>
      <c r="M21" s="19"/>
      <c r="N21" s="26"/>
      <c r="O21" s="27" t="s">
        <v>35</v>
      </c>
      <c r="P21" s="72">
        <v>44200</v>
      </c>
      <c r="Q21" s="72" t="s">
        <v>114</v>
      </c>
      <c r="R21" s="22">
        <v>0</v>
      </c>
      <c r="S21" s="22"/>
      <c r="T21" s="22">
        <v>2</v>
      </c>
    </row>
    <row r="22" spans="1:20">
      <c r="A22">
        <v>24</v>
      </c>
      <c r="B22" s="21">
        <v>228</v>
      </c>
      <c r="C22" s="22">
        <v>3296</v>
      </c>
      <c r="D22" s="22" t="s">
        <v>253</v>
      </c>
      <c r="E22" s="23" t="s">
        <v>34</v>
      </c>
      <c r="F22" s="24">
        <v>19891227</v>
      </c>
      <c r="G22" s="16">
        <f t="shared" si="0"/>
        <v>32869</v>
      </c>
      <c r="H22" s="2">
        <f t="shared" si="1"/>
        <v>31</v>
      </c>
      <c r="I22" s="17"/>
      <c r="J22" s="25">
        <v>20080321</v>
      </c>
      <c r="K22" s="16">
        <f t="shared" si="2"/>
        <v>39528</v>
      </c>
      <c r="L22" s="2">
        <f t="shared" si="3"/>
        <v>13</v>
      </c>
      <c r="M22" s="25"/>
      <c r="N22" s="26"/>
      <c r="O22" s="27" t="s">
        <v>35</v>
      </c>
      <c r="P22" s="72">
        <v>21000</v>
      </c>
      <c r="Q22" s="72" t="s">
        <v>638</v>
      </c>
      <c r="R22" s="22">
        <v>0</v>
      </c>
      <c r="S22" s="22"/>
      <c r="T22" s="22">
        <v>2</v>
      </c>
    </row>
    <row r="23" spans="1:20">
      <c r="A23">
        <v>17</v>
      </c>
      <c r="B23" s="21">
        <v>328</v>
      </c>
      <c r="C23" s="22">
        <v>3470</v>
      </c>
      <c r="D23" s="22" t="s">
        <v>529</v>
      </c>
      <c r="E23" s="23" t="s">
        <v>34</v>
      </c>
      <c r="F23" s="24">
        <v>19980223</v>
      </c>
      <c r="G23" s="16">
        <f t="shared" si="0"/>
        <v>35849</v>
      </c>
      <c r="H23" s="2">
        <f t="shared" si="1"/>
        <v>23</v>
      </c>
      <c r="I23" s="17"/>
      <c r="J23" s="25">
        <v>20160401</v>
      </c>
      <c r="K23" s="16">
        <f t="shared" si="2"/>
        <v>42461</v>
      </c>
      <c r="L23" s="2">
        <f t="shared" si="3"/>
        <v>5</v>
      </c>
      <c r="M23" s="25"/>
      <c r="N23" s="26"/>
      <c r="O23" s="27" t="s">
        <v>35</v>
      </c>
      <c r="P23" s="72">
        <v>69211</v>
      </c>
      <c r="Q23" s="72" t="s">
        <v>508</v>
      </c>
      <c r="R23" s="22">
        <v>1</v>
      </c>
      <c r="S23" s="22" t="s">
        <v>679</v>
      </c>
      <c r="T23" s="22">
        <v>2</v>
      </c>
    </row>
    <row r="24" spans="1:20">
      <c r="A24">
        <v>5</v>
      </c>
      <c r="B24" s="21">
        <v>331</v>
      </c>
      <c r="C24" s="22">
        <v>3475</v>
      </c>
      <c r="D24" s="22" t="s">
        <v>234</v>
      </c>
      <c r="E24" s="23" t="s">
        <v>34</v>
      </c>
      <c r="F24" s="24">
        <v>19981006</v>
      </c>
      <c r="G24" s="16">
        <f t="shared" si="0"/>
        <v>36074</v>
      </c>
      <c r="H24" s="2">
        <f t="shared" si="1"/>
        <v>22</v>
      </c>
      <c r="I24" s="17"/>
      <c r="J24" s="25">
        <v>20170403</v>
      </c>
      <c r="K24" s="16">
        <f t="shared" si="2"/>
        <v>42828</v>
      </c>
      <c r="L24" s="2">
        <f t="shared" si="3"/>
        <v>4</v>
      </c>
      <c r="M24" s="25"/>
      <c r="N24" s="26"/>
      <c r="O24" s="27">
        <v>6</v>
      </c>
      <c r="P24" s="70">
        <v>31000</v>
      </c>
      <c r="Q24" s="70" t="s">
        <v>72</v>
      </c>
      <c r="R24" s="22">
        <v>0</v>
      </c>
      <c r="S24" s="22"/>
      <c r="T24" s="22">
        <v>2</v>
      </c>
    </row>
    <row r="25" spans="1:20">
      <c r="A25">
        <v>13</v>
      </c>
      <c r="B25" s="21">
        <v>277</v>
      </c>
      <c r="C25" s="22">
        <v>3386</v>
      </c>
      <c r="D25" s="22" t="s">
        <v>525</v>
      </c>
      <c r="E25" s="23" t="s">
        <v>34</v>
      </c>
      <c r="F25" s="24">
        <v>19940104</v>
      </c>
      <c r="G25" s="16">
        <f t="shared" si="0"/>
        <v>34338</v>
      </c>
      <c r="H25" s="2">
        <f t="shared" si="1"/>
        <v>27</v>
      </c>
      <c r="I25" s="17"/>
      <c r="J25" s="25">
        <v>20120321</v>
      </c>
      <c r="K25" s="16">
        <f t="shared" si="2"/>
        <v>40989</v>
      </c>
      <c r="L25" s="2">
        <f t="shared" si="3"/>
        <v>9</v>
      </c>
      <c r="M25" s="25"/>
      <c r="N25" s="26"/>
      <c r="O25" s="27" t="s">
        <v>35</v>
      </c>
      <c r="P25" s="70">
        <v>66011</v>
      </c>
      <c r="Q25" s="70" t="s">
        <v>449</v>
      </c>
      <c r="R25" s="22">
        <v>1</v>
      </c>
      <c r="S25" s="22" t="s">
        <v>679</v>
      </c>
      <c r="T25" s="22">
        <v>2</v>
      </c>
    </row>
    <row r="26" spans="1:20">
      <c r="A26">
        <v>12</v>
      </c>
      <c r="B26" s="21">
        <v>21</v>
      </c>
      <c r="C26" s="22">
        <v>1346</v>
      </c>
      <c r="D26" s="22" t="s">
        <v>524</v>
      </c>
      <c r="E26" s="23" t="s">
        <v>34</v>
      </c>
      <c r="F26" s="24">
        <v>19890318</v>
      </c>
      <c r="G26" s="16">
        <f t="shared" si="0"/>
        <v>32585</v>
      </c>
      <c r="H26" s="2">
        <f t="shared" si="1"/>
        <v>32</v>
      </c>
      <c r="I26" s="17"/>
      <c r="J26" s="25">
        <v>20080321</v>
      </c>
      <c r="K26" s="16">
        <f t="shared" si="2"/>
        <v>39528</v>
      </c>
      <c r="L26" s="2">
        <f t="shared" si="3"/>
        <v>13</v>
      </c>
      <c r="M26" s="25"/>
      <c r="N26" s="26"/>
      <c r="O26" s="27" t="s">
        <v>35</v>
      </c>
      <c r="P26" s="70">
        <v>66011</v>
      </c>
      <c r="Q26" s="70" t="s">
        <v>449</v>
      </c>
      <c r="R26" s="22">
        <v>1</v>
      </c>
      <c r="S26" s="22" t="s">
        <v>679</v>
      </c>
      <c r="T26" s="22">
        <v>2</v>
      </c>
    </row>
    <row r="27" spans="1:20">
      <c r="A27">
        <v>19</v>
      </c>
      <c r="B27" s="21">
        <v>129</v>
      </c>
      <c r="C27" s="22">
        <v>2990</v>
      </c>
      <c r="D27" s="22" t="s">
        <v>248</v>
      </c>
      <c r="E27" s="23" t="s">
        <v>34</v>
      </c>
      <c r="F27" s="24">
        <v>19730517</v>
      </c>
      <c r="G27" s="16">
        <f t="shared" si="0"/>
        <v>26801</v>
      </c>
      <c r="H27" s="2">
        <f t="shared" si="1"/>
        <v>48</v>
      </c>
      <c r="I27" s="17"/>
      <c r="J27" s="25">
        <v>19940322</v>
      </c>
      <c r="K27" s="16">
        <f t="shared" si="2"/>
        <v>34415</v>
      </c>
      <c r="L27" s="2">
        <f t="shared" si="3"/>
        <v>27</v>
      </c>
      <c r="M27" s="25"/>
      <c r="N27" s="26"/>
      <c r="O27" s="27" t="s">
        <v>19</v>
      </c>
      <c r="P27" s="70">
        <v>80000</v>
      </c>
      <c r="Q27" s="70" t="s">
        <v>172</v>
      </c>
      <c r="R27" s="22">
        <v>0</v>
      </c>
      <c r="S27" s="22"/>
      <c r="T27" s="22">
        <v>2</v>
      </c>
    </row>
    <row r="28" spans="1:20">
      <c r="A28">
        <v>21</v>
      </c>
      <c r="B28" s="21">
        <v>257</v>
      </c>
      <c r="C28" s="22">
        <v>3354</v>
      </c>
      <c r="D28" s="22" t="s">
        <v>250</v>
      </c>
      <c r="E28" s="23" t="s">
        <v>34</v>
      </c>
      <c r="F28" s="24">
        <v>19930128</v>
      </c>
      <c r="G28" s="16">
        <f t="shared" si="0"/>
        <v>33997</v>
      </c>
      <c r="H28" s="2">
        <f t="shared" si="1"/>
        <v>28</v>
      </c>
      <c r="I28" s="17"/>
      <c r="J28" s="25">
        <v>20110321</v>
      </c>
      <c r="K28" s="16">
        <f t="shared" si="2"/>
        <v>40623</v>
      </c>
      <c r="L28" s="2">
        <f t="shared" si="3"/>
        <v>10</v>
      </c>
      <c r="M28" s="25"/>
      <c r="N28" s="26"/>
      <c r="O28" s="27" t="s">
        <v>35</v>
      </c>
      <c r="P28" s="70">
        <v>80000</v>
      </c>
      <c r="Q28" s="70" t="s">
        <v>172</v>
      </c>
      <c r="R28" s="22">
        <v>0</v>
      </c>
      <c r="S28" s="22"/>
      <c r="T28" s="22">
        <v>2</v>
      </c>
    </row>
    <row r="29" spans="1:20">
      <c r="A29">
        <v>3</v>
      </c>
      <c r="B29" s="21">
        <v>162</v>
      </c>
      <c r="C29" s="22">
        <v>3117</v>
      </c>
      <c r="D29" s="22" t="s">
        <v>515</v>
      </c>
      <c r="E29" s="23" t="s">
        <v>34</v>
      </c>
      <c r="F29" s="24">
        <v>19780329</v>
      </c>
      <c r="G29" s="16">
        <f t="shared" si="0"/>
        <v>28578</v>
      </c>
      <c r="H29" s="2">
        <f t="shared" si="1"/>
        <v>43</v>
      </c>
      <c r="I29" s="17"/>
      <c r="J29" s="25">
        <v>19960321</v>
      </c>
      <c r="K29" s="16">
        <f t="shared" si="2"/>
        <v>35145</v>
      </c>
      <c r="L29" s="2">
        <f t="shared" si="3"/>
        <v>25</v>
      </c>
      <c r="M29" s="25"/>
      <c r="N29" s="26"/>
      <c r="O29" s="27" t="s">
        <v>35</v>
      </c>
      <c r="P29" s="70">
        <v>43211</v>
      </c>
      <c r="Q29" s="70" t="s">
        <v>364</v>
      </c>
      <c r="R29" s="22">
        <v>1</v>
      </c>
      <c r="S29" s="22" t="s">
        <v>679</v>
      </c>
      <c r="T29" s="22">
        <v>2</v>
      </c>
    </row>
    <row r="30" spans="1:20">
      <c r="A30">
        <v>11</v>
      </c>
      <c r="B30" s="21">
        <v>319</v>
      </c>
      <c r="C30" s="22">
        <v>3455</v>
      </c>
      <c r="D30" s="22" t="s">
        <v>240</v>
      </c>
      <c r="E30" s="23" t="s">
        <v>34</v>
      </c>
      <c r="F30" s="24">
        <v>19940120</v>
      </c>
      <c r="G30" s="16">
        <f t="shared" si="0"/>
        <v>34354</v>
      </c>
      <c r="H30" s="2">
        <f t="shared" si="1"/>
        <v>27</v>
      </c>
      <c r="I30" s="17"/>
      <c r="J30" s="25">
        <v>20160401</v>
      </c>
      <c r="K30" s="16">
        <f t="shared" si="2"/>
        <v>42461</v>
      </c>
      <c r="L30" s="2">
        <f t="shared" si="3"/>
        <v>5</v>
      </c>
      <c r="M30" s="25"/>
      <c r="N30" s="26"/>
      <c r="O30" s="27" t="s">
        <v>16</v>
      </c>
      <c r="P30" s="70">
        <v>60000</v>
      </c>
      <c r="Q30" s="70" t="s">
        <v>131</v>
      </c>
      <c r="R30" s="22">
        <v>0</v>
      </c>
      <c r="S30" s="22"/>
      <c r="T30" s="22">
        <v>2</v>
      </c>
    </row>
    <row r="31" spans="1:20">
      <c r="A31">
        <v>8</v>
      </c>
      <c r="B31" s="21">
        <v>336</v>
      </c>
      <c r="C31" s="22">
        <v>3481</v>
      </c>
      <c r="D31" s="22" t="s">
        <v>520</v>
      </c>
      <c r="E31" s="23" t="s">
        <v>34</v>
      </c>
      <c r="F31" s="24">
        <v>19990103</v>
      </c>
      <c r="G31" s="16">
        <f t="shared" si="0"/>
        <v>36163</v>
      </c>
      <c r="H31" s="2">
        <f t="shared" si="1"/>
        <v>22</v>
      </c>
      <c r="I31" s="17"/>
      <c r="J31" s="25">
        <v>20170403</v>
      </c>
      <c r="K31" s="16">
        <f t="shared" si="2"/>
        <v>42828</v>
      </c>
      <c r="L31" s="2">
        <f t="shared" si="3"/>
        <v>4</v>
      </c>
      <c r="M31" s="25"/>
      <c r="N31" s="26"/>
      <c r="O31" s="27">
        <v>6</v>
      </c>
      <c r="P31" s="72">
        <v>43211</v>
      </c>
      <c r="Q31" s="72" t="s">
        <v>364</v>
      </c>
      <c r="R31" s="22">
        <v>1</v>
      </c>
      <c r="S31" s="22" t="s">
        <v>679</v>
      </c>
      <c r="T31" s="22">
        <v>2</v>
      </c>
    </row>
    <row r="32" spans="1:20">
      <c r="A32">
        <v>16</v>
      </c>
      <c r="B32" s="21">
        <v>276</v>
      </c>
      <c r="C32" s="22">
        <v>3385</v>
      </c>
      <c r="D32" s="22" t="s">
        <v>528</v>
      </c>
      <c r="E32" s="23" t="s">
        <v>34</v>
      </c>
      <c r="F32" s="24">
        <v>19930929</v>
      </c>
      <c r="G32" s="16">
        <f t="shared" si="0"/>
        <v>34241</v>
      </c>
      <c r="H32" s="2">
        <f t="shared" si="1"/>
        <v>27</v>
      </c>
      <c r="I32" s="17"/>
      <c r="J32" s="25">
        <v>20120321</v>
      </c>
      <c r="K32" s="16">
        <f t="shared" si="2"/>
        <v>40989</v>
      </c>
      <c r="L32" s="2">
        <f t="shared" si="3"/>
        <v>9</v>
      </c>
      <c r="M32" s="19"/>
      <c r="N32" s="26"/>
      <c r="O32" s="27" t="s">
        <v>35</v>
      </c>
      <c r="P32" s="72">
        <v>69011</v>
      </c>
      <c r="Q32" s="72" t="s">
        <v>489</v>
      </c>
      <c r="R32" s="22">
        <v>1</v>
      </c>
      <c r="S32" s="22" t="s">
        <v>679</v>
      </c>
      <c r="T32" s="22">
        <v>2</v>
      </c>
    </row>
    <row r="33" spans="1:20">
      <c r="A33">
        <v>3</v>
      </c>
      <c r="B33" s="21">
        <v>150</v>
      </c>
      <c r="C33" s="22">
        <v>3062</v>
      </c>
      <c r="D33" s="22" t="s">
        <v>37</v>
      </c>
      <c r="E33" s="23" t="s">
        <v>34</v>
      </c>
      <c r="F33" s="24">
        <v>19750302</v>
      </c>
      <c r="G33" s="16">
        <f t="shared" si="0"/>
        <v>27455</v>
      </c>
      <c r="H33" s="2">
        <f t="shared" si="1"/>
        <v>46</v>
      </c>
      <c r="I33" s="17"/>
      <c r="J33" s="25">
        <v>19950322</v>
      </c>
      <c r="K33" s="16">
        <f t="shared" si="2"/>
        <v>34780</v>
      </c>
      <c r="L33" s="2">
        <f t="shared" si="3"/>
        <v>26</v>
      </c>
      <c r="M33" s="25"/>
      <c r="N33" s="26"/>
      <c r="O33" s="27" t="s">
        <v>19</v>
      </c>
      <c r="P33" s="72">
        <v>3000</v>
      </c>
      <c r="Q33" s="72" t="s">
        <v>24</v>
      </c>
      <c r="R33" s="22">
        <v>0</v>
      </c>
      <c r="S33" s="22"/>
      <c r="T33" s="22">
        <v>2</v>
      </c>
    </row>
    <row r="34" spans="1:20">
      <c r="A34">
        <v>22</v>
      </c>
      <c r="B34" s="21">
        <v>151</v>
      </c>
      <c r="C34" s="22">
        <v>3067</v>
      </c>
      <c r="D34" s="22" t="s">
        <v>251</v>
      </c>
      <c r="E34" s="23" t="s">
        <v>34</v>
      </c>
      <c r="F34" s="24">
        <v>19740821</v>
      </c>
      <c r="G34" s="16">
        <f t="shared" si="0"/>
        <v>27262</v>
      </c>
      <c r="H34" s="2">
        <f t="shared" si="1"/>
        <v>47</v>
      </c>
      <c r="I34" s="17"/>
      <c r="J34" s="25">
        <v>19950322</v>
      </c>
      <c r="K34" s="16">
        <f t="shared" si="2"/>
        <v>34780</v>
      </c>
      <c r="L34" s="2">
        <f t="shared" si="3"/>
        <v>26</v>
      </c>
      <c r="M34" s="25"/>
      <c r="N34" s="26"/>
      <c r="O34" s="27" t="s">
        <v>19</v>
      </c>
      <c r="P34" s="72">
        <v>60000</v>
      </c>
      <c r="Q34" s="72" t="s">
        <v>131</v>
      </c>
      <c r="R34" s="22">
        <v>0</v>
      </c>
      <c r="S34" s="22"/>
      <c r="T34" s="22">
        <v>2</v>
      </c>
    </row>
    <row r="35" spans="1:20">
      <c r="A35">
        <v>17</v>
      </c>
      <c r="B35" s="21">
        <v>413</v>
      </c>
      <c r="C35" s="22">
        <v>3950</v>
      </c>
      <c r="D35" s="22" t="s">
        <v>246</v>
      </c>
      <c r="E35" s="23" t="s">
        <v>34</v>
      </c>
      <c r="F35" s="24">
        <v>19690713</v>
      </c>
      <c r="G35" s="16">
        <f t="shared" si="0"/>
        <v>25397</v>
      </c>
      <c r="H35" s="2">
        <f t="shared" si="1"/>
        <v>52</v>
      </c>
      <c r="I35" s="17"/>
      <c r="J35" s="25">
        <v>20060221</v>
      </c>
      <c r="K35" s="16">
        <f t="shared" si="2"/>
        <v>38769</v>
      </c>
      <c r="L35" s="2">
        <f t="shared" si="3"/>
        <v>15</v>
      </c>
      <c r="M35" s="25"/>
      <c r="N35" s="26"/>
      <c r="O35" s="27" t="s">
        <v>19</v>
      </c>
      <c r="P35" s="72">
        <v>63000</v>
      </c>
      <c r="Q35" s="72" t="s">
        <v>165</v>
      </c>
      <c r="R35" s="22">
        <v>0</v>
      </c>
      <c r="S35" s="22"/>
      <c r="T35" s="22">
        <v>2</v>
      </c>
    </row>
    <row r="36" spans="1:20">
      <c r="A36">
        <v>2</v>
      </c>
      <c r="B36" s="21">
        <v>94</v>
      </c>
      <c r="C36" s="22">
        <v>2785</v>
      </c>
      <c r="D36" s="22" t="s">
        <v>231</v>
      </c>
      <c r="E36" s="23" t="s">
        <v>34</v>
      </c>
      <c r="F36" s="24">
        <v>19671216</v>
      </c>
      <c r="G36" s="16">
        <f t="shared" si="0"/>
        <v>24822</v>
      </c>
      <c r="H36" s="2">
        <f t="shared" si="1"/>
        <v>53</v>
      </c>
      <c r="I36" s="17"/>
      <c r="J36" s="25">
        <v>19860324</v>
      </c>
      <c r="K36" s="16">
        <f t="shared" si="2"/>
        <v>31495</v>
      </c>
      <c r="L36" s="2">
        <f t="shared" si="3"/>
        <v>35</v>
      </c>
      <c r="M36" s="25"/>
      <c r="N36" s="26"/>
      <c r="O36" s="27" t="s">
        <v>35</v>
      </c>
      <c r="P36" s="70">
        <v>22000</v>
      </c>
      <c r="Q36" s="70" t="s">
        <v>49</v>
      </c>
      <c r="R36" s="22">
        <v>0</v>
      </c>
      <c r="S36" s="22"/>
      <c r="T36" s="22">
        <v>2</v>
      </c>
    </row>
    <row r="37" spans="1:20">
      <c r="A37">
        <v>16</v>
      </c>
      <c r="B37" s="21">
        <v>106</v>
      </c>
      <c r="C37" s="22">
        <v>2883</v>
      </c>
      <c r="D37" s="22" t="s">
        <v>245</v>
      </c>
      <c r="E37" s="23" t="s">
        <v>34</v>
      </c>
      <c r="F37" s="24">
        <v>19710512</v>
      </c>
      <c r="G37" s="16">
        <f t="shared" si="0"/>
        <v>26065</v>
      </c>
      <c r="H37" s="2">
        <f t="shared" si="1"/>
        <v>50</v>
      </c>
      <c r="I37" s="17"/>
      <c r="J37" s="25">
        <v>19900322</v>
      </c>
      <c r="K37" s="16">
        <f t="shared" si="2"/>
        <v>32954</v>
      </c>
      <c r="L37" s="2">
        <f t="shared" si="3"/>
        <v>31</v>
      </c>
      <c r="M37" s="25"/>
      <c r="N37" s="26"/>
      <c r="O37" s="27" t="s">
        <v>35</v>
      </c>
      <c r="P37" s="70">
        <v>63000</v>
      </c>
      <c r="Q37" s="70" t="s">
        <v>165</v>
      </c>
      <c r="R37" s="22">
        <v>0</v>
      </c>
      <c r="S37" s="22"/>
      <c r="T37" s="22">
        <v>2</v>
      </c>
    </row>
    <row r="38" spans="1:20">
      <c r="A38">
        <v>1</v>
      </c>
      <c r="B38" s="21">
        <v>356</v>
      </c>
      <c r="C38" s="22">
        <v>3505</v>
      </c>
      <c r="D38" s="22" t="s">
        <v>513</v>
      </c>
      <c r="E38" s="23" t="s">
        <v>34</v>
      </c>
      <c r="F38" s="24">
        <v>20000510</v>
      </c>
      <c r="G38" s="16">
        <f t="shared" si="0"/>
        <v>36656</v>
      </c>
      <c r="H38" s="2">
        <f t="shared" si="1"/>
        <v>21</v>
      </c>
      <c r="I38" s="17"/>
      <c r="J38" s="25">
        <v>20190401</v>
      </c>
      <c r="K38" s="16">
        <f t="shared" si="2"/>
        <v>43556</v>
      </c>
      <c r="L38" s="2">
        <f t="shared" si="3"/>
        <v>2</v>
      </c>
      <c r="M38" s="25"/>
      <c r="N38" s="26"/>
      <c r="O38" s="27">
        <v>6</v>
      </c>
      <c r="P38" s="70">
        <v>42411</v>
      </c>
      <c r="Q38" s="70" t="s">
        <v>339</v>
      </c>
      <c r="R38" s="22">
        <v>1</v>
      </c>
      <c r="S38" s="22" t="s">
        <v>679</v>
      </c>
      <c r="T38" s="22">
        <v>2</v>
      </c>
    </row>
    <row r="39" spans="1:20">
      <c r="A39">
        <v>15</v>
      </c>
      <c r="B39" s="21">
        <v>256</v>
      </c>
      <c r="C39" s="22">
        <v>3353</v>
      </c>
      <c r="D39" s="22" t="s">
        <v>527</v>
      </c>
      <c r="E39" s="23" t="s">
        <v>34</v>
      </c>
      <c r="F39" s="24">
        <v>19930317</v>
      </c>
      <c r="G39" s="16">
        <f t="shared" si="0"/>
        <v>34045</v>
      </c>
      <c r="H39" s="2">
        <f t="shared" si="1"/>
        <v>28</v>
      </c>
      <c r="I39" s="17"/>
      <c r="J39" s="25">
        <v>20110321</v>
      </c>
      <c r="K39" s="16">
        <f t="shared" si="2"/>
        <v>40623</v>
      </c>
      <c r="L39" s="2">
        <f t="shared" si="3"/>
        <v>10</v>
      </c>
      <c r="M39" s="25"/>
      <c r="N39" s="26"/>
      <c r="O39" s="27" t="s">
        <v>35</v>
      </c>
      <c r="P39" s="70">
        <v>68111</v>
      </c>
      <c r="Q39" s="70" t="s">
        <v>485</v>
      </c>
      <c r="R39" s="22">
        <v>1</v>
      </c>
      <c r="S39" s="22" t="s">
        <v>679</v>
      </c>
      <c r="T39" s="22">
        <v>2</v>
      </c>
    </row>
    <row r="40" spans="1:20">
      <c r="A40">
        <v>14</v>
      </c>
      <c r="B40" s="21">
        <v>311</v>
      </c>
      <c r="C40" s="22">
        <v>3446</v>
      </c>
      <c r="D40" s="22" t="s">
        <v>243</v>
      </c>
      <c r="E40" s="23" t="s">
        <v>34</v>
      </c>
      <c r="F40" s="24">
        <v>19970303</v>
      </c>
      <c r="G40" s="16">
        <f t="shared" si="0"/>
        <v>35492</v>
      </c>
      <c r="H40" s="2">
        <f t="shared" si="1"/>
        <v>24</v>
      </c>
      <c r="I40" s="17"/>
      <c r="J40" s="25">
        <v>20150401</v>
      </c>
      <c r="K40" s="16">
        <f t="shared" si="2"/>
        <v>42095</v>
      </c>
      <c r="L40" s="2">
        <f t="shared" si="3"/>
        <v>6</v>
      </c>
      <c r="M40" s="25"/>
      <c r="N40" s="26"/>
      <c r="O40" s="27" t="s">
        <v>35</v>
      </c>
      <c r="P40" s="70">
        <v>61200</v>
      </c>
      <c r="Q40" s="70" t="s">
        <v>158</v>
      </c>
      <c r="R40" s="22">
        <v>0</v>
      </c>
      <c r="S40" s="22"/>
      <c r="T40" s="22">
        <v>2</v>
      </c>
    </row>
    <row r="41" spans="1:20">
      <c r="A41">
        <v>26</v>
      </c>
      <c r="B41" s="21">
        <v>233</v>
      </c>
      <c r="C41" s="22">
        <v>3306</v>
      </c>
      <c r="D41" s="22" t="s">
        <v>255</v>
      </c>
      <c r="E41" s="23" t="s">
        <v>34</v>
      </c>
      <c r="F41" s="24">
        <v>19910207</v>
      </c>
      <c r="G41" s="16">
        <f t="shared" si="0"/>
        <v>33276</v>
      </c>
      <c r="H41" s="2">
        <f t="shared" si="1"/>
        <v>30</v>
      </c>
      <c r="I41" s="17"/>
      <c r="J41" s="25">
        <v>20090323</v>
      </c>
      <c r="K41" s="16">
        <f t="shared" si="2"/>
        <v>39895</v>
      </c>
      <c r="L41" s="2">
        <f t="shared" si="3"/>
        <v>12</v>
      </c>
      <c r="M41" s="25"/>
      <c r="N41" s="26"/>
      <c r="O41" s="27" t="s">
        <v>35</v>
      </c>
      <c r="P41" s="70">
        <v>90000</v>
      </c>
      <c r="Q41" s="70" t="s">
        <v>218</v>
      </c>
      <c r="R41" s="22">
        <v>0</v>
      </c>
      <c r="S41" s="22"/>
      <c r="T41" s="22">
        <v>2</v>
      </c>
    </row>
    <row r="42" spans="1:20">
      <c r="A42">
        <v>2</v>
      </c>
      <c r="B42" s="21">
        <v>130</v>
      </c>
      <c r="C42" s="22">
        <v>3002</v>
      </c>
      <c r="D42" s="22" t="s">
        <v>36</v>
      </c>
      <c r="E42" s="23" t="s">
        <v>34</v>
      </c>
      <c r="F42" s="24">
        <v>19760123</v>
      </c>
      <c r="G42" s="16">
        <f t="shared" si="0"/>
        <v>27782</v>
      </c>
      <c r="H42" s="2">
        <f t="shared" si="1"/>
        <v>45</v>
      </c>
      <c r="I42" s="17"/>
      <c r="J42" s="25">
        <v>19940322</v>
      </c>
      <c r="K42" s="16">
        <f t="shared" si="2"/>
        <v>34415</v>
      </c>
      <c r="L42" s="2">
        <f t="shared" si="3"/>
        <v>27</v>
      </c>
      <c r="M42" s="25"/>
      <c r="N42" s="26"/>
      <c r="O42" s="27" t="s">
        <v>35</v>
      </c>
      <c r="P42" s="70">
        <v>1100</v>
      </c>
      <c r="Q42" s="70" t="s">
        <v>13</v>
      </c>
      <c r="R42" s="22">
        <v>0</v>
      </c>
      <c r="S42" s="22"/>
      <c r="T42" s="22">
        <v>2</v>
      </c>
    </row>
    <row r="43" spans="1:20">
      <c r="A43">
        <v>4</v>
      </c>
      <c r="B43" s="21">
        <v>177</v>
      </c>
      <c r="C43" s="22">
        <v>3174</v>
      </c>
      <c r="D43" s="22" t="s">
        <v>233</v>
      </c>
      <c r="E43" s="23" t="s">
        <v>34</v>
      </c>
      <c r="F43" s="24">
        <v>19821203</v>
      </c>
      <c r="G43" s="16">
        <f t="shared" si="0"/>
        <v>30288</v>
      </c>
      <c r="H43" s="2">
        <f t="shared" si="1"/>
        <v>38</v>
      </c>
      <c r="I43" s="17"/>
      <c r="J43" s="25">
        <v>20010321</v>
      </c>
      <c r="K43" s="16">
        <f t="shared" si="2"/>
        <v>36971</v>
      </c>
      <c r="L43" s="2">
        <f t="shared" si="3"/>
        <v>20</v>
      </c>
      <c r="M43" s="25"/>
      <c r="N43" s="26"/>
      <c r="O43" s="27" t="s">
        <v>35</v>
      </c>
      <c r="P43" s="70">
        <v>30000</v>
      </c>
      <c r="Q43" s="70" t="s">
        <v>53</v>
      </c>
      <c r="R43" s="22">
        <v>0</v>
      </c>
      <c r="S43" s="22"/>
      <c r="T43" s="22">
        <v>2</v>
      </c>
    </row>
    <row r="44" spans="1:20">
      <c r="A44">
        <v>27</v>
      </c>
      <c r="B44" s="21">
        <v>275</v>
      </c>
      <c r="C44" s="22">
        <v>3384</v>
      </c>
      <c r="D44" s="22" t="s">
        <v>256</v>
      </c>
      <c r="E44" s="23" t="s">
        <v>34</v>
      </c>
      <c r="F44" s="24">
        <v>19930808</v>
      </c>
      <c r="G44" s="16">
        <f t="shared" si="0"/>
        <v>34189</v>
      </c>
      <c r="H44" s="2">
        <f t="shared" si="1"/>
        <v>28</v>
      </c>
      <c r="I44" s="17"/>
      <c r="J44" s="25">
        <v>20120321</v>
      </c>
      <c r="K44" s="16">
        <f t="shared" si="2"/>
        <v>40989</v>
      </c>
      <c r="L44" s="2">
        <f t="shared" si="3"/>
        <v>9</v>
      </c>
      <c r="M44" s="25"/>
      <c r="N44" s="26"/>
      <c r="O44" s="27" t="s">
        <v>35</v>
      </c>
      <c r="P44" s="70">
        <v>60100</v>
      </c>
      <c r="Q44" s="70" t="s">
        <v>639</v>
      </c>
      <c r="R44" s="22">
        <v>0</v>
      </c>
      <c r="S44" s="22"/>
      <c r="T44" s="22">
        <v>2</v>
      </c>
    </row>
    <row r="45" spans="1:20">
      <c r="A45">
        <v>10</v>
      </c>
      <c r="B45" s="21">
        <v>414</v>
      </c>
      <c r="C45" s="22">
        <v>3951</v>
      </c>
      <c r="D45" s="22" t="s">
        <v>522</v>
      </c>
      <c r="E45" s="23" t="s">
        <v>34</v>
      </c>
      <c r="F45" s="24">
        <v>19761220</v>
      </c>
      <c r="G45" s="16">
        <f t="shared" si="0"/>
        <v>28114</v>
      </c>
      <c r="H45" s="2">
        <f t="shared" si="1"/>
        <v>44</v>
      </c>
      <c r="I45" s="17"/>
      <c r="J45" s="25">
        <v>20060221</v>
      </c>
      <c r="K45" s="16">
        <f t="shared" si="2"/>
        <v>38769</v>
      </c>
      <c r="L45" s="2">
        <f t="shared" si="3"/>
        <v>15</v>
      </c>
      <c r="M45" s="25"/>
      <c r="N45" s="26"/>
      <c r="O45" s="27" t="s">
        <v>19</v>
      </c>
      <c r="P45" s="70">
        <v>64211</v>
      </c>
      <c r="Q45" s="70" t="s">
        <v>429</v>
      </c>
      <c r="R45" s="22">
        <v>1</v>
      </c>
      <c r="S45" s="22" t="s">
        <v>679</v>
      </c>
      <c r="T45" s="22">
        <v>1</v>
      </c>
    </row>
    <row r="46" spans="1:20">
      <c r="A46">
        <v>2</v>
      </c>
      <c r="B46" s="21">
        <v>394</v>
      </c>
      <c r="C46" s="22">
        <v>3890</v>
      </c>
      <c r="D46" s="22" t="s">
        <v>514</v>
      </c>
      <c r="E46" s="23" t="s">
        <v>34</v>
      </c>
      <c r="F46" s="24">
        <v>19740910</v>
      </c>
      <c r="G46" s="16">
        <f t="shared" si="0"/>
        <v>27282</v>
      </c>
      <c r="H46" s="2">
        <f t="shared" si="1"/>
        <v>46</v>
      </c>
      <c r="I46" s="17"/>
      <c r="J46" s="25">
        <v>19941021</v>
      </c>
      <c r="K46" s="16">
        <f t="shared" si="2"/>
        <v>34628</v>
      </c>
      <c r="L46" s="2">
        <f t="shared" si="3"/>
        <v>26</v>
      </c>
      <c r="M46" s="25"/>
      <c r="N46" s="26"/>
      <c r="O46" s="27" t="s">
        <v>35</v>
      </c>
      <c r="P46" s="70">
        <v>43211</v>
      </c>
      <c r="Q46" s="70" t="s">
        <v>364</v>
      </c>
      <c r="R46" s="22">
        <v>1</v>
      </c>
      <c r="S46" s="22" t="s">
        <v>679</v>
      </c>
      <c r="T46" s="22">
        <v>2</v>
      </c>
    </row>
    <row r="47" spans="1:20">
      <c r="A47">
        <v>15</v>
      </c>
      <c r="B47" s="21">
        <v>206</v>
      </c>
      <c r="C47" s="22">
        <v>3239</v>
      </c>
      <c r="D47" s="22" t="s">
        <v>244</v>
      </c>
      <c r="E47" s="23" t="s">
        <v>34</v>
      </c>
      <c r="F47" s="24">
        <v>19861224</v>
      </c>
      <c r="G47" s="16">
        <f t="shared" si="0"/>
        <v>31770</v>
      </c>
      <c r="H47" s="2">
        <f t="shared" si="1"/>
        <v>34</v>
      </c>
      <c r="I47" s="17"/>
      <c r="J47" s="25">
        <v>20050321</v>
      </c>
      <c r="K47" s="16">
        <f t="shared" si="2"/>
        <v>38432</v>
      </c>
      <c r="L47" s="2">
        <f t="shared" si="3"/>
        <v>16</v>
      </c>
      <c r="M47" s="25"/>
      <c r="N47" s="26"/>
      <c r="O47" s="27" t="s">
        <v>35</v>
      </c>
      <c r="P47" s="70">
        <v>61300</v>
      </c>
      <c r="Q47" s="70" t="s">
        <v>162</v>
      </c>
      <c r="R47" s="22">
        <v>0</v>
      </c>
      <c r="S47" s="22"/>
      <c r="T47" s="22">
        <v>2</v>
      </c>
    </row>
    <row r="48" spans="1:20">
      <c r="A48">
        <v>8</v>
      </c>
      <c r="B48" s="21">
        <v>347</v>
      </c>
      <c r="C48" s="22">
        <v>3495</v>
      </c>
      <c r="D48" s="22" t="s">
        <v>237</v>
      </c>
      <c r="E48" s="23" t="s">
        <v>34</v>
      </c>
      <c r="F48" s="24">
        <v>20000315</v>
      </c>
      <c r="G48" s="16">
        <f t="shared" si="0"/>
        <v>36600</v>
      </c>
      <c r="H48" s="2">
        <f t="shared" si="1"/>
        <v>21</v>
      </c>
      <c r="I48" s="17"/>
      <c r="J48" s="25">
        <v>20180402</v>
      </c>
      <c r="K48" s="16">
        <f t="shared" si="2"/>
        <v>43192</v>
      </c>
      <c r="L48" s="2">
        <f t="shared" si="3"/>
        <v>3</v>
      </c>
      <c r="M48" s="25"/>
      <c r="N48" s="26"/>
      <c r="O48" s="27">
        <v>6</v>
      </c>
      <c r="P48" s="70">
        <v>44200</v>
      </c>
      <c r="Q48" s="70" t="s">
        <v>114</v>
      </c>
      <c r="R48" s="22">
        <v>0</v>
      </c>
      <c r="S48" s="22"/>
      <c r="T48" s="22">
        <v>2</v>
      </c>
    </row>
    <row r="49" spans="1:20">
      <c r="A49">
        <v>5</v>
      </c>
      <c r="B49" s="21">
        <v>112</v>
      </c>
      <c r="C49" s="22">
        <v>2912</v>
      </c>
      <c r="D49" s="22" t="s">
        <v>39</v>
      </c>
      <c r="E49" s="23" t="s">
        <v>34</v>
      </c>
      <c r="F49" s="24">
        <v>19731124</v>
      </c>
      <c r="G49" s="16">
        <f t="shared" si="0"/>
        <v>26992</v>
      </c>
      <c r="H49" s="2">
        <f t="shared" si="1"/>
        <v>47</v>
      </c>
      <c r="I49" s="17"/>
      <c r="J49" s="25">
        <v>19920323</v>
      </c>
      <c r="K49" s="16">
        <f t="shared" si="2"/>
        <v>33686</v>
      </c>
      <c r="L49" s="2">
        <f t="shared" si="3"/>
        <v>29</v>
      </c>
      <c r="M49" s="25"/>
      <c r="N49" s="26"/>
      <c r="O49" s="27" t="s">
        <v>35</v>
      </c>
      <c r="P49" s="70">
        <v>10000</v>
      </c>
      <c r="Q49" s="70" t="s">
        <v>26</v>
      </c>
      <c r="R49" s="22">
        <v>0</v>
      </c>
      <c r="S49" s="22"/>
      <c r="T49" s="22">
        <v>2</v>
      </c>
    </row>
    <row r="50" spans="1:20">
      <c r="A50">
        <v>4</v>
      </c>
      <c r="B50" s="21">
        <v>280</v>
      </c>
      <c r="C50" s="22">
        <v>3392</v>
      </c>
      <c r="D50" s="22" t="s">
        <v>38</v>
      </c>
      <c r="E50" s="23" t="s">
        <v>34</v>
      </c>
      <c r="F50" s="24">
        <v>19910308</v>
      </c>
      <c r="G50" s="16">
        <f t="shared" si="0"/>
        <v>33305</v>
      </c>
      <c r="H50" s="2">
        <f t="shared" si="1"/>
        <v>30</v>
      </c>
      <c r="I50" s="17"/>
      <c r="J50" s="25">
        <v>20130321</v>
      </c>
      <c r="K50" s="16">
        <f t="shared" si="2"/>
        <v>41354</v>
      </c>
      <c r="L50" s="2">
        <f t="shared" si="3"/>
        <v>8</v>
      </c>
      <c r="M50" s="25"/>
      <c r="N50" s="26"/>
      <c r="O50" s="27" t="s">
        <v>16</v>
      </c>
      <c r="P50" s="70">
        <v>3000</v>
      </c>
      <c r="Q50" s="70" t="s">
        <v>24</v>
      </c>
      <c r="R50" s="22">
        <v>0</v>
      </c>
      <c r="S50" s="22"/>
      <c r="T50" s="22">
        <v>2</v>
      </c>
    </row>
    <row r="51" spans="1:20">
      <c r="A51">
        <v>1</v>
      </c>
      <c r="B51" s="21">
        <v>271</v>
      </c>
      <c r="C51" s="22">
        <v>3375</v>
      </c>
      <c r="D51" s="22" t="s">
        <v>33</v>
      </c>
      <c r="E51" s="23" t="s">
        <v>34</v>
      </c>
      <c r="F51" s="24">
        <v>19931205</v>
      </c>
      <c r="G51" s="16">
        <f t="shared" si="0"/>
        <v>34308</v>
      </c>
      <c r="H51" s="2">
        <f t="shared" si="1"/>
        <v>27</v>
      </c>
      <c r="I51" s="17"/>
      <c r="J51" s="25">
        <v>20120321</v>
      </c>
      <c r="K51" s="16">
        <f t="shared" si="2"/>
        <v>40989</v>
      </c>
      <c r="L51" s="2">
        <f t="shared" si="3"/>
        <v>9</v>
      </c>
      <c r="M51" s="25"/>
      <c r="N51" s="26"/>
      <c r="O51" s="27" t="s">
        <v>35</v>
      </c>
      <c r="P51" s="70">
        <v>1000</v>
      </c>
      <c r="Q51" s="70" t="s">
        <v>17</v>
      </c>
      <c r="R51" s="22">
        <v>0</v>
      </c>
      <c r="S51" s="22"/>
      <c r="T51" s="22">
        <v>2</v>
      </c>
    </row>
    <row r="52" spans="1:20">
      <c r="A52">
        <v>5</v>
      </c>
      <c r="B52" s="21">
        <v>230</v>
      </c>
      <c r="C52" s="22">
        <v>3301</v>
      </c>
      <c r="D52" s="22" t="s">
        <v>517</v>
      </c>
      <c r="E52" s="23" t="s">
        <v>34</v>
      </c>
      <c r="F52" s="24">
        <v>19890908</v>
      </c>
      <c r="G52" s="16">
        <f t="shared" si="0"/>
        <v>32759</v>
      </c>
      <c r="H52" s="2">
        <f t="shared" si="1"/>
        <v>31</v>
      </c>
      <c r="I52" s="17"/>
      <c r="J52" s="25">
        <v>20080321</v>
      </c>
      <c r="K52" s="16">
        <f t="shared" si="2"/>
        <v>39528</v>
      </c>
      <c r="L52" s="2">
        <f t="shared" si="3"/>
        <v>13</v>
      </c>
      <c r="M52" s="25"/>
      <c r="N52" s="26"/>
      <c r="O52" s="27" t="s">
        <v>35</v>
      </c>
      <c r="P52" s="70">
        <v>43211</v>
      </c>
      <c r="Q52" s="70" t="s">
        <v>364</v>
      </c>
      <c r="R52" s="22">
        <v>1</v>
      </c>
      <c r="S52" s="22" t="s">
        <v>679</v>
      </c>
      <c r="T52" s="22">
        <v>2</v>
      </c>
    </row>
    <row r="53" spans="1:20">
      <c r="A53">
        <v>4</v>
      </c>
      <c r="B53" s="21">
        <v>396</v>
      </c>
      <c r="C53" s="22">
        <v>3892</v>
      </c>
      <c r="D53" s="22" t="s">
        <v>516</v>
      </c>
      <c r="E53" s="23" t="s">
        <v>34</v>
      </c>
      <c r="F53" s="24">
        <v>19820817</v>
      </c>
      <c r="G53" s="16">
        <f t="shared" si="0"/>
        <v>30180</v>
      </c>
      <c r="H53" s="2">
        <f t="shared" si="1"/>
        <v>39</v>
      </c>
      <c r="I53" s="17"/>
      <c r="J53" s="25">
        <v>20010321</v>
      </c>
      <c r="K53" s="16">
        <f t="shared" si="2"/>
        <v>36971</v>
      </c>
      <c r="L53" s="2">
        <f t="shared" si="3"/>
        <v>20</v>
      </c>
      <c r="M53" s="25"/>
      <c r="N53" s="26"/>
      <c r="O53" s="27" t="s">
        <v>35</v>
      </c>
      <c r="P53" s="70">
        <v>43211</v>
      </c>
      <c r="Q53" s="70" t="s">
        <v>364</v>
      </c>
      <c r="R53" s="22">
        <v>1</v>
      </c>
      <c r="S53" s="22" t="s">
        <v>679</v>
      </c>
      <c r="T53" s="22">
        <v>2</v>
      </c>
    </row>
    <row r="54" spans="1:20">
      <c r="A54">
        <v>6</v>
      </c>
      <c r="B54" s="21">
        <v>241</v>
      </c>
      <c r="C54" s="22">
        <v>3325</v>
      </c>
      <c r="D54" s="22" t="s">
        <v>518</v>
      </c>
      <c r="E54" s="23" t="s">
        <v>34</v>
      </c>
      <c r="F54" s="24">
        <v>19910722</v>
      </c>
      <c r="G54" s="16">
        <f t="shared" si="0"/>
        <v>33441</v>
      </c>
      <c r="H54" s="2">
        <f t="shared" si="1"/>
        <v>30</v>
      </c>
      <c r="I54" s="17"/>
      <c r="J54" s="25">
        <v>20100321</v>
      </c>
      <c r="K54" s="16">
        <f t="shared" si="2"/>
        <v>40258</v>
      </c>
      <c r="L54" s="2">
        <f t="shared" si="3"/>
        <v>11</v>
      </c>
      <c r="M54" s="25"/>
      <c r="N54" s="26"/>
      <c r="O54" s="27" t="s">
        <v>35</v>
      </c>
      <c r="P54" s="70">
        <v>43211</v>
      </c>
      <c r="Q54" s="70" t="s">
        <v>364</v>
      </c>
      <c r="R54" s="22">
        <v>1</v>
      </c>
      <c r="S54" s="22" t="s">
        <v>679</v>
      </c>
      <c r="T54" s="22">
        <v>2</v>
      </c>
    </row>
    <row r="55" spans="1:20">
      <c r="A55">
        <v>101</v>
      </c>
      <c r="B55" s="21"/>
      <c r="C55" s="22">
        <v>1412</v>
      </c>
      <c r="D55" s="22" t="s">
        <v>637</v>
      </c>
      <c r="E55" s="23" t="s">
        <v>69</v>
      </c>
      <c r="F55" s="24">
        <v>19670307</v>
      </c>
      <c r="G55" s="16">
        <f t="shared" si="0"/>
        <v>24538</v>
      </c>
      <c r="H55" s="2">
        <f t="shared" si="1"/>
        <v>54</v>
      </c>
      <c r="I55" s="17"/>
      <c r="J55" s="25">
        <v>20210701</v>
      </c>
      <c r="K55" s="16">
        <f t="shared" si="2"/>
        <v>44378</v>
      </c>
      <c r="L55" s="2">
        <f t="shared" si="3"/>
        <v>0</v>
      </c>
      <c r="M55" s="25"/>
      <c r="N55" s="26"/>
      <c r="O55" s="27"/>
      <c r="P55" s="70">
        <v>63000</v>
      </c>
      <c r="Q55" s="70" t="s">
        <v>165</v>
      </c>
      <c r="R55" s="22"/>
      <c r="S55" s="22"/>
      <c r="T55" s="22"/>
    </row>
    <row r="56" spans="1:20">
      <c r="A56">
        <v>200</v>
      </c>
      <c r="B56" s="21"/>
      <c r="C56" s="22">
        <v>3527</v>
      </c>
      <c r="D56" s="22" t="s">
        <v>481</v>
      </c>
      <c r="E56" s="23" t="s">
        <v>678</v>
      </c>
      <c r="F56" s="24">
        <v>20020819</v>
      </c>
      <c r="G56" s="16">
        <f t="shared" si="0"/>
        <v>37487</v>
      </c>
      <c r="H56" s="2">
        <f t="shared" si="1"/>
        <v>19</v>
      </c>
      <c r="I56" s="17"/>
      <c r="J56" s="25">
        <v>20210401</v>
      </c>
      <c r="K56" s="16">
        <f t="shared" si="2"/>
        <v>44287</v>
      </c>
      <c r="L56" s="2">
        <f t="shared" si="3"/>
        <v>0</v>
      </c>
      <c r="M56" s="25"/>
      <c r="N56" s="26"/>
      <c r="O56" s="27"/>
      <c r="P56" s="70">
        <v>67211</v>
      </c>
      <c r="Q56" s="70" t="s">
        <v>476</v>
      </c>
      <c r="R56" s="22"/>
      <c r="S56" s="22"/>
      <c r="T56" s="22"/>
    </row>
    <row r="57" spans="1:20">
      <c r="A57">
        <v>55</v>
      </c>
      <c r="B57" s="21"/>
      <c r="C57" s="22">
        <v>3525</v>
      </c>
      <c r="D57" s="22" t="s">
        <v>316</v>
      </c>
      <c r="E57" s="23" t="s">
        <v>678</v>
      </c>
      <c r="F57" s="24">
        <v>20020917</v>
      </c>
      <c r="G57" s="16">
        <f t="shared" si="0"/>
        <v>37516</v>
      </c>
      <c r="H57" s="2">
        <f t="shared" si="1"/>
        <v>18</v>
      </c>
      <c r="I57" s="17"/>
      <c r="J57" s="25">
        <v>20210401</v>
      </c>
      <c r="K57" s="16">
        <f t="shared" si="2"/>
        <v>44287</v>
      </c>
      <c r="L57" s="2">
        <f t="shared" si="3"/>
        <v>0</v>
      </c>
      <c r="M57" s="25"/>
      <c r="N57" s="26"/>
      <c r="O57" s="27"/>
      <c r="P57" s="70">
        <v>42411</v>
      </c>
      <c r="Q57" s="70" t="s">
        <v>339</v>
      </c>
      <c r="R57" s="22"/>
      <c r="S57" s="22"/>
      <c r="T57" s="22"/>
    </row>
    <row r="58" spans="1:20">
      <c r="A58">
        <v>158</v>
      </c>
      <c r="B58" s="21"/>
      <c r="C58" s="22">
        <v>1411</v>
      </c>
      <c r="D58" s="22" t="s">
        <v>229</v>
      </c>
      <c r="E58" s="23" t="s">
        <v>678</v>
      </c>
      <c r="F58" s="24">
        <v>19830817</v>
      </c>
      <c r="G58" s="16">
        <f t="shared" si="0"/>
        <v>30545</v>
      </c>
      <c r="H58" s="2">
        <f t="shared" si="1"/>
        <v>38</v>
      </c>
      <c r="I58" s="17"/>
      <c r="J58" s="25">
        <v>20210401</v>
      </c>
      <c r="K58" s="16">
        <f t="shared" si="2"/>
        <v>44287</v>
      </c>
      <c r="L58" s="2">
        <f t="shared" si="3"/>
        <v>0</v>
      </c>
      <c r="M58" s="25"/>
      <c r="N58" s="26"/>
      <c r="O58" s="27" t="s">
        <v>35</v>
      </c>
      <c r="P58" s="70">
        <v>90000</v>
      </c>
      <c r="Q58" s="70" t="s">
        <v>218</v>
      </c>
      <c r="R58" s="22"/>
      <c r="S58" s="22"/>
      <c r="T58" s="22"/>
    </row>
    <row r="59" spans="1:20">
      <c r="A59">
        <v>21</v>
      </c>
      <c r="B59" s="21"/>
      <c r="C59" s="22">
        <v>3526</v>
      </c>
      <c r="D59" s="22" t="s">
        <v>278</v>
      </c>
      <c r="E59" s="23" t="s">
        <v>678</v>
      </c>
      <c r="F59" s="24">
        <v>20020507</v>
      </c>
      <c r="G59" s="16">
        <f t="shared" si="0"/>
        <v>37383</v>
      </c>
      <c r="H59" s="2">
        <f t="shared" si="1"/>
        <v>19</v>
      </c>
      <c r="I59" s="17"/>
      <c r="J59" s="25">
        <v>20210401</v>
      </c>
      <c r="K59" s="16">
        <f t="shared" si="2"/>
        <v>44287</v>
      </c>
      <c r="L59" s="2">
        <f t="shared" si="3"/>
        <v>0</v>
      </c>
      <c r="M59" s="25"/>
      <c r="N59" s="26"/>
      <c r="O59" s="27"/>
      <c r="P59" s="70">
        <v>41011</v>
      </c>
      <c r="Q59" s="70" t="s">
        <v>258</v>
      </c>
      <c r="R59" s="22"/>
      <c r="S59" s="22"/>
      <c r="T59" s="22"/>
    </row>
    <row r="60" spans="1:20">
      <c r="A60">
        <v>43</v>
      </c>
      <c r="B60" s="21"/>
      <c r="C60" s="22">
        <v>3524</v>
      </c>
      <c r="D60" s="22" t="s">
        <v>303</v>
      </c>
      <c r="E60" s="23" t="s">
        <v>678</v>
      </c>
      <c r="F60" s="24">
        <v>20020831</v>
      </c>
      <c r="G60" s="16">
        <f t="shared" si="0"/>
        <v>37499</v>
      </c>
      <c r="H60" s="2">
        <f t="shared" si="1"/>
        <v>19</v>
      </c>
      <c r="I60" s="17"/>
      <c r="J60" s="25">
        <v>20210401</v>
      </c>
      <c r="K60" s="16">
        <f t="shared" si="2"/>
        <v>44287</v>
      </c>
      <c r="L60" s="2">
        <f t="shared" si="3"/>
        <v>0</v>
      </c>
      <c r="M60" s="25"/>
      <c r="N60" s="26"/>
      <c r="O60" s="27"/>
      <c r="P60" s="70">
        <v>42011</v>
      </c>
      <c r="Q60" s="70" t="s">
        <v>290</v>
      </c>
      <c r="R60" s="22"/>
      <c r="S60" s="22"/>
      <c r="T60" s="22"/>
    </row>
    <row r="61" spans="1:20">
      <c r="A61">
        <v>123</v>
      </c>
      <c r="B61" s="21">
        <v>231</v>
      </c>
      <c r="C61" s="22">
        <v>3304</v>
      </c>
      <c r="D61" s="22" t="s">
        <v>193</v>
      </c>
      <c r="E61" s="23" t="s">
        <v>15</v>
      </c>
      <c r="F61" s="24">
        <v>19861128</v>
      </c>
      <c r="G61" s="16">
        <f t="shared" si="0"/>
        <v>31744</v>
      </c>
      <c r="H61" s="2">
        <f t="shared" si="1"/>
        <v>34</v>
      </c>
      <c r="I61" s="17"/>
      <c r="J61" s="25">
        <v>20090323</v>
      </c>
      <c r="K61" s="16">
        <f t="shared" si="2"/>
        <v>39895</v>
      </c>
      <c r="L61" s="2">
        <f t="shared" si="3"/>
        <v>12</v>
      </c>
      <c r="M61" s="25"/>
      <c r="N61" s="26"/>
      <c r="O61" s="27" t="s">
        <v>16</v>
      </c>
      <c r="P61" s="70">
        <v>80000</v>
      </c>
      <c r="Q61" s="70" t="s">
        <v>172</v>
      </c>
      <c r="R61" s="22">
        <v>0</v>
      </c>
      <c r="S61" s="22"/>
      <c r="T61" s="22">
        <v>1</v>
      </c>
    </row>
    <row r="62" spans="1:20">
      <c r="A62">
        <v>51</v>
      </c>
      <c r="B62" s="21">
        <v>113</v>
      </c>
      <c r="C62" s="22">
        <v>2930</v>
      </c>
      <c r="D62" s="22" t="s">
        <v>110</v>
      </c>
      <c r="E62" s="23" t="s">
        <v>15</v>
      </c>
      <c r="F62" s="24">
        <v>19671217</v>
      </c>
      <c r="G62" s="16">
        <f t="shared" si="0"/>
        <v>24823</v>
      </c>
      <c r="H62" s="2">
        <f t="shared" si="1"/>
        <v>53</v>
      </c>
      <c r="I62" s="17"/>
      <c r="J62" s="25">
        <v>19930322</v>
      </c>
      <c r="K62" s="16">
        <f t="shared" si="2"/>
        <v>34050</v>
      </c>
      <c r="L62" s="2">
        <f t="shared" si="3"/>
        <v>28</v>
      </c>
      <c r="M62" s="25"/>
      <c r="N62" s="26"/>
      <c r="O62" s="27" t="s">
        <v>16</v>
      </c>
      <c r="P62" s="70">
        <v>41200</v>
      </c>
      <c r="Q62" s="70" t="s">
        <v>103</v>
      </c>
      <c r="R62" s="22">
        <v>0</v>
      </c>
      <c r="S62" s="22"/>
      <c r="T62" s="22">
        <v>2</v>
      </c>
    </row>
    <row r="63" spans="1:20">
      <c r="A63">
        <v>144</v>
      </c>
      <c r="B63" s="21">
        <v>147</v>
      </c>
      <c r="C63" s="22">
        <v>3053</v>
      </c>
      <c r="D63" s="22" t="s">
        <v>418</v>
      </c>
      <c r="E63" s="23" t="s">
        <v>15</v>
      </c>
      <c r="F63" s="24">
        <v>19760717</v>
      </c>
      <c r="G63" s="16">
        <f t="shared" si="0"/>
        <v>27958</v>
      </c>
      <c r="H63" s="2">
        <f t="shared" si="1"/>
        <v>45</v>
      </c>
      <c r="I63" s="17"/>
      <c r="J63" s="25">
        <v>19950322</v>
      </c>
      <c r="K63" s="16">
        <f t="shared" si="2"/>
        <v>34780</v>
      </c>
      <c r="L63" s="2">
        <f t="shared" si="3"/>
        <v>26</v>
      </c>
      <c r="M63" s="25"/>
      <c r="N63" s="26"/>
      <c r="O63" s="27" t="s">
        <v>35</v>
      </c>
      <c r="P63" s="70">
        <v>64011</v>
      </c>
      <c r="Q63" s="70" t="s">
        <v>416</v>
      </c>
      <c r="R63" s="22">
        <v>1</v>
      </c>
      <c r="S63" s="22" t="s">
        <v>679</v>
      </c>
      <c r="T63" s="22">
        <v>2</v>
      </c>
    </row>
    <row r="64" spans="1:20">
      <c r="A64">
        <v>20</v>
      </c>
      <c r="B64" s="21">
        <v>329</v>
      </c>
      <c r="C64" s="22">
        <v>3471</v>
      </c>
      <c r="D64" s="22" t="s">
        <v>67</v>
      </c>
      <c r="E64" s="23" t="s">
        <v>15</v>
      </c>
      <c r="F64" s="24">
        <v>19940827</v>
      </c>
      <c r="G64" s="16">
        <f t="shared" si="0"/>
        <v>34573</v>
      </c>
      <c r="H64" s="2">
        <f t="shared" si="1"/>
        <v>27</v>
      </c>
      <c r="I64" s="17"/>
      <c r="J64" s="25">
        <v>20170403</v>
      </c>
      <c r="K64" s="16">
        <f t="shared" si="2"/>
        <v>42828</v>
      </c>
      <c r="L64" s="2">
        <f t="shared" si="3"/>
        <v>4</v>
      </c>
      <c r="M64" s="25"/>
      <c r="N64" s="26"/>
      <c r="O64" s="27">
        <v>8</v>
      </c>
      <c r="P64" s="70">
        <v>30000</v>
      </c>
      <c r="Q64" s="70" t="s">
        <v>53</v>
      </c>
      <c r="R64" s="22">
        <v>0</v>
      </c>
      <c r="S64" s="22"/>
      <c r="T64" s="22">
        <v>2</v>
      </c>
    </row>
    <row r="65" spans="1:20">
      <c r="A65">
        <v>45</v>
      </c>
      <c r="B65" s="21">
        <v>100</v>
      </c>
      <c r="C65" s="22">
        <v>2829</v>
      </c>
      <c r="D65" s="22" t="s">
        <v>102</v>
      </c>
      <c r="E65" s="23" t="s">
        <v>15</v>
      </c>
      <c r="F65" s="24">
        <v>19700309</v>
      </c>
      <c r="G65" s="16">
        <f t="shared" si="0"/>
        <v>25636</v>
      </c>
      <c r="H65" s="2">
        <f t="shared" si="1"/>
        <v>51</v>
      </c>
      <c r="I65" s="17"/>
      <c r="J65" s="25">
        <v>19880324</v>
      </c>
      <c r="K65" s="16">
        <f t="shared" si="2"/>
        <v>32226</v>
      </c>
      <c r="L65" s="2">
        <f t="shared" si="3"/>
        <v>33</v>
      </c>
      <c r="M65" s="25"/>
      <c r="N65" s="26"/>
      <c r="O65" s="27" t="s">
        <v>35</v>
      </c>
      <c r="P65" s="70">
        <v>69011</v>
      </c>
      <c r="Q65" s="70" t="s">
        <v>489</v>
      </c>
      <c r="R65" s="22">
        <v>0</v>
      </c>
      <c r="S65" s="22"/>
      <c r="T65" s="22">
        <v>1</v>
      </c>
    </row>
    <row r="66" spans="1:20">
      <c r="A66">
        <v>169</v>
      </c>
      <c r="B66" s="21">
        <v>364</v>
      </c>
      <c r="C66" s="22">
        <v>3517</v>
      </c>
      <c r="D66" s="22" t="s">
        <v>447</v>
      </c>
      <c r="E66" s="23" t="s">
        <v>678</v>
      </c>
      <c r="F66" s="24">
        <v>19930505</v>
      </c>
      <c r="G66" s="16">
        <f t="shared" si="0"/>
        <v>34094</v>
      </c>
      <c r="H66" s="2">
        <f t="shared" si="1"/>
        <v>28</v>
      </c>
      <c r="I66" s="17"/>
      <c r="J66" s="25">
        <v>20200401</v>
      </c>
      <c r="K66" s="16">
        <f t="shared" si="2"/>
        <v>43922</v>
      </c>
      <c r="L66" s="2">
        <f t="shared" si="3"/>
        <v>1</v>
      </c>
      <c r="M66" s="25"/>
      <c r="N66" s="26"/>
      <c r="O66" s="27">
        <v>8</v>
      </c>
      <c r="P66" s="70">
        <v>65011</v>
      </c>
      <c r="Q66" s="70" t="s">
        <v>433</v>
      </c>
      <c r="R66" s="22">
        <v>1</v>
      </c>
      <c r="S66" s="22" t="s">
        <v>679</v>
      </c>
      <c r="T66" s="22">
        <v>2</v>
      </c>
    </row>
    <row r="67" spans="1:20">
      <c r="A67">
        <v>81</v>
      </c>
      <c r="B67" s="21">
        <v>210</v>
      </c>
      <c r="C67" s="22">
        <v>3250</v>
      </c>
      <c r="D67" s="22" t="s">
        <v>346</v>
      </c>
      <c r="E67" s="23" t="s">
        <v>15</v>
      </c>
      <c r="F67" s="24">
        <v>19880106</v>
      </c>
      <c r="G67" s="16">
        <f t="shared" si="0"/>
        <v>32148</v>
      </c>
      <c r="H67" s="2">
        <f t="shared" si="1"/>
        <v>33</v>
      </c>
      <c r="I67" s="17"/>
      <c r="J67" s="25">
        <v>20060321</v>
      </c>
      <c r="K67" s="16">
        <f t="shared" si="2"/>
        <v>38797</v>
      </c>
      <c r="L67" s="2">
        <f t="shared" si="3"/>
        <v>15</v>
      </c>
      <c r="M67" s="25"/>
      <c r="N67" s="26"/>
      <c r="O67" s="27" t="s">
        <v>35</v>
      </c>
      <c r="P67" s="70">
        <v>42411</v>
      </c>
      <c r="Q67" s="70" t="s">
        <v>339</v>
      </c>
      <c r="R67" s="22">
        <v>1</v>
      </c>
      <c r="S67" s="22" t="s">
        <v>679</v>
      </c>
      <c r="T67" s="22">
        <v>2</v>
      </c>
    </row>
    <row r="68" spans="1:20">
      <c r="A68">
        <v>3</v>
      </c>
      <c r="B68" s="21">
        <v>404</v>
      </c>
      <c r="C68" s="22">
        <v>3936</v>
      </c>
      <c r="D68" s="22" t="s">
        <v>18</v>
      </c>
      <c r="E68" s="23" t="s">
        <v>15</v>
      </c>
      <c r="F68" s="24">
        <v>19770909</v>
      </c>
      <c r="G68" s="16">
        <f t="shared" si="0"/>
        <v>28377</v>
      </c>
      <c r="H68" s="2">
        <f t="shared" si="1"/>
        <v>43</v>
      </c>
      <c r="I68" s="17"/>
      <c r="J68" s="25">
        <v>20060221</v>
      </c>
      <c r="K68" s="16">
        <f t="shared" si="2"/>
        <v>38769</v>
      </c>
      <c r="L68" s="2">
        <f t="shared" si="3"/>
        <v>15</v>
      </c>
      <c r="M68" s="25"/>
      <c r="N68" s="26"/>
      <c r="O68" s="27" t="s">
        <v>19</v>
      </c>
      <c r="P68" s="73">
        <v>1000</v>
      </c>
      <c r="Q68" s="73" t="s">
        <v>17</v>
      </c>
      <c r="R68" s="22">
        <v>0</v>
      </c>
      <c r="S68" s="22"/>
      <c r="T68" s="22">
        <v>1</v>
      </c>
    </row>
    <row r="69" spans="1:20">
      <c r="A69">
        <v>175</v>
      </c>
      <c r="B69" s="21">
        <v>377</v>
      </c>
      <c r="C69" s="22">
        <v>3837</v>
      </c>
      <c r="D69" s="22" t="s">
        <v>454</v>
      </c>
      <c r="E69" s="23" t="s">
        <v>15</v>
      </c>
      <c r="F69" s="24">
        <v>19630322</v>
      </c>
      <c r="G69" s="16">
        <f t="shared" ref="G69:G132" si="4">DATE(INT(F69/10000),INT(MOD(F69,10000)/100),MOD(F69,100))</f>
        <v>23092</v>
      </c>
      <c r="H69" s="2">
        <f t="shared" ref="H69:H132" si="5">DATEDIF(G69,$G$4,"Y")</f>
        <v>58</v>
      </c>
      <c r="I69" s="17"/>
      <c r="J69" s="25">
        <v>19920701</v>
      </c>
      <c r="K69" s="16">
        <f t="shared" ref="K69:K132" si="6">DATE(INT(J69/10000),INT(MOD(J69,10000)/100),MOD(J69,100))</f>
        <v>33786</v>
      </c>
      <c r="L69" s="2">
        <f t="shared" ref="L69:L132" si="7">DATEDIF(K69,$G$4,"Y")</f>
        <v>29</v>
      </c>
      <c r="M69" s="25"/>
      <c r="N69" s="26"/>
      <c r="O69" s="27" t="s">
        <v>35</v>
      </c>
      <c r="P69" s="73">
        <v>66011</v>
      </c>
      <c r="Q69" s="73" t="s">
        <v>449</v>
      </c>
      <c r="R69" s="22">
        <v>1</v>
      </c>
      <c r="S69" s="22" t="s">
        <v>679</v>
      </c>
      <c r="T69" s="22">
        <v>2</v>
      </c>
    </row>
    <row r="70" spans="1:20">
      <c r="A70">
        <v>95</v>
      </c>
      <c r="B70" s="21">
        <v>263</v>
      </c>
      <c r="C70" s="22">
        <v>3364</v>
      </c>
      <c r="D70" s="22" t="s">
        <v>163</v>
      </c>
      <c r="E70" s="23" t="s">
        <v>15</v>
      </c>
      <c r="F70" s="24">
        <v>19881129</v>
      </c>
      <c r="G70" s="16">
        <f t="shared" si="4"/>
        <v>32476</v>
      </c>
      <c r="H70" s="2">
        <f t="shared" si="5"/>
        <v>32</v>
      </c>
      <c r="I70" s="17"/>
      <c r="J70" s="25">
        <v>20120321</v>
      </c>
      <c r="K70" s="16">
        <f t="shared" si="6"/>
        <v>40989</v>
      </c>
      <c r="L70" s="2">
        <f t="shared" si="7"/>
        <v>9</v>
      </c>
      <c r="M70" s="25"/>
      <c r="N70" s="26"/>
      <c r="O70" s="27" t="s">
        <v>16</v>
      </c>
      <c r="P70" s="73">
        <v>61300</v>
      </c>
      <c r="Q70" s="73" t="s">
        <v>162</v>
      </c>
      <c r="R70" s="22">
        <v>0</v>
      </c>
      <c r="S70" s="22"/>
      <c r="T70" s="22">
        <v>1</v>
      </c>
    </row>
    <row r="71" spans="1:20">
      <c r="A71">
        <v>101</v>
      </c>
      <c r="B71" s="21">
        <v>376</v>
      </c>
      <c r="C71" s="22">
        <v>3833</v>
      </c>
      <c r="D71" s="22" t="s">
        <v>368</v>
      </c>
      <c r="E71" s="23" t="s">
        <v>15</v>
      </c>
      <c r="F71" s="24">
        <v>19710803</v>
      </c>
      <c r="G71" s="16">
        <f t="shared" si="4"/>
        <v>26148</v>
      </c>
      <c r="H71" s="2">
        <f t="shared" si="5"/>
        <v>50</v>
      </c>
      <c r="I71" s="17"/>
      <c r="J71" s="25">
        <v>19920217</v>
      </c>
      <c r="K71" s="16">
        <f t="shared" si="6"/>
        <v>33651</v>
      </c>
      <c r="L71" s="2">
        <f t="shared" si="7"/>
        <v>29</v>
      </c>
      <c r="M71" s="25"/>
      <c r="N71" s="26"/>
      <c r="O71" s="27" t="s">
        <v>295</v>
      </c>
      <c r="P71" s="73">
        <v>43211</v>
      </c>
      <c r="Q71" s="73" t="s">
        <v>364</v>
      </c>
      <c r="R71" s="22">
        <v>1</v>
      </c>
      <c r="S71" s="22" t="s">
        <v>679</v>
      </c>
      <c r="T71" s="22">
        <v>2</v>
      </c>
    </row>
    <row r="72" spans="1:20">
      <c r="A72">
        <v>93</v>
      </c>
      <c r="B72" s="21">
        <v>326</v>
      </c>
      <c r="C72" s="22">
        <v>3467</v>
      </c>
      <c r="D72" s="22" t="s">
        <v>160</v>
      </c>
      <c r="E72" s="23" t="s">
        <v>15</v>
      </c>
      <c r="F72" s="24">
        <v>19970627</v>
      </c>
      <c r="G72" s="16">
        <f t="shared" si="4"/>
        <v>35608</v>
      </c>
      <c r="H72" s="2">
        <f t="shared" si="5"/>
        <v>24</v>
      </c>
      <c r="I72" s="17"/>
      <c r="J72" s="25">
        <v>20160401</v>
      </c>
      <c r="K72" s="16">
        <f t="shared" si="6"/>
        <v>42461</v>
      </c>
      <c r="L72" s="2">
        <f t="shared" si="7"/>
        <v>5</v>
      </c>
      <c r="M72" s="25"/>
      <c r="N72" s="26"/>
      <c r="O72" s="27" t="s">
        <v>35</v>
      </c>
      <c r="P72" s="70">
        <v>61200</v>
      </c>
      <c r="Q72" s="70" t="s">
        <v>158</v>
      </c>
      <c r="R72" s="22">
        <v>0</v>
      </c>
      <c r="S72" s="22"/>
      <c r="T72" s="22">
        <v>2</v>
      </c>
    </row>
    <row r="73" spans="1:20">
      <c r="A73">
        <v>82</v>
      </c>
      <c r="B73" s="21">
        <v>365</v>
      </c>
      <c r="C73" s="22">
        <v>3518</v>
      </c>
      <c r="D73" s="22" t="s">
        <v>347</v>
      </c>
      <c r="E73" s="23" t="s">
        <v>678</v>
      </c>
      <c r="F73" s="24">
        <v>20020126</v>
      </c>
      <c r="G73" s="16">
        <f t="shared" si="4"/>
        <v>37282</v>
      </c>
      <c r="H73" s="2">
        <f t="shared" si="5"/>
        <v>19</v>
      </c>
      <c r="I73" s="17"/>
      <c r="J73" s="25">
        <v>20200401</v>
      </c>
      <c r="K73" s="16">
        <f t="shared" si="6"/>
        <v>43922</v>
      </c>
      <c r="L73" s="2">
        <f t="shared" si="7"/>
        <v>1</v>
      </c>
      <c r="M73" s="25"/>
      <c r="N73" s="26"/>
      <c r="O73" s="27">
        <v>6</v>
      </c>
      <c r="P73" s="70">
        <v>42411</v>
      </c>
      <c r="Q73" s="70" t="s">
        <v>339</v>
      </c>
      <c r="R73" s="22">
        <v>1</v>
      </c>
      <c r="S73" s="22" t="s">
        <v>679</v>
      </c>
      <c r="T73" s="22">
        <v>2</v>
      </c>
    </row>
    <row r="74" spans="1:20">
      <c r="A74">
        <v>142</v>
      </c>
      <c r="B74" s="21">
        <v>330</v>
      </c>
      <c r="C74" s="22">
        <v>3472</v>
      </c>
      <c r="D74" s="22" t="s">
        <v>212</v>
      </c>
      <c r="E74" s="23" t="s">
        <v>15</v>
      </c>
      <c r="F74" s="24">
        <v>19941001</v>
      </c>
      <c r="G74" s="16">
        <f t="shared" si="4"/>
        <v>34608</v>
      </c>
      <c r="H74" s="2">
        <f t="shared" si="5"/>
        <v>26</v>
      </c>
      <c r="I74" s="17"/>
      <c r="J74" s="25">
        <v>20170403</v>
      </c>
      <c r="K74" s="16">
        <f t="shared" si="6"/>
        <v>42828</v>
      </c>
      <c r="L74" s="2">
        <f t="shared" si="7"/>
        <v>4</v>
      </c>
      <c r="M74" s="25"/>
      <c r="N74" s="26"/>
      <c r="O74" s="27">
        <v>8</v>
      </c>
      <c r="P74" s="70">
        <v>80000</v>
      </c>
      <c r="Q74" s="70" t="s">
        <v>172</v>
      </c>
      <c r="R74" s="22">
        <v>0</v>
      </c>
      <c r="S74" s="22"/>
      <c r="T74" s="22">
        <v>2</v>
      </c>
    </row>
    <row r="75" spans="1:20">
      <c r="A75">
        <v>117</v>
      </c>
      <c r="B75" s="21">
        <v>337</v>
      </c>
      <c r="C75" s="22">
        <v>3482</v>
      </c>
      <c r="D75" s="22" t="s">
        <v>387</v>
      </c>
      <c r="E75" s="23" t="s">
        <v>15</v>
      </c>
      <c r="F75" s="24">
        <v>19981002</v>
      </c>
      <c r="G75" s="16">
        <f t="shared" si="4"/>
        <v>36070</v>
      </c>
      <c r="H75" s="2">
        <f t="shared" si="5"/>
        <v>22</v>
      </c>
      <c r="I75" s="17"/>
      <c r="J75" s="25">
        <v>20170403</v>
      </c>
      <c r="K75" s="16">
        <f t="shared" si="6"/>
        <v>42828</v>
      </c>
      <c r="L75" s="2">
        <f t="shared" si="7"/>
        <v>4</v>
      </c>
      <c r="M75" s="25"/>
      <c r="N75" s="26"/>
      <c r="O75" s="27">
        <v>6</v>
      </c>
      <c r="P75" s="70">
        <v>44111</v>
      </c>
      <c r="Q75" s="70" t="s">
        <v>383</v>
      </c>
      <c r="R75" s="22">
        <v>1</v>
      </c>
      <c r="S75" s="22" t="s">
        <v>679</v>
      </c>
      <c r="T75" s="22">
        <v>2</v>
      </c>
    </row>
    <row r="76" spans="1:20">
      <c r="A76">
        <v>136</v>
      </c>
      <c r="B76" s="21">
        <v>245</v>
      </c>
      <c r="C76" s="22">
        <v>3332</v>
      </c>
      <c r="D76" s="22" t="s">
        <v>206</v>
      </c>
      <c r="E76" s="23" t="s">
        <v>15</v>
      </c>
      <c r="F76" s="24">
        <v>19880826</v>
      </c>
      <c r="G76" s="16">
        <f t="shared" si="4"/>
        <v>32381</v>
      </c>
      <c r="H76" s="2">
        <f t="shared" si="5"/>
        <v>33</v>
      </c>
      <c r="I76" s="17"/>
      <c r="J76" s="25">
        <v>20110321</v>
      </c>
      <c r="K76" s="16">
        <f t="shared" si="6"/>
        <v>40623</v>
      </c>
      <c r="L76" s="2">
        <f t="shared" si="7"/>
        <v>10</v>
      </c>
      <c r="M76" s="25"/>
      <c r="N76" s="26"/>
      <c r="O76" s="27" t="s">
        <v>16</v>
      </c>
      <c r="P76" s="70">
        <v>80000</v>
      </c>
      <c r="Q76" s="70" t="s">
        <v>172</v>
      </c>
      <c r="R76" s="22">
        <v>0</v>
      </c>
      <c r="S76" s="22"/>
      <c r="T76" s="22">
        <v>2</v>
      </c>
    </row>
    <row r="77" spans="1:20">
      <c r="A77">
        <v>119</v>
      </c>
      <c r="B77" s="21">
        <v>193</v>
      </c>
      <c r="C77" s="22">
        <v>3211</v>
      </c>
      <c r="D77" s="22" t="s">
        <v>189</v>
      </c>
      <c r="E77" s="23" t="s">
        <v>15</v>
      </c>
      <c r="F77" s="24">
        <v>19810301</v>
      </c>
      <c r="G77" s="16">
        <f t="shared" si="4"/>
        <v>29646</v>
      </c>
      <c r="H77" s="2">
        <f t="shared" si="5"/>
        <v>40</v>
      </c>
      <c r="I77" s="17"/>
      <c r="J77" s="25">
        <v>20040322</v>
      </c>
      <c r="K77" s="16">
        <f t="shared" si="6"/>
        <v>38068</v>
      </c>
      <c r="L77" s="2">
        <f t="shared" si="7"/>
        <v>17</v>
      </c>
      <c r="M77" s="25"/>
      <c r="N77" s="26"/>
      <c r="O77" s="27" t="s">
        <v>16</v>
      </c>
      <c r="P77" s="70">
        <v>80000</v>
      </c>
      <c r="Q77" s="70" t="s">
        <v>172</v>
      </c>
      <c r="R77" s="22">
        <v>0</v>
      </c>
      <c r="S77" s="22"/>
      <c r="T77" s="22">
        <v>1</v>
      </c>
    </row>
    <row r="78" spans="1:20">
      <c r="A78">
        <v>113</v>
      </c>
      <c r="B78" s="21">
        <v>167</v>
      </c>
      <c r="C78" s="22">
        <v>3142</v>
      </c>
      <c r="D78" s="22" t="s">
        <v>382</v>
      </c>
      <c r="E78" s="23" t="s">
        <v>15</v>
      </c>
      <c r="F78" s="24">
        <v>19780623</v>
      </c>
      <c r="G78" s="16">
        <f t="shared" si="4"/>
        <v>28664</v>
      </c>
      <c r="H78" s="2">
        <f t="shared" si="5"/>
        <v>43</v>
      </c>
      <c r="I78" s="17"/>
      <c r="J78" s="25">
        <v>19970321</v>
      </c>
      <c r="K78" s="16">
        <f t="shared" si="6"/>
        <v>35510</v>
      </c>
      <c r="L78" s="2">
        <f t="shared" si="7"/>
        <v>24</v>
      </c>
      <c r="M78" s="25"/>
      <c r="N78" s="26"/>
      <c r="O78" s="27" t="s">
        <v>35</v>
      </c>
      <c r="P78" s="70">
        <v>44111</v>
      </c>
      <c r="Q78" s="70" t="s">
        <v>383</v>
      </c>
      <c r="R78" s="22">
        <v>1</v>
      </c>
      <c r="S78" s="22" t="s">
        <v>679</v>
      </c>
      <c r="T78" s="22">
        <v>1</v>
      </c>
    </row>
    <row r="79" spans="1:20">
      <c r="A79">
        <v>59</v>
      </c>
      <c r="B79" s="21">
        <v>70</v>
      </c>
      <c r="C79" s="22">
        <v>2654</v>
      </c>
      <c r="D79" s="22" t="s">
        <v>321</v>
      </c>
      <c r="E79" s="23" t="s">
        <v>15</v>
      </c>
      <c r="F79" s="24">
        <v>19640412</v>
      </c>
      <c r="G79" s="16">
        <f t="shared" si="4"/>
        <v>23479</v>
      </c>
      <c r="H79" s="2">
        <f t="shared" si="5"/>
        <v>57</v>
      </c>
      <c r="I79" s="17"/>
      <c r="J79" s="25">
        <v>19830322</v>
      </c>
      <c r="K79" s="16">
        <f t="shared" si="6"/>
        <v>30397</v>
      </c>
      <c r="L79" s="2">
        <f t="shared" si="7"/>
        <v>38</v>
      </c>
      <c r="M79" s="25"/>
      <c r="N79" s="26"/>
      <c r="O79" s="27" t="s">
        <v>35</v>
      </c>
      <c r="P79" s="73">
        <v>42211</v>
      </c>
      <c r="Q79" s="73" t="s">
        <v>318</v>
      </c>
      <c r="R79" s="22">
        <v>1</v>
      </c>
      <c r="S79" s="22" t="s">
        <v>679</v>
      </c>
      <c r="T79" s="22">
        <v>2</v>
      </c>
    </row>
    <row r="80" spans="1:20">
      <c r="A80">
        <v>52</v>
      </c>
      <c r="B80" s="21">
        <v>393</v>
      </c>
      <c r="C80" s="22">
        <v>3889</v>
      </c>
      <c r="D80" s="22" t="s">
        <v>111</v>
      </c>
      <c r="E80" s="23" t="s">
        <v>15</v>
      </c>
      <c r="F80" s="24">
        <v>19631215</v>
      </c>
      <c r="G80" s="16">
        <f t="shared" si="4"/>
        <v>23360</v>
      </c>
      <c r="H80" s="2">
        <f t="shared" si="5"/>
        <v>57</v>
      </c>
      <c r="I80" s="17"/>
      <c r="J80" s="25">
        <v>19941017</v>
      </c>
      <c r="K80" s="16">
        <f t="shared" si="6"/>
        <v>34624</v>
      </c>
      <c r="L80" s="2">
        <f t="shared" si="7"/>
        <v>26</v>
      </c>
      <c r="M80" s="25"/>
      <c r="N80" s="26"/>
      <c r="O80" s="27" t="s">
        <v>16</v>
      </c>
      <c r="P80" s="73">
        <v>41200</v>
      </c>
      <c r="Q80" s="73" t="s">
        <v>103</v>
      </c>
      <c r="R80" s="22">
        <v>0</v>
      </c>
      <c r="S80" s="22"/>
      <c r="T80" s="22">
        <v>2</v>
      </c>
    </row>
    <row r="81" spans="1:20">
      <c r="A81">
        <v>28</v>
      </c>
      <c r="B81" s="21">
        <v>434</v>
      </c>
      <c r="C81" s="22">
        <v>3989</v>
      </c>
      <c r="D81" s="22" t="s">
        <v>286</v>
      </c>
      <c r="E81" s="23" t="s">
        <v>15</v>
      </c>
      <c r="F81" s="24">
        <v>19750412</v>
      </c>
      <c r="G81" s="16">
        <f t="shared" si="4"/>
        <v>27496</v>
      </c>
      <c r="H81" s="2">
        <f t="shared" si="5"/>
        <v>46</v>
      </c>
      <c r="I81" s="17"/>
      <c r="J81" s="25">
        <v>20071101</v>
      </c>
      <c r="K81" s="16">
        <f t="shared" si="6"/>
        <v>39387</v>
      </c>
      <c r="L81" s="2">
        <f t="shared" si="7"/>
        <v>13</v>
      </c>
      <c r="M81" s="25"/>
      <c r="N81" s="26"/>
      <c r="O81" s="27" t="s">
        <v>19</v>
      </c>
      <c r="P81" s="73">
        <v>41111</v>
      </c>
      <c r="Q81" s="73" t="s">
        <v>280</v>
      </c>
      <c r="R81" s="22">
        <v>1</v>
      </c>
      <c r="S81" s="22" t="s">
        <v>679</v>
      </c>
      <c r="T81" s="22">
        <v>2</v>
      </c>
    </row>
    <row r="82" spans="1:20">
      <c r="A82">
        <v>19</v>
      </c>
      <c r="B82" s="21">
        <v>360</v>
      </c>
      <c r="C82" s="22">
        <v>3510</v>
      </c>
      <c r="D82" s="22" t="s">
        <v>276</v>
      </c>
      <c r="E82" s="23" t="s">
        <v>15</v>
      </c>
      <c r="F82" s="24">
        <v>20000722</v>
      </c>
      <c r="G82" s="16">
        <f t="shared" si="4"/>
        <v>36729</v>
      </c>
      <c r="H82" s="2">
        <f t="shared" si="5"/>
        <v>21</v>
      </c>
      <c r="I82" s="17"/>
      <c r="J82" s="25">
        <v>20190401</v>
      </c>
      <c r="K82" s="16">
        <f t="shared" si="6"/>
        <v>43556</v>
      </c>
      <c r="L82" s="2">
        <f t="shared" si="7"/>
        <v>2</v>
      </c>
      <c r="M82" s="25"/>
      <c r="N82" s="26"/>
      <c r="O82" s="27">
        <v>6</v>
      </c>
      <c r="P82" s="73">
        <v>41011</v>
      </c>
      <c r="Q82" s="73" t="s">
        <v>258</v>
      </c>
      <c r="R82" s="22">
        <v>1</v>
      </c>
      <c r="S82" s="22" t="s">
        <v>679</v>
      </c>
      <c r="T82" s="22">
        <v>2</v>
      </c>
    </row>
    <row r="83" spans="1:20">
      <c r="A83">
        <v>226</v>
      </c>
      <c r="B83" s="21">
        <v>431</v>
      </c>
      <c r="C83" s="22">
        <v>3986</v>
      </c>
      <c r="D83" s="22" t="s">
        <v>511</v>
      </c>
      <c r="E83" s="23" t="s">
        <v>15</v>
      </c>
      <c r="F83" s="24">
        <v>19680302</v>
      </c>
      <c r="G83" s="16">
        <f t="shared" si="4"/>
        <v>24899</v>
      </c>
      <c r="H83" s="2">
        <f t="shared" si="5"/>
        <v>53</v>
      </c>
      <c r="I83" s="17"/>
      <c r="J83" s="25">
        <v>20071021</v>
      </c>
      <c r="K83" s="16">
        <f t="shared" si="6"/>
        <v>39376</v>
      </c>
      <c r="L83" s="2">
        <f t="shared" si="7"/>
        <v>13</v>
      </c>
      <c r="M83" s="25"/>
      <c r="N83" s="26"/>
      <c r="O83" s="27" t="s">
        <v>35</v>
      </c>
      <c r="P83" s="70">
        <v>69211</v>
      </c>
      <c r="Q83" s="70" t="s">
        <v>508</v>
      </c>
      <c r="R83" s="22">
        <v>1</v>
      </c>
      <c r="S83" s="22" t="s">
        <v>679</v>
      </c>
      <c r="T83" s="22">
        <v>2</v>
      </c>
    </row>
    <row r="84" spans="1:20">
      <c r="A84">
        <v>143</v>
      </c>
      <c r="B84" s="21">
        <v>35</v>
      </c>
      <c r="C84" s="22">
        <v>1371</v>
      </c>
      <c r="D84" s="22" t="s">
        <v>417</v>
      </c>
      <c r="E84" s="23" t="s">
        <v>15</v>
      </c>
      <c r="F84" s="24">
        <v>19811004</v>
      </c>
      <c r="G84" s="16">
        <f t="shared" si="4"/>
        <v>29863</v>
      </c>
      <c r="H84" s="2">
        <f t="shared" si="5"/>
        <v>39</v>
      </c>
      <c r="I84" s="17"/>
      <c r="J84" s="25">
        <v>20110221</v>
      </c>
      <c r="K84" s="16">
        <f t="shared" si="6"/>
        <v>40595</v>
      </c>
      <c r="L84" s="2">
        <f t="shared" si="7"/>
        <v>10</v>
      </c>
      <c r="M84" s="25"/>
      <c r="N84" s="26"/>
      <c r="O84" s="27" t="s">
        <v>19</v>
      </c>
      <c r="P84" s="70">
        <v>64011</v>
      </c>
      <c r="Q84" s="70" t="s">
        <v>416</v>
      </c>
      <c r="R84" s="22">
        <v>1</v>
      </c>
      <c r="S84" s="22" t="s">
        <v>679</v>
      </c>
      <c r="T84" s="22">
        <v>1</v>
      </c>
    </row>
    <row r="85" spans="1:20">
      <c r="A85">
        <v>67</v>
      </c>
      <c r="B85" s="21">
        <v>354</v>
      </c>
      <c r="C85" s="22">
        <v>3503</v>
      </c>
      <c r="D85" s="22" t="s">
        <v>129</v>
      </c>
      <c r="E85" s="23" t="s">
        <v>15</v>
      </c>
      <c r="F85" s="24">
        <v>19960611</v>
      </c>
      <c r="G85" s="16">
        <f t="shared" si="4"/>
        <v>35227</v>
      </c>
      <c r="H85" s="2">
        <f t="shared" si="5"/>
        <v>25</v>
      </c>
      <c r="I85" s="17"/>
      <c r="J85" s="25">
        <v>20190401</v>
      </c>
      <c r="K85" s="16">
        <f t="shared" si="6"/>
        <v>43556</v>
      </c>
      <c r="L85" s="2">
        <f t="shared" si="7"/>
        <v>2</v>
      </c>
      <c r="M85" s="25"/>
      <c r="N85" s="26"/>
      <c r="O85" s="27">
        <v>8</v>
      </c>
      <c r="P85" s="70">
        <v>51000</v>
      </c>
      <c r="Q85" s="70" t="s">
        <v>124</v>
      </c>
      <c r="R85" s="22">
        <v>0</v>
      </c>
      <c r="S85" s="22"/>
      <c r="T85" s="22">
        <v>2</v>
      </c>
    </row>
    <row r="86" spans="1:20">
      <c r="A86">
        <v>81</v>
      </c>
      <c r="B86" s="21">
        <v>121</v>
      </c>
      <c r="C86" s="22">
        <v>2967</v>
      </c>
      <c r="D86" s="22" t="s">
        <v>146</v>
      </c>
      <c r="E86" s="23" t="s">
        <v>15</v>
      </c>
      <c r="F86" s="24">
        <v>19690622</v>
      </c>
      <c r="G86" s="16">
        <f t="shared" si="4"/>
        <v>25376</v>
      </c>
      <c r="H86" s="2">
        <f t="shared" si="5"/>
        <v>52</v>
      </c>
      <c r="I86" s="17"/>
      <c r="J86" s="25">
        <v>19940322</v>
      </c>
      <c r="K86" s="16">
        <f t="shared" si="6"/>
        <v>34415</v>
      </c>
      <c r="L86" s="2">
        <f t="shared" si="7"/>
        <v>27</v>
      </c>
      <c r="M86" s="25"/>
      <c r="N86" s="26"/>
      <c r="O86" s="27" t="s">
        <v>16</v>
      </c>
      <c r="P86" s="70">
        <v>61000</v>
      </c>
      <c r="Q86" s="70" t="s">
        <v>147</v>
      </c>
      <c r="R86" s="22">
        <v>0</v>
      </c>
      <c r="S86" s="22"/>
      <c r="T86" s="22">
        <v>1</v>
      </c>
    </row>
    <row r="87" spans="1:20">
      <c r="A87">
        <v>190</v>
      </c>
      <c r="B87" s="21">
        <v>389</v>
      </c>
      <c r="C87" s="22">
        <v>3877</v>
      </c>
      <c r="D87" s="22" t="s">
        <v>470</v>
      </c>
      <c r="E87" s="23" t="s">
        <v>15</v>
      </c>
      <c r="F87" s="24">
        <v>19620107</v>
      </c>
      <c r="G87" s="16">
        <f t="shared" si="4"/>
        <v>22653</v>
      </c>
      <c r="H87" s="2">
        <f t="shared" si="5"/>
        <v>59</v>
      </c>
      <c r="I87" s="17"/>
      <c r="J87" s="25">
        <v>20000901</v>
      </c>
      <c r="K87" s="16">
        <f t="shared" si="6"/>
        <v>36770</v>
      </c>
      <c r="L87" s="2">
        <f t="shared" si="7"/>
        <v>21</v>
      </c>
      <c r="M87" s="25"/>
      <c r="N87" s="26"/>
      <c r="O87" s="27" t="s">
        <v>35</v>
      </c>
      <c r="P87" s="70">
        <v>67011</v>
      </c>
      <c r="Q87" s="70" t="s">
        <v>466</v>
      </c>
      <c r="R87" s="22">
        <v>1</v>
      </c>
      <c r="S87" s="22" t="s">
        <v>679</v>
      </c>
      <c r="T87" s="22">
        <v>2</v>
      </c>
    </row>
    <row r="88" spans="1:20">
      <c r="A88">
        <v>33</v>
      </c>
      <c r="B88" s="21">
        <v>216</v>
      </c>
      <c r="C88" s="22">
        <v>3262</v>
      </c>
      <c r="D88" s="22" t="s">
        <v>292</v>
      </c>
      <c r="E88" s="23" t="s">
        <v>15</v>
      </c>
      <c r="F88" s="24">
        <v>19881128</v>
      </c>
      <c r="G88" s="16">
        <f t="shared" si="4"/>
        <v>32475</v>
      </c>
      <c r="H88" s="2">
        <f t="shared" si="5"/>
        <v>32</v>
      </c>
      <c r="I88" s="17"/>
      <c r="J88" s="25">
        <v>20070321</v>
      </c>
      <c r="K88" s="16">
        <f t="shared" si="6"/>
        <v>39162</v>
      </c>
      <c r="L88" s="2">
        <f t="shared" si="7"/>
        <v>14</v>
      </c>
      <c r="M88" s="25"/>
      <c r="N88" s="26"/>
      <c r="O88" s="27" t="s">
        <v>35</v>
      </c>
      <c r="P88" s="70">
        <v>42011</v>
      </c>
      <c r="Q88" s="70" t="s">
        <v>290</v>
      </c>
      <c r="R88" s="22">
        <v>1</v>
      </c>
      <c r="S88" s="22" t="s">
        <v>679</v>
      </c>
      <c r="T88" s="22">
        <v>1</v>
      </c>
    </row>
    <row r="89" spans="1:20">
      <c r="A89">
        <v>70</v>
      </c>
      <c r="B89" s="21">
        <v>86</v>
      </c>
      <c r="C89" s="22">
        <v>2755</v>
      </c>
      <c r="D89" s="22" t="s">
        <v>133</v>
      </c>
      <c r="E89" s="23" t="s">
        <v>15</v>
      </c>
      <c r="F89" s="24">
        <v>19640104</v>
      </c>
      <c r="G89" s="16">
        <f t="shared" si="4"/>
        <v>23380</v>
      </c>
      <c r="H89" s="2">
        <f t="shared" si="5"/>
        <v>57</v>
      </c>
      <c r="I89" s="2"/>
      <c r="J89" s="25">
        <v>19860326</v>
      </c>
      <c r="K89" s="16">
        <f t="shared" si="6"/>
        <v>31497</v>
      </c>
      <c r="L89" s="2">
        <f t="shared" si="7"/>
        <v>35</v>
      </c>
      <c r="M89" s="30"/>
      <c r="N89" s="26"/>
      <c r="O89" s="27" t="s">
        <v>16</v>
      </c>
      <c r="P89" s="70">
        <v>60200</v>
      </c>
      <c r="Q89" s="70" t="s">
        <v>134</v>
      </c>
      <c r="R89" s="22">
        <v>0</v>
      </c>
      <c r="S89" s="22"/>
      <c r="T89" s="22">
        <v>1</v>
      </c>
    </row>
    <row r="90" spans="1:20">
      <c r="A90">
        <v>120</v>
      </c>
      <c r="B90" s="21">
        <v>194</v>
      </c>
      <c r="C90" s="22">
        <v>3212</v>
      </c>
      <c r="D90" s="22" t="s">
        <v>190</v>
      </c>
      <c r="E90" s="23" t="s">
        <v>15</v>
      </c>
      <c r="F90" s="24">
        <v>19811117</v>
      </c>
      <c r="G90" s="16">
        <f t="shared" si="4"/>
        <v>29907</v>
      </c>
      <c r="H90" s="2">
        <f t="shared" si="5"/>
        <v>39</v>
      </c>
      <c r="I90" s="17"/>
      <c r="J90" s="25">
        <v>20040322</v>
      </c>
      <c r="K90" s="16">
        <f t="shared" si="6"/>
        <v>38068</v>
      </c>
      <c r="L90" s="2">
        <f t="shared" si="7"/>
        <v>17</v>
      </c>
      <c r="M90" s="25"/>
      <c r="N90" s="26"/>
      <c r="O90" s="27" t="s">
        <v>16</v>
      </c>
      <c r="P90" s="70">
        <v>80000</v>
      </c>
      <c r="Q90" s="70" t="s">
        <v>172</v>
      </c>
      <c r="R90" s="22">
        <v>0</v>
      </c>
      <c r="S90" s="22"/>
      <c r="T90" s="22">
        <v>1</v>
      </c>
    </row>
    <row r="91" spans="1:20">
      <c r="A91">
        <v>130</v>
      </c>
      <c r="B91" s="21">
        <v>258</v>
      </c>
      <c r="C91" s="22">
        <v>3357</v>
      </c>
      <c r="D91" s="22" t="s">
        <v>200</v>
      </c>
      <c r="E91" s="23" t="s">
        <v>15</v>
      </c>
      <c r="F91" s="24">
        <v>19871130</v>
      </c>
      <c r="G91" s="16">
        <f t="shared" si="4"/>
        <v>32111</v>
      </c>
      <c r="H91" s="2">
        <f t="shared" si="5"/>
        <v>33</v>
      </c>
      <c r="I91" s="17"/>
      <c r="J91" s="25">
        <v>20120321</v>
      </c>
      <c r="K91" s="16">
        <f t="shared" si="6"/>
        <v>40989</v>
      </c>
      <c r="L91" s="2">
        <f t="shared" si="7"/>
        <v>9</v>
      </c>
      <c r="M91" s="25"/>
      <c r="N91" s="26"/>
      <c r="O91" s="27" t="s">
        <v>60</v>
      </c>
      <c r="P91" s="70">
        <v>80000</v>
      </c>
      <c r="Q91" s="70" t="s">
        <v>172</v>
      </c>
      <c r="R91" s="22">
        <v>0</v>
      </c>
      <c r="S91" s="22"/>
      <c r="T91" s="22">
        <v>1</v>
      </c>
    </row>
    <row r="92" spans="1:20">
      <c r="A92">
        <v>64</v>
      </c>
      <c r="B92" s="21">
        <v>199</v>
      </c>
      <c r="C92" s="22">
        <v>3219</v>
      </c>
      <c r="D92" s="22" t="s">
        <v>326</v>
      </c>
      <c r="E92" s="23" t="s">
        <v>15</v>
      </c>
      <c r="F92" s="24">
        <v>19851029</v>
      </c>
      <c r="G92" s="16">
        <f t="shared" si="4"/>
        <v>31349</v>
      </c>
      <c r="H92" s="2">
        <f t="shared" si="5"/>
        <v>35</v>
      </c>
      <c r="I92" s="17"/>
      <c r="J92" s="25">
        <v>20040322</v>
      </c>
      <c r="K92" s="16">
        <f t="shared" si="6"/>
        <v>38068</v>
      </c>
      <c r="L92" s="2">
        <f t="shared" si="7"/>
        <v>17</v>
      </c>
      <c r="M92" s="25"/>
      <c r="N92" s="26"/>
      <c r="O92" s="27" t="s">
        <v>35</v>
      </c>
      <c r="P92" s="70">
        <v>42211</v>
      </c>
      <c r="Q92" s="70" t="s">
        <v>318</v>
      </c>
      <c r="R92" s="22">
        <v>1</v>
      </c>
      <c r="S92" s="22" t="s">
        <v>679</v>
      </c>
      <c r="T92" s="22">
        <v>2</v>
      </c>
    </row>
    <row r="93" spans="1:20">
      <c r="A93">
        <v>170</v>
      </c>
      <c r="B93" s="21">
        <v>156</v>
      </c>
      <c r="C93" s="22">
        <v>3099</v>
      </c>
      <c r="D93" s="22" t="s">
        <v>448</v>
      </c>
      <c r="E93" s="23" t="s">
        <v>15</v>
      </c>
      <c r="F93" s="24">
        <v>19760108</v>
      </c>
      <c r="G93" s="16">
        <f t="shared" si="4"/>
        <v>27767</v>
      </c>
      <c r="H93" s="2">
        <f t="shared" si="5"/>
        <v>45</v>
      </c>
      <c r="I93" s="17"/>
      <c r="J93" s="25">
        <v>19960321</v>
      </c>
      <c r="K93" s="16">
        <f t="shared" si="6"/>
        <v>35145</v>
      </c>
      <c r="L93" s="2">
        <f t="shared" si="7"/>
        <v>25</v>
      </c>
      <c r="M93" s="25"/>
      <c r="N93" s="26"/>
      <c r="O93" s="27" t="s">
        <v>19</v>
      </c>
      <c r="P93" s="70">
        <v>66011</v>
      </c>
      <c r="Q93" s="70" t="s">
        <v>449</v>
      </c>
      <c r="R93" s="22">
        <v>1</v>
      </c>
      <c r="S93" s="22" t="s">
        <v>679</v>
      </c>
      <c r="T93" s="22">
        <v>1</v>
      </c>
    </row>
    <row r="94" spans="1:20">
      <c r="A94">
        <v>37</v>
      </c>
      <c r="B94" s="21">
        <v>371</v>
      </c>
      <c r="C94" s="22">
        <v>3728</v>
      </c>
      <c r="D94" s="22" t="s">
        <v>297</v>
      </c>
      <c r="E94" s="23" t="s">
        <v>15</v>
      </c>
      <c r="F94" s="24">
        <v>19630117</v>
      </c>
      <c r="G94" s="16">
        <f t="shared" si="4"/>
        <v>23028</v>
      </c>
      <c r="H94" s="2">
        <f t="shared" si="5"/>
        <v>58</v>
      </c>
      <c r="I94" s="17"/>
      <c r="J94" s="25">
        <v>19870921</v>
      </c>
      <c r="K94" s="16">
        <f t="shared" si="6"/>
        <v>32041</v>
      </c>
      <c r="L94" s="2">
        <f t="shared" si="7"/>
        <v>33</v>
      </c>
      <c r="M94" s="25"/>
      <c r="N94" s="26"/>
      <c r="O94" s="27" t="s">
        <v>35</v>
      </c>
      <c r="P94" s="70">
        <v>42011</v>
      </c>
      <c r="Q94" s="70" t="s">
        <v>290</v>
      </c>
      <c r="R94" s="22">
        <v>1</v>
      </c>
      <c r="S94" s="22" t="s">
        <v>679</v>
      </c>
      <c r="T94" s="22">
        <v>2</v>
      </c>
    </row>
    <row r="95" spans="1:20">
      <c r="A95">
        <v>47</v>
      </c>
      <c r="B95" s="21">
        <v>67</v>
      </c>
      <c r="C95" s="22">
        <v>2611</v>
      </c>
      <c r="D95" s="22" t="s">
        <v>106</v>
      </c>
      <c r="E95" s="23" t="s">
        <v>15</v>
      </c>
      <c r="F95" s="24">
        <v>19630525</v>
      </c>
      <c r="G95" s="16">
        <f t="shared" si="4"/>
        <v>23156</v>
      </c>
      <c r="H95" s="2">
        <f t="shared" si="5"/>
        <v>58</v>
      </c>
      <c r="I95" s="17"/>
      <c r="J95" s="25">
        <v>19820326</v>
      </c>
      <c r="K95" s="16">
        <f t="shared" si="6"/>
        <v>30036</v>
      </c>
      <c r="L95" s="2">
        <f t="shared" si="7"/>
        <v>39</v>
      </c>
      <c r="M95" s="25"/>
      <c r="N95" s="26"/>
      <c r="O95" s="27" t="s">
        <v>35</v>
      </c>
      <c r="P95" s="70">
        <v>41200</v>
      </c>
      <c r="Q95" s="70" t="s">
        <v>103</v>
      </c>
      <c r="R95" s="22">
        <v>0</v>
      </c>
      <c r="S95" s="22"/>
      <c r="T95" s="22">
        <v>2</v>
      </c>
    </row>
    <row r="96" spans="1:20">
      <c r="A96">
        <v>26</v>
      </c>
      <c r="B96" s="21">
        <v>295</v>
      </c>
      <c r="C96" s="22">
        <v>3417</v>
      </c>
      <c r="D96" s="22" t="s">
        <v>78</v>
      </c>
      <c r="E96" s="23" t="s">
        <v>15</v>
      </c>
      <c r="F96" s="24">
        <v>19951030</v>
      </c>
      <c r="G96" s="16">
        <f t="shared" si="4"/>
        <v>35002</v>
      </c>
      <c r="H96" s="2">
        <f t="shared" si="5"/>
        <v>25</v>
      </c>
      <c r="I96" s="17"/>
      <c r="J96" s="25">
        <v>20140321</v>
      </c>
      <c r="K96" s="16">
        <f t="shared" si="6"/>
        <v>41719</v>
      </c>
      <c r="L96" s="2">
        <f t="shared" si="7"/>
        <v>7</v>
      </c>
      <c r="M96" s="25"/>
      <c r="N96" s="26"/>
      <c r="O96" s="27" t="s">
        <v>35</v>
      </c>
      <c r="P96" s="70">
        <v>31000</v>
      </c>
      <c r="Q96" s="70" t="s">
        <v>72</v>
      </c>
      <c r="R96" s="22">
        <v>0</v>
      </c>
      <c r="S96" s="22"/>
      <c r="T96" s="22">
        <v>2</v>
      </c>
    </row>
    <row r="97" spans="1:20">
      <c r="A97">
        <v>18</v>
      </c>
      <c r="B97" s="21">
        <v>302</v>
      </c>
      <c r="C97" s="22">
        <v>3432</v>
      </c>
      <c r="D97" s="22" t="s">
        <v>65</v>
      </c>
      <c r="E97" s="23" t="s">
        <v>15</v>
      </c>
      <c r="F97" s="24">
        <v>19911110</v>
      </c>
      <c r="G97" s="16">
        <f t="shared" si="4"/>
        <v>33552</v>
      </c>
      <c r="H97" s="2">
        <f t="shared" si="5"/>
        <v>29</v>
      </c>
      <c r="I97" s="17"/>
      <c r="J97" s="25">
        <v>20150401</v>
      </c>
      <c r="K97" s="16">
        <f t="shared" si="6"/>
        <v>42095</v>
      </c>
      <c r="L97" s="2">
        <f t="shared" si="7"/>
        <v>6</v>
      </c>
      <c r="M97" s="25"/>
      <c r="N97" s="26"/>
      <c r="O97" s="27" t="s">
        <v>16</v>
      </c>
      <c r="P97" s="70">
        <v>30000</v>
      </c>
      <c r="Q97" s="70" t="s">
        <v>53</v>
      </c>
      <c r="R97" s="22">
        <v>0</v>
      </c>
      <c r="S97" s="22"/>
      <c r="T97" s="22">
        <v>2</v>
      </c>
    </row>
    <row r="98" spans="1:20">
      <c r="A98">
        <v>54</v>
      </c>
      <c r="B98" s="21">
        <v>359</v>
      </c>
      <c r="C98" s="22">
        <v>3509</v>
      </c>
      <c r="D98" s="22" t="s">
        <v>315</v>
      </c>
      <c r="E98" s="23" t="s">
        <v>15</v>
      </c>
      <c r="F98" s="24">
        <v>20001115</v>
      </c>
      <c r="G98" s="16">
        <f t="shared" si="4"/>
        <v>36845</v>
      </c>
      <c r="H98" s="2">
        <f t="shared" si="5"/>
        <v>20</v>
      </c>
      <c r="I98" s="17"/>
      <c r="J98" s="25">
        <v>20190401</v>
      </c>
      <c r="K98" s="16">
        <f t="shared" si="6"/>
        <v>43556</v>
      </c>
      <c r="L98" s="2">
        <f t="shared" si="7"/>
        <v>2</v>
      </c>
      <c r="M98" s="25"/>
      <c r="N98" s="26"/>
      <c r="O98" s="27">
        <v>6</v>
      </c>
      <c r="P98" s="70">
        <v>42111</v>
      </c>
      <c r="Q98" s="70" t="s">
        <v>305</v>
      </c>
      <c r="R98" s="22">
        <v>1</v>
      </c>
      <c r="S98" s="22" t="s">
        <v>679</v>
      </c>
      <c r="T98" s="22">
        <v>2</v>
      </c>
    </row>
    <row r="99" spans="1:20">
      <c r="A99">
        <v>131</v>
      </c>
      <c r="B99" s="21">
        <v>28</v>
      </c>
      <c r="C99" s="22">
        <v>1359</v>
      </c>
      <c r="D99" s="22" t="s">
        <v>403</v>
      </c>
      <c r="E99" s="23" t="s">
        <v>15</v>
      </c>
      <c r="F99" s="24">
        <v>19720520</v>
      </c>
      <c r="G99" s="16">
        <f t="shared" si="4"/>
        <v>26439</v>
      </c>
      <c r="H99" s="2">
        <f t="shared" si="5"/>
        <v>49</v>
      </c>
      <c r="I99" s="17"/>
      <c r="J99" s="25">
        <v>20081021</v>
      </c>
      <c r="K99" s="16">
        <f t="shared" si="6"/>
        <v>39742</v>
      </c>
      <c r="L99" s="2">
        <f t="shared" si="7"/>
        <v>12</v>
      </c>
      <c r="M99" s="25"/>
      <c r="N99" s="26"/>
      <c r="O99" s="27" t="s">
        <v>35</v>
      </c>
      <c r="P99" s="70">
        <v>45111</v>
      </c>
      <c r="Q99" s="70" t="s">
        <v>396</v>
      </c>
      <c r="R99" s="22">
        <v>1</v>
      </c>
      <c r="S99" s="22" t="s">
        <v>679</v>
      </c>
      <c r="T99" s="22">
        <v>2</v>
      </c>
    </row>
    <row r="100" spans="1:20">
      <c r="A100">
        <v>185</v>
      </c>
      <c r="B100" s="21">
        <v>368</v>
      </c>
      <c r="C100" s="22">
        <v>3521</v>
      </c>
      <c r="D100" s="22" t="s">
        <v>464</v>
      </c>
      <c r="E100" s="23" t="s">
        <v>678</v>
      </c>
      <c r="F100" s="24">
        <v>20020322</v>
      </c>
      <c r="G100" s="16">
        <f t="shared" si="4"/>
        <v>37337</v>
      </c>
      <c r="H100" s="2">
        <f t="shared" si="5"/>
        <v>19</v>
      </c>
      <c r="I100" s="17"/>
      <c r="J100" s="25">
        <v>20200401</v>
      </c>
      <c r="K100" s="16">
        <f t="shared" si="6"/>
        <v>43922</v>
      </c>
      <c r="L100" s="2">
        <f t="shared" si="7"/>
        <v>1</v>
      </c>
      <c r="M100" s="25"/>
      <c r="N100" s="26"/>
      <c r="O100" s="27">
        <v>6</v>
      </c>
      <c r="P100" s="70">
        <v>65011</v>
      </c>
      <c r="Q100" s="70" t="s">
        <v>433</v>
      </c>
      <c r="R100" s="22">
        <v>1</v>
      </c>
      <c r="S100" s="22" t="s">
        <v>679</v>
      </c>
      <c r="T100" s="22">
        <v>2</v>
      </c>
    </row>
    <row r="101" spans="1:20">
      <c r="A101">
        <v>116</v>
      </c>
      <c r="B101" s="21">
        <v>187</v>
      </c>
      <c r="C101" s="22">
        <v>3194</v>
      </c>
      <c r="D101" s="22" t="s">
        <v>186</v>
      </c>
      <c r="E101" s="23" t="s">
        <v>15</v>
      </c>
      <c r="F101" s="24">
        <v>19810122</v>
      </c>
      <c r="G101" s="16">
        <f t="shared" si="4"/>
        <v>29608</v>
      </c>
      <c r="H101" s="2">
        <f t="shared" si="5"/>
        <v>40</v>
      </c>
      <c r="I101" s="17"/>
      <c r="J101" s="25">
        <v>20030321</v>
      </c>
      <c r="K101" s="16">
        <f t="shared" si="6"/>
        <v>37701</v>
      </c>
      <c r="L101" s="2">
        <f t="shared" si="7"/>
        <v>18</v>
      </c>
      <c r="M101" s="25"/>
      <c r="N101" s="26"/>
      <c r="O101" s="27" t="s">
        <v>16</v>
      </c>
      <c r="P101" s="70">
        <v>80000</v>
      </c>
      <c r="Q101" s="70" t="s">
        <v>172</v>
      </c>
      <c r="R101" s="22">
        <v>0</v>
      </c>
      <c r="S101" s="22"/>
      <c r="T101" s="22">
        <v>1</v>
      </c>
    </row>
    <row r="102" spans="1:20">
      <c r="A102">
        <v>23</v>
      </c>
      <c r="B102" s="21">
        <v>204</v>
      </c>
      <c r="C102" s="22">
        <v>3233</v>
      </c>
      <c r="D102" s="22" t="s">
        <v>73</v>
      </c>
      <c r="E102" s="23" t="s">
        <v>15</v>
      </c>
      <c r="F102" s="24">
        <v>19861015</v>
      </c>
      <c r="G102" s="16">
        <f t="shared" si="4"/>
        <v>31700</v>
      </c>
      <c r="H102" s="2">
        <f t="shared" si="5"/>
        <v>34</v>
      </c>
      <c r="I102" s="17"/>
      <c r="J102" s="25">
        <v>20050321</v>
      </c>
      <c r="K102" s="16">
        <f t="shared" si="6"/>
        <v>38432</v>
      </c>
      <c r="L102" s="2">
        <f t="shared" si="7"/>
        <v>16</v>
      </c>
      <c r="M102" s="25"/>
      <c r="N102" s="26"/>
      <c r="O102" s="27" t="s">
        <v>35</v>
      </c>
      <c r="P102" s="70">
        <v>31000</v>
      </c>
      <c r="Q102" s="70" t="s">
        <v>72</v>
      </c>
      <c r="R102" s="22">
        <v>0</v>
      </c>
      <c r="S102" s="22"/>
      <c r="T102" s="22">
        <v>1</v>
      </c>
    </row>
    <row r="103" spans="1:20">
      <c r="A103">
        <v>77</v>
      </c>
      <c r="B103" s="21">
        <v>418</v>
      </c>
      <c r="C103" s="22">
        <v>3959</v>
      </c>
      <c r="D103" s="22" t="s">
        <v>142</v>
      </c>
      <c r="E103" s="23" t="s">
        <v>15</v>
      </c>
      <c r="F103" s="24">
        <v>19670717</v>
      </c>
      <c r="G103" s="16">
        <f t="shared" si="4"/>
        <v>24670</v>
      </c>
      <c r="H103" s="2">
        <f t="shared" si="5"/>
        <v>54</v>
      </c>
      <c r="I103" s="17"/>
      <c r="J103" s="25">
        <v>20070613</v>
      </c>
      <c r="K103" s="16">
        <f t="shared" si="6"/>
        <v>39246</v>
      </c>
      <c r="L103" s="2">
        <f t="shared" si="7"/>
        <v>14</v>
      </c>
      <c r="M103" s="25"/>
      <c r="N103" s="26"/>
      <c r="O103" s="27" t="s">
        <v>16</v>
      </c>
      <c r="P103" s="70">
        <v>60300</v>
      </c>
      <c r="Q103" s="70" t="s">
        <v>138</v>
      </c>
      <c r="R103" s="22">
        <v>0</v>
      </c>
      <c r="S103" s="155"/>
      <c r="T103" s="22">
        <v>2</v>
      </c>
    </row>
    <row r="104" spans="1:20">
      <c r="A104">
        <v>194</v>
      </c>
      <c r="B104" s="21">
        <v>223</v>
      </c>
      <c r="C104" s="22">
        <v>3282</v>
      </c>
      <c r="D104" s="22" t="s">
        <v>474</v>
      </c>
      <c r="E104" s="23" t="s">
        <v>15</v>
      </c>
      <c r="F104" s="24">
        <v>19860704</v>
      </c>
      <c r="G104" s="16">
        <f t="shared" si="4"/>
        <v>31597</v>
      </c>
      <c r="H104" s="2">
        <f t="shared" si="5"/>
        <v>35</v>
      </c>
      <c r="I104" s="17"/>
      <c r="J104" s="25">
        <v>20080324</v>
      </c>
      <c r="K104" s="16">
        <f t="shared" si="6"/>
        <v>39531</v>
      </c>
      <c r="L104" s="2">
        <f t="shared" si="7"/>
        <v>13</v>
      </c>
      <c r="M104" s="25"/>
      <c r="N104" s="26"/>
      <c r="O104" s="27" t="s">
        <v>19</v>
      </c>
      <c r="P104" s="70">
        <v>67011</v>
      </c>
      <c r="Q104" s="70" t="s">
        <v>466</v>
      </c>
      <c r="R104" s="22">
        <v>1</v>
      </c>
      <c r="S104" s="22" t="s">
        <v>679</v>
      </c>
      <c r="T104" s="22">
        <v>2</v>
      </c>
    </row>
    <row r="105" spans="1:20">
      <c r="A105">
        <v>32</v>
      </c>
      <c r="B105" s="21">
        <v>68</v>
      </c>
      <c r="C105" s="22">
        <v>2612</v>
      </c>
      <c r="D105" s="22" t="s">
        <v>86</v>
      </c>
      <c r="E105" s="23" t="s">
        <v>15</v>
      </c>
      <c r="F105" s="24">
        <v>19630414</v>
      </c>
      <c r="G105" s="16">
        <f t="shared" si="4"/>
        <v>23115</v>
      </c>
      <c r="H105" s="2">
        <f t="shared" si="5"/>
        <v>58</v>
      </c>
      <c r="I105" s="17"/>
      <c r="J105" s="25">
        <v>19820323</v>
      </c>
      <c r="K105" s="16">
        <f t="shared" si="6"/>
        <v>30033</v>
      </c>
      <c r="L105" s="2">
        <f t="shared" si="7"/>
        <v>39</v>
      </c>
      <c r="M105" s="25"/>
      <c r="N105" s="26"/>
      <c r="O105" s="27" t="s">
        <v>35</v>
      </c>
      <c r="P105" s="70">
        <v>40000</v>
      </c>
      <c r="Q105" s="70" t="s">
        <v>87</v>
      </c>
      <c r="R105" s="22">
        <v>0</v>
      </c>
      <c r="S105" s="22"/>
      <c r="T105" s="22">
        <v>1</v>
      </c>
    </row>
    <row r="106" spans="1:20">
      <c r="A106">
        <v>8</v>
      </c>
      <c r="B106" s="21">
        <v>456</v>
      </c>
      <c r="C106" s="22">
        <v>5122</v>
      </c>
      <c r="D106" s="22" t="s">
        <v>265</v>
      </c>
      <c r="E106" s="23" t="s">
        <v>15</v>
      </c>
      <c r="F106" s="24">
        <v>19670906</v>
      </c>
      <c r="G106" s="16">
        <f t="shared" si="4"/>
        <v>24721</v>
      </c>
      <c r="H106" s="2">
        <f t="shared" si="5"/>
        <v>53</v>
      </c>
      <c r="I106" s="17"/>
      <c r="J106" s="25">
        <v>19850326</v>
      </c>
      <c r="K106" s="16">
        <f t="shared" si="6"/>
        <v>31132</v>
      </c>
      <c r="L106" s="2">
        <f t="shared" si="7"/>
        <v>36</v>
      </c>
      <c r="M106" s="25"/>
      <c r="N106" s="26"/>
      <c r="O106" s="27" t="s">
        <v>75</v>
      </c>
      <c r="P106" s="70">
        <v>41011</v>
      </c>
      <c r="Q106" s="70" t="s">
        <v>258</v>
      </c>
      <c r="R106" s="22">
        <v>1</v>
      </c>
      <c r="S106" s="22" t="s">
        <v>679</v>
      </c>
      <c r="T106" s="22">
        <v>2</v>
      </c>
    </row>
    <row r="107" spans="1:20">
      <c r="A107">
        <v>94</v>
      </c>
      <c r="B107" s="21">
        <v>142</v>
      </c>
      <c r="C107" s="22">
        <v>3040</v>
      </c>
      <c r="D107" s="22" t="s">
        <v>161</v>
      </c>
      <c r="E107" s="23" t="s">
        <v>15</v>
      </c>
      <c r="F107" s="24">
        <v>19750101</v>
      </c>
      <c r="G107" s="16">
        <f t="shared" si="4"/>
        <v>27395</v>
      </c>
      <c r="H107" s="2">
        <f t="shared" si="5"/>
        <v>46</v>
      </c>
      <c r="I107" s="17"/>
      <c r="J107" s="25">
        <v>19950322</v>
      </c>
      <c r="K107" s="16">
        <f t="shared" si="6"/>
        <v>34780</v>
      </c>
      <c r="L107" s="2">
        <f t="shared" si="7"/>
        <v>26</v>
      </c>
      <c r="M107" s="25"/>
      <c r="N107" s="26"/>
      <c r="O107" s="27" t="s">
        <v>19</v>
      </c>
      <c r="P107" s="70">
        <v>61300</v>
      </c>
      <c r="Q107" s="70" t="s">
        <v>162</v>
      </c>
      <c r="R107" s="22">
        <v>0</v>
      </c>
      <c r="S107" s="22"/>
      <c r="T107" s="22">
        <v>1</v>
      </c>
    </row>
    <row r="108" spans="1:20">
      <c r="A108">
        <v>15</v>
      </c>
      <c r="B108" s="21">
        <v>195</v>
      </c>
      <c r="C108" s="22">
        <v>3213</v>
      </c>
      <c r="D108" s="22" t="s">
        <v>62</v>
      </c>
      <c r="E108" s="23" t="s">
        <v>15</v>
      </c>
      <c r="F108" s="24">
        <v>19810421</v>
      </c>
      <c r="G108" s="16">
        <f t="shared" si="4"/>
        <v>29697</v>
      </c>
      <c r="H108" s="2">
        <f t="shared" si="5"/>
        <v>40</v>
      </c>
      <c r="I108" s="17"/>
      <c r="J108" s="25">
        <v>20040322</v>
      </c>
      <c r="K108" s="16">
        <f t="shared" si="6"/>
        <v>38068</v>
      </c>
      <c r="L108" s="2">
        <f t="shared" si="7"/>
        <v>17</v>
      </c>
      <c r="M108" s="25"/>
      <c r="N108" s="26"/>
      <c r="O108" s="27" t="s">
        <v>16</v>
      </c>
      <c r="P108" s="70">
        <v>30000</v>
      </c>
      <c r="Q108" s="70" t="s">
        <v>53</v>
      </c>
      <c r="R108" s="22">
        <v>0</v>
      </c>
      <c r="S108" s="22"/>
      <c r="T108" s="22">
        <v>1</v>
      </c>
    </row>
    <row r="109" spans="1:20">
      <c r="A109">
        <v>92</v>
      </c>
      <c r="B109" s="21">
        <v>214</v>
      </c>
      <c r="C109" s="22">
        <v>3255</v>
      </c>
      <c r="D109" s="22" t="s">
        <v>358</v>
      </c>
      <c r="E109" s="23" t="s">
        <v>15</v>
      </c>
      <c r="F109" s="24">
        <v>19870615</v>
      </c>
      <c r="G109" s="16">
        <f t="shared" si="4"/>
        <v>31943</v>
      </c>
      <c r="H109" s="2">
        <f t="shared" si="5"/>
        <v>34</v>
      </c>
      <c r="I109" s="17"/>
      <c r="J109" s="25">
        <v>20060321</v>
      </c>
      <c r="K109" s="16">
        <f t="shared" si="6"/>
        <v>38797</v>
      </c>
      <c r="L109" s="2">
        <f t="shared" si="7"/>
        <v>15</v>
      </c>
      <c r="M109" s="25"/>
      <c r="N109" s="26"/>
      <c r="O109" s="27" t="s">
        <v>35</v>
      </c>
      <c r="P109" s="70">
        <v>43011</v>
      </c>
      <c r="Q109" s="70" t="s">
        <v>349</v>
      </c>
      <c r="R109" s="22">
        <v>1</v>
      </c>
      <c r="S109" s="22" t="s">
        <v>679</v>
      </c>
      <c r="T109" s="22">
        <v>2</v>
      </c>
    </row>
    <row r="110" spans="1:20">
      <c r="A110">
        <v>40</v>
      </c>
      <c r="B110" s="21">
        <v>392</v>
      </c>
      <c r="C110" s="22">
        <v>3888</v>
      </c>
      <c r="D110" s="22" t="s">
        <v>300</v>
      </c>
      <c r="E110" s="23" t="s">
        <v>15</v>
      </c>
      <c r="F110" s="24">
        <v>19721231</v>
      </c>
      <c r="G110" s="16">
        <f t="shared" si="4"/>
        <v>26664</v>
      </c>
      <c r="H110" s="2">
        <f t="shared" si="5"/>
        <v>48</v>
      </c>
      <c r="I110" s="17"/>
      <c r="J110" s="25">
        <v>19910325</v>
      </c>
      <c r="K110" s="16">
        <f t="shared" si="6"/>
        <v>33322</v>
      </c>
      <c r="L110" s="2">
        <f t="shared" si="7"/>
        <v>30</v>
      </c>
      <c r="M110" s="25"/>
      <c r="N110" s="26"/>
      <c r="O110" s="27" t="s">
        <v>35</v>
      </c>
      <c r="P110" s="70">
        <v>42011</v>
      </c>
      <c r="Q110" s="70" t="s">
        <v>290</v>
      </c>
      <c r="R110" s="22">
        <v>1</v>
      </c>
      <c r="S110" s="22" t="s">
        <v>679</v>
      </c>
      <c r="T110" s="22">
        <v>2</v>
      </c>
    </row>
    <row r="111" spans="1:20">
      <c r="A111">
        <v>95</v>
      </c>
      <c r="B111" s="21">
        <v>345</v>
      </c>
      <c r="C111" s="22">
        <v>3492</v>
      </c>
      <c r="D111" s="22" t="s">
        <v>361</v>
      </c>
      <c r="E111" s="23" t="s">
        <v>15</v>
      </c>
      <c r="F111" s="24">
        <v>19991229</v>
      </c>
      <c r="G111" s="16">
        <f t="shared" si="4"/>
        <v>36523</v>
      </c>
      <c r="H111" s="2">
        <f t="shared" si="5"/>
        <v>21</v>
      </c>
      <c r="I111" s="17"/>
      <c r="J111" s="25">
        <v>20180402</v>
      </c>
      <c r="K111" s="16">
        <f t="shared" si="6"/>
        <v>43192</v>
      </c>
      <c r="L111" s="2">
        <f t="shared" si="7"/>
        <v>3</v>
      </c>
      <c r="M111" s="25"/>
      <c r="N111" s="26"/>
      <c r="O111" s="27">
        <v>6</v>
      </c>
      <c r="P111" s="70">
        <v>43011</v>
      </c>
      <c r="Q111" s="70" t="s">
        <v>349</v>
      </c>
      <c r="R111" s="22">
        <v>1</v>
      </c>
      <c r="S111" s="22" t="s">
        <v>679</v>
      </c>
      <c r="T111" s="22">
        <v>2</v>
      </c>
    </row>
    <row r="112" spans="1:20">
      <c r="A112">
        <v>12</v>
      </c>
      <c r="B112" s="21">
        <v>160</v>
      </c>
      <c r="C112" s="22">
        <v>3109</v>
      </c>
      <c r="D112" s="22" t="s">
        <v>57</v>
      </c>
      <c r="E112" s="23" t="s">
        <v>15</v>
      </c>
      <c r="F112" s="24">
        <v>19771025</v>
      </c>
      <c r="G112" s="16">
        <f t="shared" si="4"/>
        <v>28423</v>
      </c>
      <c r="H112" s="2">
        <f t="shared" si="5"/>
        <v>43</v>
      </c>
      <c r="I112" s="17"/>
      <c r="J112" s="25">
        <v>19960321</v>
      </c>
      <c r="K112" s="16">
        <f t="shared" si="6"/>
        <v>35145</v>
      </c>
      <c r="L112" s="2">
        <f t="shared" si="7"/>
        <v>25</v>
      </c>
      <c r="M112" s="25"/>
      <c r="N112" s="26"/>
      <c r="O112" s="27" t="s">
        <v>58</v>
      </c>
      <c r="P112" s="70">
        <v>30000</v>
      </c>
      <c r="Q112" s="70" t="s">
        <v>53</v>
      </c>
      <c r="R112" s="22">
        <v>0</v>
      </c>
      <c r="S112" s="22"/>
      <c r="T112" s="22">
        <v>1</v>
      </c>
    </row>
    <row r="113" spans="1:20">
      <c r="A113">
        <v>18</v>
      </c>
      <c r="B113" s="21">
        <v>332</v>
      </c>
      <c r="C113" s="22">
        <v>3476</v>
      </c>
      <c r="D113" s="22" t="s">
        <v>275</v>
      </c>
      <c r="E113" s="23" t="s">
        <v>15</v>
      </c>
      <c r="F113" s="24">
        <v>19980404</v>
      </c>
      <c r="G113" s="16">
        <f t="shared" si="4"/>
        <v>35889</v>
      </c>
      <c r="H113" s="2">
        <f t="shared" si="5"/>
        <v>23</v>
      </c>
      <c r="I113" s="17"/>
      <c r="J113" s="25">
        <v>20170403</v>
      </c>
      <c r="K113" s="16">
        <f t="shared" si="6"/>
        <v>42828</v>
      </c>
      <c r="L113" s="2">
        <f t="shared" si="7"/>
        <v>4</v>
      </c>
      <c r="M113" s="25"/>
      <c r="N113" s="26"/>
      <c r="O113" s="27">
        <v>6</v>
      </c>
      <c r="P113" s="70">
        <v>41011</v>
      </c>
      <c r="Q113" s="70" t="s">
        <v>258</v>
      </c>
      <c r="R113" s="22">
        <v>1</v>
      </c>
      <c r="S113" s="22" t="s">
        <v>679</v>
      </c>
      <c r="T113" s="22">
        <v>2</v>
      </c>
    </row>
    <row r="114" spans="1:20">
      <c r="A114">
        <v>19</v>
      </c>
      <c r="B114" s="21">
        <v>315</v>
      </c>
      <c r="C114" s="22">
        <v>3451</v>
      </c>
      <c r="D114" s="22" t="s">
        <v>66</v>
      </c>
      <c r="E114" s="23" t="s">
        <v>15</v>
      </c>
      <c r="F114" s="24">
        <v>19930902</v>
      </c>
      <c r="G114" s="16">
        <f t="shared" si="4"/>
        <v>34214</v>
      </c>
      <c r="H114" s="2">
        <f t="shared" si="5"/>
        <v>27</v>
      </c>
      <c r="I114" s="17"/>
      <c r="J114" s="25">
        <v>20160401</v>
      </c>
      <c r="K114" s="16">
        <f t="shared" si="6"/>
        <v>42461</v>
      </c>
      <c r="L114" s="2">
        <f t="shared" si="7"/>
        <v>5</v>
      </c>
      <c r="M114" s="25"/>
      <c r="N114" s="26"/>
      <c r="O114" s="27" t="s">
        <v>16</v>
      </c>
      <c r="P114" s="70">
        <v>30000</v>
      </c>
      <c r="Q114" s="70" t="s">
        <v>53</v>
      </c>
      <c r="R114" s="22">
        <v>0</v>
      </c>
      <c r="S114" s="22"/>
      <c r="T114" s="22">
        <v>2</v>
      </c>
    </row>
    <row r="115" spans="1:20">
      <c r="A115">
        <v>61</v>
      </c>
      <c r="B115" s="21">
        <v>457</v>
      </c>
      <c r="C115" s="22">
        <v>5132</v>
      </c>
      <c r="D115" s="22" t="s">
        <v>323</v>
      </c>
      <c r="E115" s="23" t="s">
        <v>15</v>
      </c>
      <c r="F115" s="24">
        <v>19691206</v>
      </c>
      <c r="G115" s="16">
        <f t="shared" si="4"/>
        <v>25543</v>
      </c>
      <c r="H115" s="2">
        <f t="shared" si="5"/>
        <v>51</v>
      </c>
      <c r="I115" s="17"/>
      <c r="J115" s="25">
        <v>19850326</v>
      </c>
      <c r="K115" s="16">
        <f t="shared" si="6"/>
        <v>31132</v>
      </c>
      <c r="L115" s="2">
        <f t="shared" si="7"/>
        <v>36</v>
      </c>
      <c r="M115" s="25"/>
      <c r="N115" s="26"/>
      <c r="O115" s="27" t="s">
        <v>77</v>
      </c>
      <c r="P115" s="70">
        <v>42211</v>
      </c>
      <c r="Q115" s="70" t="s">
        <v>318</v>
      </c>
      <c r="R115" s="22">
        <v>1</v>
      </c>
      <c r="S115" s="22" t="s">
        <v>679</v>
      </c>
      <c r="T115" s="22">
        <v>2</v>
      </c>
    </row>
    <row r="116" spans="1:20">
      <c r="A116">
        <v>225</v>
      </c>
      <c r="B116" s="21">
        <v>382</v>
      </c>
      <c r="C116" s="22">
        <v>3861</v>
      </c>
      <c r="D116" s="22" t="s">
        <v>510</v>
      </c>
      <c r="E116" s="23" t="s">
        <v>15</v>
      </c>
      <c r="F116" s="24">
        <v>19621024</v>
      </c>
      <c r="G116" s="16">
        <f t="shared" si="4"/>
        <v>22943</v>
      </c>
      <c r="H116" s="2">
        <f t="shared" si="5"/>
        <v>58</v>
      </c>
      <c r="I116" s="17"/>
      <c r="J116" s="25">
        <v>19810309</v>
      </c>
      <c r="K116" s="16">
        <f t="shared" si="6"/>
        <v>29654</v>
      </c>
      <c r="L116" s="2">
        <f t="shared" si="7"/>
        <v>40</v>
      </c>
      <c r="M116" s="25"/>
      <c r="N116" s="26"/>
      <c r="O116" s="27" t="s">
        <v>35</v>
      </c>
      <c r="P116" s="70">
        <v>69211</v>
      </c>
      <c r="Q116" s="70" t="s">
        <v>508</v>
      </c>
      <c r="R116" s="22">
        <v>1</v>
      </c>
      <c r="S116" s="22" t="s">
        <v>679</v>
      </c>
      <c r="T116" s="22">
        <v>2</v>
      </c>
    </row>
    <row r="117" spans="1:20">
      <c r="A117">
        <v>11</v>
      </c>
      <c r="B117" s="21">
        <v>399</v>
      </c>
      <c r="C117" s="22">
        <v>3903</v>
      </c>
      <c r="D117" s="22" t="s">
        <v>268</v>
      </c>
      <c r="E117" s="23" t="s">
        <v>15</v>
      </c>
      <c r="F117" s="24">
        <v>19650102</v>
      </c>
      <c r="G117" s="16">
        <f t="shared" si="4"/>
        <v>23744</v>
      </c>
      <c r="H117" s="2">
        <f t="shared" si="5"/>
        <v>56</v>
      </c>
      <c r="I117" s="17"/>
      <c r="J117" s="25">
        <v>20010315</v>
      </c>
      <c r="K117" s="16">
        <f t="shared" si="6"/>
        <v>36965</v>
      </c>
      <c r="L117" s="2">
        <f t="shared" si="7"/>
        <v>20</v>
      </c>
      <c r="M117" s="25"/>
      <c r="N117" s="26"/>
      <c r="O117" s="27" t="s">
        <v>35</v>
      </c>
      <c r="P117" s="70">
        <v>41011</v>
      </c>
      <c r="Q117" s="70" t="s">
        <v>258</v>
      </c>
      <c r="R117" s="22">
        <v>1</v>
      </c>
      <c r="S117" s="22" t="s">
        <v>679</v>
      </c>
      <c r="T117" s="22">
        <v>2</v>
      </c>
    </row>
    <row r="118" spans="1:20">
      <c r="A118">
        <v>93</v>
      </c>
      <c r="B118" s="21">
        <v>303</v>
      </c>
      <c r="C118" s="22">
        <v>3435</v>
      </c>
      <c r="D118" s="22" t="s">
        <v>359</v>
      </c>
      <c r="E118" s="23" t="s">
        <v>15</v>
      </c>
      <c r="F118" s="24">
        <v>19970122</v>
      </c>
      <c r="G118" s="16">
        <f t="shared" si="4"/>
        <v>35452</v>
      </c>
      <c r="H118" s="2">
        <f t="shared" si="5"/>
        <v>24</v>
      </c>
      <c r="I118" s="17"/>
      <c r="J118" s="25">
        <v>20150401</v>
      </c>
      <c r="K118" s="16">
        <f t="shared" si="6"/>
        <v>42095</v>
      </c>
      <c r="L118" s="2">
        <f t="shared" si="7"/>
        <v>6</v>
      </c>
      <c r="M118" s="25"/>
      <c r="N118" s="26"/>
      <c r="O118" s="27" t="s">
        <v>35</v>
      </c>
      <c r="P118" s="70">
        <v>43011</v>
      </c>
      <c r="Q118" s="70" t="s">
        <v>349</v>
      </c>
      <c r="R118" s="22">
        <v>1</v>
      </c>
      <c r="S118" s="22" t="s">
        <v>679</v>
      </c>
      <c r="T118" s="22">
        <v>2</v>
      </c>
    </row>
    <row r="119" spans="1:20">
      <c r="A119">
        <v>165</v>
      </c>
      <c r="B119" s="21">
        <v>420</v>
      </c>
      <c r="C119" s="22">
        <v>3963</v>
      </c>
      <c r="D119" s="22" t="s">
        <v>443</v>
      </c>
      <c r="E119" s="23" t="s">
        <v>15</v>
      </c>
      <c r="F119" s="24">
        <v>19690805</v>
      </c>
      <c r="G119" s="16">
        <f t="shared" si="4"/>
        <v>25420</v>
      </c>
      <c r="H119" s="2">
        <f t="shared" si="5"/>
        <v>52</v>
      </c>
      <c r="I119" s="17"/>
      <c r="J119" s="25">
        <v>20070702</v>
      </c>
      <c r="K119" s="16">
        <f t="shared" si="6"/>
        <v>39265</v>
      </c>
      <c r="L119" s="2">
        <f t="shared" si="7"/>
        <v>14</v>
      </c>
      <c r="M119" s="25"/>
      <c r="N119" s="26"/>
      <c r="O119" s="27" t="s">
        <v>35</v>
      </c>
      <c r="P119" s="70">
        <v>65011</v>
      </c>
      <c r="Q119" s="70" t="s">
        <v>433</v>
      </c>
      <c r="R119" s="22">
        <v>1</v>
      </c>
      <c r="S119" s="22" t="s">
        <v>679</v>
      </c>
      <c r="T119" s="22">
        <v>2</v>
      </c>
    </row>
    <row r="120" spans="1:20">
      <c r="A120">
        <v>10</v>
      </c>
      <c r="B120" s="21">
        <v>111</v>
      </c>
      <c r="C120" s="22">
        <v>2910</v>
      </c>
      <c r="D120" s="22" t="s">
        <v>55</v>
      </c>
      <c r="E120" s="23" t="s">
        <v>15</v>
      </c>
      <c r="F120" s="24">
        <v>19740126</v>
      </c>
      <c r="G120" s="16">
        <f t="shared" si="4"/>
        <v>27055</v>
      </c>
      <c r="H120" s="2">
        <f t="shared" si="5"/>
        <v>47</v>
      </c>
      <c r="I120" s="17"/>
      <c r="J120" s="25">
        <v>19920323</v>
      </c>
      <c r="K120" s="16">
        <f t="shared" si="6"/>
        <v>33686</v>
      </c>
      <c r="L120" s="2">
        <f t="shared" si="7"/>
        <v>29</v>
      </c>
      <c r="M120" s="25"/>
      <c r="N120" s="26"/>
      <c r="O120" s="27" t="s">
        <v>35</v>
      </c>
      <c r="P120" s="70">
        <v>30000</v>
      </c>
      <c r="Q120" s="70" t="s">
        <v>53</v>
      </c>
      <c r="R120" s="22">
        <v>0</v>
      </c>
      <c r="S120" s="22"/>
      <c r="T120" s="22">
        <v>1</v>
      </c>
    </row>
    <row r="121" spans="1:20">
      <c r="A121">
        <v>73</v>
      </c>
      <c r="B121" s="21">
        <v>17</v>
      </c>
      <c r="C121" s="22">
        <v>1341</v>
      </c>
      <c r="D121" s="22" t="s">
        <v>137</v>
      </c>
      <c r="E121" s="23" t="s">
        <v>15</v>
      </c>
      <c r="F121" s="24">
        <v>19710325</v>
      </c>
      <c r="G121" s="16">
        <f t="shared" si="4"/>
        <v>26017</v>
      </c>
      <c r="H121" s="2">
        <f t="shared" si="5"/>
        <v>50</v>
      </c>
      <c r="I121" s="17"/>
      <c r="J121" s="25">
        <v>20060321</v>
      </c>
      <c r="K121" s="16">
        <f t="shared" si="6"/>
        <v>38797</v>
      </c>
      <c r="L121" s="2">
        <f t="shared" si="7"/>
        <v>15</v>
      </c>
      <c r="M121" s="25"/>
      <c r="N121" s="26"/>
      <c r="O121" s="27" t="s">
        <v>35</v>
      </c>
      <c r="P121" s="70">
        <v>60300</v>
      </c>
      <c r="Q121" s="70" t="s">
        <v>138</v>
      </c>
      <c r="R121" s="22">
        <v>0</v>
      </c>
      <c r="S121" s="155"/>
      <c r="T121" s="22">
        <v>1</v>
      </c>
    </row>
    <row r="122" spans="1:20">
      <c r="A122">
        <v>66</v>
      </c>
      <c r="B122" s="21">
        <v>301</v>
      </c>
      <c r="C122" s="22">
        <v>3431</v>
      </c>
      <c r="D122" s="22" t="s">
        <v>128</v>
      </c>
      <c r="E122" s="23" t="s">
        <v>15</v>
      </c>
      <c r="F122" s="24">
        <v>19920811</v>
      </c>
      <c r="G122" s="16">
        <f t="shared" si="4"/>
        <v>33827</v>
      </c>
      <c r="H122" s="2">
        <f t="shared" si="5"/>
        <v>29</v>
      </c>
      <c r="I122" s="17"/>
      <c r="J122" s="25">
        <v>20150401</v>
      </c>
      <c r="K122" s="16">
        <f t="shared" si="6"/>
        <v>42095</v>
      </c>
      <c r="L122" s="2">
        <f t="shared" si="7"/>
        <v>6</v>
      </c>
      <c r="M122" s="25"/>
      <c r="N122" s="26"/>
      <c r="O122" s="27" t="s">
        <v>16</v>
      </c>
      <c r="P122" s="70">
        <v>51000</v>
      </c>
      <c r="Q122" s="70" t="s">
        <v>124</v>
      </c>
      <c r="R122" s="22">
        <v>0</v>
      </c>
      <c r="S122" s="22"/>
      <c r="T122" s="22">
        <v>2</v>
      </c>
    </row>
    <row r="123" spans="1:20">
      <c r="A123">
        <v>218</v>
      </c>
      <c r="B123" s="21">
        <v>23</v>
      </c>
      <c r="C123" s="22">
        <v>1349</v>
      </c>
      <c r="D123" s="22" t="s">
        <v>501</v>
      </c>
      <c r="E123" s="23" t="s">
        <v>15</v>
      </c>
      <c r="F123" s="24">
        <v>19740326</v>
      </c>
      <c r="G123" s="16">
        <f t="shared" si="4"/>
        <v>27114</v>
      </c>
      <c r="H123" s="2">
        <f t="shared" si="5"/>
        <v>47</v>
      </c>
      <c r="I123" s="17"/>
      <c r="J123" s="25">
        <v>20080331</v>
      </c>
      <c r="K123" s="16">
        <f t="shared" si="6"/>
        <v>39538</v>
      </c>
      <c r="L123" s="2">
        <f t="shared" si="7"/>
        <v>13</v>
      </c>
      <c r="M123" s="25"/>
      <c r="N123" s="26"/>
      <c r="O123" s="27" t="s">
        <v>16</v>
      </c>
      <c r="P123" s="70">
        <v>69011</v>
      </c>
      <c r="Q123" s="70" t="s">
        <v>489</v>
      </c>
      <c r="R123" s="22">
        <v>1</v>
      </c>
      <c r="S123" s="22" t="s">
        <v>679</v>
      </c>
      <c r="T123" s="22">
        <v>2</v>
      </c>
    </row>
    <row r="124" spans="1:20">
      <c r="A124">
        <v>102</v>
      </c>
      <c r="B124" s="21">
        <v>273</v>
      </c>
      <c r="C124" s="22">
        <v>3380</v>
      </c>
      <c r="D124" s="22" t="s">
        <v>170</v>
      </c>
      <c r="E124" s="23" t="s">
        <v>15</v>
      </c>
      <c r="F124" s="24">
        <v>19930630</v>
      </c>
      <c r="G124" s="16">
        <f t="shared" si="4"/>
        <v>34150</v>
      </c>
      <c r="H124" s="2">
        <f t="shared" si="5"/>
        <v>28</v>
      </c>
      <c r="I124" s="17"/>
      <c r="J124" s="25">
        <v>20120321</v>
      </c>
      <c r="K124" s="16">
        <f t="shared" si="6"/>
        <v>40989</v>
      </c>
      <c r="L124" s="2">
        <f t="shared" si="7"/>
        <v>9</v>
      </c>
      <c r="M124" s="25"/>
      <c r="N124" s="26"/>
      <c r="O124" s="27" t="s">
        <v>35</v>
      </c>
      <c r="P124" s="70">
        <v>63000</v>
      </c>
      <c r="Q124" s="70" t="s">
        <v>165</v>
      </c>
      <c r="R124" s="22">
        <v>0</v>
      </c>
      <c r="S124" s="22"/>
      <c r="T124" s="22">
        <v>1</v>
      </c>
    </row>
    <row r="125" spans="1:20">
      <c r="A125">
        <v>34</v>
      </c>
      <c r="B125" s="21">
        <v>96</v>
      </c>
      <c r="C125" s="22">
        <v>2806</v>
      </c>
      <c r="D125" s="22" t="s">
        <v>90</v>
      </c>
      <c r="E125" s="23" t="s">
        <v>15</v>
      </c>
      <c r="F125" s="24">
        <v>19680906</v>
      </c>
      <c r="G125" s="16">
        <f t="shared" si="4"/>
        <v>25087</v>
      </c>
      <c r="H125" s="2">
        <f t="shared" si="5"/>
        <v>52</v>
      </c>
      <c r="I125" s="17"/>
      <c r="J125" s="25">
        <v>19620326</v>
      </c>
      <c r="K125" s="16">
        <f t="shared" si="6"/>
        <v>22731</v>
      </c>
      <c r="L125" s="2">
        <f t="shared" si="7"/>
        <v>59</v>
      </c>
      <c r="M125" s="25"/>
      <c r="N125" s="26"/>
      <c r="O125" s="27" t="s">
        <v>35</v>
      </c>
      <c r="P125" s="70">
        <v>40000</v>
      </c>
      <c r="Q125" s="70" t="s">
        <v>87</v>
      </c>
      <c r="R125" s="22">
        <v>0</v>
      </c>
      <c r="S125" s="22"/>
      <c r="T125" s="22">
        <v>1</v>
      </c>
    </row>
    <row r="126" spans="1:20">
      <c r="A126">
        <v>187</v>
      </c>
      <c r="B126" s="21">
        <v>452</v>
      </c>
      <c r="C126" s="22">
        <v>5080</v>
      </c>
      <c r="D126" s="22" t="s">
        <v>467</v>
      </c>
      <c r="E126" s="23" t="s">
        <v>15</v>
      </c>
      <c r="F126" s="24">
        <v>19661015</v>
      </c>
      <c r="G126" s="16">
        <f t="shared" si="4"/>
        <v>24395</v>
      </c>
      <c r="H126" s="2">
        <f t="shared" si="5"/>
        <v>54</v>
      </c>
      <c r="I126" s="17"/>
      <c r="J126" s="25">
        <v>19830325</v>
      </c>
      <c r="K126" s="16">
        <f t="shared" si="6"/>
        <v>30400</v>
      </c>
      <c r="L126" s="2">
        <f t="shared" si="7"/>
        <v>38</v>
      </c>
      <c r="M126" s="25"/>
      <c r="N126" s="26"/>
      <c r="O126" s="27" t="s">
        <v>105</v>
      </c>
      <c r="P126" s="70">
        <v>67011</v>
      </c>
      <c r="Q126" s="70" t="s">
        <v>466</v>
      </c>
      <c r="R126" s="22">
        <v>1</v>
      </c>
      <c r="S126" s="22" t="s">
        <v>679</v>
      </c>
      <c r="T126" s="22">
        <v>2</v>
      </c>
    </row>
    <row r="127" spans="1:20">
      <c r="A127">
        <v>108</v>
      </c>
      <c r="B127" s="21">
        <v>334</v>
      </c>
      <c r="C127" s="22">
        <v>3478</v>
      </c>
      <c r="D127" s="22" t="s">
        <v>375</v>
      </c>
      <c r="E127" s="23" t="s">
        <v>15</v>
      </c>
      <c r="F127" s="24">
        <v>19980502</v>
      </c>
      <c r="G127" s="16">
        <f t="shared" si="4"/>
        <v>35917</v>
      </c>
      <c r="H127" s="2">
        <f t="shared" si="5"/>
        <v>23</v>
      </c>
      <c r="I127" s="17"/>
      <c r="J127" s="25">
        <v>20170403</v>
      </c>
      <c r="K127" s="16">
        <f t="shared" si="6"/>
        <v>42828</v>
      </c>
      <c r="L127" s="2">
        <f t="shared" si="7"/>
        <v>4</v>
      </c>
      <c r="M127" s="25"/>
      <c r="N127" s="26"/>
      <c r="O127" s="27">
        <v>6</v>
      </c>
      <c r="P127" s="70">
        <v>43211</v>
      </c>
      <c r="Q127" s="70" t="s">
        <v>364</v>
      </c>
      <c r="R127" s="22">
        <v>1</v>
      </c>
      <c r="S127" s="22" t="s">
        <v>679</v>
      </c>
      <c r="T127" s="22">
        <v>2</v>
      </c>
    </row>
    <row r="128" spans="1:20">
      <c r="A128">
        <v>201</v>
      </c>
      <c r="B128" s="21">
        <v>405</v>
      </c>
      <c r="C128" s="22">
        <v>3937</v>
      </c>
      <c r="D128" s="22" t="s">
        <v>482</v>
      </c>
      <c r="E128" s="23" t="s">
        <v>15</v>
      </c>
      <c r="F128" s="24">
        <v>19810304</v>
      </c>
      <c r="G128" s="16">
        <f t="shared" si="4"/>
        <v>29649</v>
      </c>
      <c r="H128" s="2">
        <f t="shared" si="5"/>
        <v>40</v>
      </c>
      <c r="I128" s="17"/>
      <c r="J128" s="25">
        <v>20060301</v>
      </c>
      <c r="K128" s="16">
        <f t="shared" si="6"/>
        <v>38777</v>
      </c>
      <c r="L128" s="2">
        <f t="shared" si="7"/>
        <v>15</v>
      </c>
      <c r="M128" s="25"/>
      <c r="N128" s="26"/>
      <c r="O128" s="27" t="s">
        <v>35</v>
      </c>
      <c r="P128" s="70">
        <v>68011</v>
      </c>
      <c r="Q128" s="70" t="s">
        <v>483</v>
      </c>
      <c r="R128" s="22">
        <v>1</v>
      </c>
      <c r="S128" s="22" t="s">
        <v>679</v>
      </c>
      <c r="T128" s="22">
        <v>1</v>
      </c>
    </row>
    <row r="129" spans="1:20">
      <c r="A129">
        <v>53</v>
      </c>
      <c r="B129" s="21">
        <v>346</v>
      </c>
      <c r="C129" s="22">
        <v>3494</v>
      </c>
      <c r="D129" s="22" t="s">
        <v>314</v>
      </c>
      <c r="E129" s="23" t="s">
        <v>15</v>
      </c>
      <c r="F129" s="24">
        <v>19991113</v>
      </c>
      <c r="G129" s="16">
        <f t="shared" si="4"/>
        <v>36477</v>
      </c>
      <c r="H129" s="2">
        <f t="shared" si="5"/>
        <v>21</v>
      </c>
      <c r="I129" s="17"/>
      <c r="J129" s="25">
        <v>20180402</v>
      </c>
      <c r="K129" s="16">
        <f t="shared" si="6"/>
        <v>43192</v>
      </c>
      <c r="L129" s="2">
        <f t="shared" si="7"/>
        <v>3</v>
      </c>
      <c r="M129" s="25"/>
      <c r="N129" s="26"/>
      <c r="O129" s="27">
        <v>6</v>
      </c>
      <c r="P129" s="70">
        <v>42111</v>
      </c>
      <c r="Q129" s="70" t="s">
        <v>305</v>
      </c>
      <c r="R129" s="22">
        <v>1</v>
      </c>
      <c r="S129" s="22" t="s">
        <v>679</v>
      </c>
      <c r="T129" s="22">
        <v>2</v>
      </c>
    </row>
    <row r="130" spans="1:20">
      <c r="A130">
        <v>31</v>
      </c>
      <c r="B130" s="21">
        <v>191</v>
      </c>
      <c r="C130" s="22">
        <v>3206</v>
      </c>
      <c r="D130" s="22" t="s">
        <v>289</v>
      </c>
      <c r="E130" s="23" t="s">
        <v>15</v>
      </c>
      <c r="F130" s="24">
        <v>19840907</v>
      </c>
      <c r="G130" s="16">
        <f t="shared" si="4"/>
        <v>30932</v>
      </c>
      <c r="H130" s="2">
        <f t="shared" si="5"/>
        <v>36</v>
      </c>
      <c r="I130" s="17"/>
      <c r="J130" s="25">
        <v>20030321</v>
      </c>
      <c r="K130" s="16">
        <f t="shared" si="6"/>
        <v>37701</v>
      </c>
      <c r="L130" s="2">
        <f t="shared" si="7"/>
        <v>18</v>
      </c>
      <c r="M130" s="25"/>
      <c r="N130" s="26"/>
      <c r="O130" s="27" t="s">
        <v>35</v>
      </c>
      <c r="P130" s="70">
        <v>42011</v>
      </c>
      <c r="Q130" s="70" t="s">
        <v>290</v>
      </c>
      <c r="R130" s="22">
        <v>1</v>
      </c>
      <c r="S130" s="22" t="s">
        <v>679</v>
      </c>
      <c r="T130" s="22">
        <v>1</v>
      </c>
    </row>
    <row r="131" spans="1:20">
      <c r="A131">
        <v>39</v>
      </c>
      <c r="B131" s="21">
        <v>146</v>
      </c>
      <c r="C131" s="22">
        <v>3050</v>
      </c>
      <c r="D131" s="22" t="s">
        <v>299</v>
      </c>
      <c r="E131" s="23" t="s">
        <v>15</v>
      </c>
      <c r="F131" s="24">
        <v>19770209</v>
      </c>
      <c r="G131" s="16">
        <f t="shared" si="4"/>
        <v>28165</v>
      </c>
      <c r="H131" s="2">
        <f t="shared" si="5"/>
        <v>44</v>
      </c>
      <c r="I131" s="17"/>
      <c r="J131" s="25">
        <v>19950322</v>
      </c>
      <c r="K131" s="16">
        <f t="shared" si="6"/>
        <v>34780</v>
      </c>
      <c r="L131" s="2">
        <f t="shared" si="7"/>
        <v>26</v>
      </c>
      <c r="M131" s="25"/>
      <c r="N131" s="26"/>
      <c r="O131" s="27" t="s">
        <v>35</v>
      </c>
      <c r="P131" s="70">
        <v>42011</v>
      </c>
      <c r="Q131" s="70" t="s">
        <v>290</v>
      </c>
      <c r="R131" s="22">
        <v>1</v>
      </c>
      <c r="S131" s="22" t="s">
        <v>679</v>
      </c>
      <c r="T131" s="22">
        <v>2</v>
      </c>
    </row>
    <row r="132" spans="1:20">
      <c r="A132">
        <v>137</v>
      </c>
      <c r="B132" s="21">
        <v>338</v>
      </c>
      <c r="C132" s="22">
        <v>3483</v>
      </c>
      <c r="D132" s="22" t="s">
        <v>409</v>
      </c>
      <c r="E132" s="23" t="s">
        <v>15</v>
      </c>
      <c r="F132" s="24">
        <v>19981013</v>
      </c>
      <c r="G132" s="16">
        <f t="shared" si="4"/>
        <v>36081</v>
      </c>
      <c r="H132" s="2">
        <f t="shared" si="5"/>
        <v>22</v>
      </c>
      <c r="I132" s="17"/>
      <c r="J132" s="25">
        <v>20170403</v>
      </c>
      <c r="K132" s="16">
        <f t="shared" si="6"/>
        <v>42828</v>
      </c>
      <c r="L132" s="2">
        <f t="shared" si="7"/>
        <v>4</v>
      </c>
      <c r="M132" s="25"/>
      <c r="N132" s="26"/>
      <c r="O132" s="27">
        <v>6</v>
      </c>
      <c r="P132" s="70">
        <v>45111</v>
      </c>
      <c r="Q132" s="70" t="s">
        <v>396</v>
      </c>
      <c r="R132" s="22">
        <v>1</v>
      </c>
      <c r="S132" s="22" t="s">
        <v>679</v>
      </c>
      <c r="T132" s="22">
        <v>2</v>
      </c>
    </row>
    <row r="133" spans="1:20">
      <c r="A133">
        <v>65</v>
      </c>
      <c r="B133" s="21">
        <v>261</v>
      </c>
      <c r="C133" s="22">
        <v>3360</v>
      </c>
      <c r="D133" s="22" t="s">
        <v>127</v>
      </c>
      <c r="E133" s="23" t="s">
        <v>15</v>
      </c>
      <c r="F133" s="24">
        <v>19891103</v>
      </c>
      <c r="G133" s="16">
        <f t="shared" ref="G133:G196" si="8">DATE(INT(F133/10000),INT(MOD(F133,10000)/100),MOD(F133,100))</f>
        <v>32815</v>
      </c>
      <c r="H133" s="2">
        <f t="shared" ref="H133:H196" si="9">DATEDIF(G133,$G$4,"Y")</f>
        <v>31</v>
      </c>
      <c r="I133" s="17"/>
      <c r="J133" s="25">
        <v>20120321</v>
      </c>
      <c r="K133" s="16">
        <f t="shared" ref="K133:K196" si="10">DATE(INT(J133/10000),INT(MOD(J133,10000)/100),MOD(J133,100))</f>
        <v>40989</v>
      </c>
      <c r="L133" s="2">
        <f t="shared" ref="L133:L196" si="11">DATEDIF(K133,$G$4,"Y")</f>
        <v>9</v>
      </c>
      <c r="M133" s="25"/>
      <c r="N133" s="26"/>
      <c r="O133" s="27" t="s">
        <v>16</v>
      </c>
      <c r="P133" s="70">
        <v>51000</v>
      </c>
      <c r="Q133" s="70" t="s">
        <v>124</v>
      </c>
      <c r="R133" s="22">
        <v>0</v>
      </c>
      <c r="S133" s="22"/>
      <c r="T133" s="22">
        <v>1</v>
      </c>
    </row>
    <row r="134" spans="1:20">
      <c r="A134">
        <v>98</v>
      </c>
      <c r="B134" s="21">
        <v>15</v>
      </c>
      <c r="C134" s="22">
        <v>1339</v>
      </c>
      <c r="D134" s="22" t="s">
        <v>167</v>
      </c>
      <c r="E134" s="23" t="s">
        <v>15</v>
      </c>
      <c r="F134" s="24">
        <v>19740809</v>
      </c>
      <c r="G134" s="16">
        <f t="shared" si="8"/>
        <v>27250</v>
      </c>
      <c r="H134" s="2">
        <f t="shared" si="9"/>
        <v>47</v>
      </c>
      <c r="I134" s="17"/>
      <c r="J134" s="25">
        <v>20060301</v>
      </c>
      <c r="K134" s="16">
        <f t="shared" si="10"/>
        <v>38777</v>
      </c>
      <c r="L134" s="2">
        <f t="shared" si="11"/>
        <v>15</v>
      </c>
      <c r="M134" s="25"/>
      <c r="N134" s="26"/>
      <c r="O134" s="27" t="s">
        <v>19</v>
      </c>
      <c r="P134" s="70">
        <v>63000</v>
      </c>
      <c r="Q134" s="70" t="s">
        <v>165</v>
      </c>
      <c r="R134" s="22">
        <v>0</v>
      </c>
      <c r="S134" s="22"/>
      <c r="T134" s="22">
        <v>1</v>
      </c>
    </row>
    <row r="135" spans="1:20">
      <c r="A135">
        <v>96</v>
      </c>
      <c r="B135" s="21">
        <v>133</v>
      </c>
      <c r="C135" s="22">
        <v>3019</v>
      </c>
      <c r="D135" s="22" t="s">
        <v>164</v>
      </c>
      <c r="E135" s="23" t="s">
        <v>15</v>
      </c>
      <c r="F135" s="24">
        <v>19721207</v>
      </c>
      <c r="G135" s="16">
        <f t="shared" si="8"/>
        <v>26640</v>
      </c>
      <c r="H135" s="2">
        <f t="shared" si="9"/>
        <v>48</v>
      </c>
      <c r="I135" s="17"/>
      <c r="J135" s="25">
        <v>19950322</v>
      </c>
      <c r="K135" s="16">
        <f t="shared" si="10"/>
        <v>34780</v>
      </c>
      <c r="L135" s="2">
        <f t="shared" si="11"/>
        <v>26</v>
      </c>
      <c r="M135" s="25"/>
      <c r="N135" s="26"/>
      <c r="O135" s="27" t="s">
        <v>16</v>
      </c>
      <c r="P135" s="70">
        <v>63000</v>
      </c>
      <c r="Q135" s="70" t="s">
        <v>165</v>
      </c>
      <c r="R135" s="22">
        <v>0</v>
      </c>
      <c r="S135" s="22"/>
      <c r="T135" s="22">
        <v>1</v>
      </c>
    </row>
    <row r="136" spans="1:20">
      <c r="A136">
        <v>44</v>
      </c>
      <c r="B136" s="21">
        <v>116</v>
      </c>
      <c r="C136" s="22">
        <v>2936</v>
      </c>
      <c r="D136" s="22" t="s">
        <v>304</v>
      </c>
      <c r="E136" s="23" t="s">
        <v>15</v>
      </c>
      <c r="F136" s="24">
        <v>19750215</v>
      </c>
      <c r="G136" s="16">
        <f t="shared" si="8"/>
        <v>27440</v>
      </c>
      <c r="H136" s="2">
        <f t="shared" si="9"/>
        <v>46</v>
      </c>
      <c r="I136" s="17"/>
      <c r="J136" s="25">
        <v>19930322</v>
      </c>
      <c r="K136" s="16">
        <f t="shared" si="10"/>
        <v>34050</v>
      </c>
      <c r="L136" s="2">
        <f t="shared" si="11"/>
        <v>28</v>
      </c>
      <c r="M136" s="25"/>
      <c r="N136" s="26"/>
      <c r="O136" s="27" t="s">
        <v>35</v>
      </c>
      <c r="P136" s="70">
        <v>42111</v>
      </c>
      <c r="Q136" s="70" t="s">
        <v>305</v>
      </c>
      <c r="R136" s="22">
        <v>1</v>
      </c>
      <c r="S136" s="22" t="s">
        <v>679</v>
      </c>
      <c r="T136" s="22">
        <v>1</v>
      </c>
    </row>
    <row r="137" spans="1:20">
      <c r="A137">
        <v>20</v>
      </c>
      <c r="B137" s="21">
        <v>367</v>
      </c>
      <c r="C137" s="22">
        <v>3520</v>
      </c>
      <c r="D137" s="22" t="s">
        <v>277</v>
      </c>
      <c r="E137" s="23" t="s">
        <v>678</v>
      </c>
      <c r="F137" s="24">
        <v>20010529</v>
      </c>
      <c r="G137" s="16">
        <f t="shared" si="8"/>
        <v>37040</v>
      </c>
      <c r="H137" s="2">
        <f t="shared" si="9"/>
        <v>20</v>
      </c>
      <c r="I137" s="17"/>
      <c r="J137" s="25">
        <v>20200401</v>
      </c>
      <c r="K137" s="16">
        <f t="shared" si="10"/>
        <v>43922</v>
      </c>
      <c r="L137" s="2">
        <f t="shared" si="11"/>
        <v>1</v>
      </c>
      <c r="M137" s="25"/>
      <c r="N137" s="26"/>
      <c r="O137" s="27">
        <v>6</v>
      </c>
      <c r="P137" s="70">
        <v>41011</v>
      </c>
      <c r="Q137" s="70" t="s">
        <v>258</v>
      </c>
      <c r="R137" s="22">
        <v>1</v>
      </c>
      <c r="S137" s="22" t="s">
        <v>679</v>
      </c>
      <c r="T137" s="22">
        <v>2</v>
      </c>
    </row>
    <row r="138" spans="1:20">
      <c r="A138">
        <v>151</v>
      </c>
      <c r="B138" s="21">
        <v>132</v>
      </c>
      <c r="C138" s="22">
        <v>3014</v>
      </c>
      <c r="D138" s="22" t="s">
        <v>222</v>
      </c>
      <c r="E138" s="23" t="s">
        <v>15</v>
      </c>
      <c r="F138" s="24">
        <v>19700419</v>
      </c>
      <c r="G138" s="16">
        <f t="shared" si="8"/>
        <v>25677</v>
      </c>
      <c r="H138" s="2">
        <f t="shared" si="9"/>
        <v>51</v>
      </c>
      <c r="I138" s="17"/>
      <c r="J138" s="25">
        <v>19950322</v>
      </c>
      <c r="K138" s="16">
        <f t="shared" si="10"/>
        <v>34780</v>
      </c>
      <c r="L138" s="2">
        <f t="shared" si="11"/>
        <v>26</v>
      </c>
      <c r="M138" s="25"/>
      <c r="N138" s="26"/>
      <c r="O138" s="27" t="s">
        <v>16</v>
      </c>
      <c r="P138" s="70">
        <v>60100</v>
      </c>
      <c r="Q138" s="70" t="s">
        <v>639</v>
      </c>
      <c r="R138" s="22">
        <v>0</v>
      </c>
      <c r="S138" s="22"/>
      <c r="T138" s="22">
        <v>1</v>
      </c>
    </row>
    <row r="139" spans="1:20">
      <c r="A139">
        <v>205</v>
      </c>
      <c r="B139" s="21">
        <v>30</v>
      </c>
      <c r="C139" s="22">
        <v>1364</v>
      </c>
      <c r="D139" s="22" t="s">
        <v>487</v>
      </c>
      <c r="E139" s="23" t="s">
        <v>15</v>
      </c>
      <c r="F139" s="24">
        <v>19800522</v>
      </c>
      <c r="G139" s="16">
        <f t="shared" si="8"/>
        <v>29363</v>
      </c>
      <c r="H139" s="2">
        <f t="shared" si="9"/>
        <v>41</v>
      </c>
      <c r="I139" s="17"/>
      <c r="J139" s="25">
        <v>20100821</v>
      </c>
      <c r="K139" s="16">
        <f t="shared" si="10"/>
        <v>40411</v>
      </c>
      <c r="L139" s="2">
        <f t="shared" si="11"/>
        <v>11</v>
      </c>
      <c r="M139" s="25"/>
      <c r="N139" s="26"/>
      <c r="O139" s="27" t="s">
        <v>35</v>
      </c>
      <c r="P139" s="70">
        <v>68111</v>
      </c>
      <c r="Q139" s="70" t="s">
        <v>485</v>
      </c>
      <c r="R139" s="22">
        <v>1</v>
      </c>
      <c r="S139" s="22" t="s">
        <v>679</v>
      </c>
      <c r="T139" s="22">
        <v>2</v>
      </c>
    </row>
    <row r="140" spans="1:20">
      <c r="A140">
        <v>151</v>
      </c>
      <c r="B140" s="21">
        <v>407</v>
      </c>
      <c r="C140" s="22">
        <v>3939</v>
      </c>
      <c r="D140" s="22" t="s">
        <v>426</v>
      </c>
      <c r="E140" s="23" t="s">
        <v>15</v>
      </c>
      <c r="F140" s="24">
        <v>19650505</v>
      </c>
      <c r="G140" s="16">
        <f t="shared" si="8"/>
        <v>23867</v>
      </c>
      <c r="H140" s="2">
        <f t="shared" si="9"/>
        <v>56</v>
      </c>
      <c r="I140" s="17"/>
      <c r="J140" s="25">
        <v>20060301</v>
      </c>
      <c r="K140" s="16">
        <f t="shared" si="10"/>
        <v>38777</v>
      </c>
      <c r="L140" s="2">
        <f t="shared" si="11"/>
        <v>15</v>
      </c>
      <c r="M140" s="25"/>
      <c r="N140" s="26"/>
      <c r="O140" s="27" t="s">
        <v>16</v>
      </c>
      <c r="P140" s="70">
        <v>68111</v>
      </c>
      <c r="Q140" s="70" t="s">
        <v>485</v>
      </c>
      <c r="R140" s="22">
        <v>1</v>
      </c>
      <c r="S140" s="22" t="s">
        <v>679</v>
      </c>
      <c r="T140" s="22">
        <v>2</v>
      </c>
    </row>
    <row r="141" spans="1:20">
      <c r="A141">
        <v>129</v>
      </c>
      <c r="B141" s="21">
        <v>248</v>
      </c>
      <c r="C141" s="22">
        <v>3336</v>
      </c>
      <c r="D141" s="22" t="s">
        <v>199</v>
      </c>
      <c r="E141" s="23" t="s">
        <v>15</v>
      </c>
      <c r="F141" s="24">
        <v>19880801</v>
      </c>
      <c r="G141" s="16">
        <f t="shared" si="8"/>
        <v>32356</v>
      </c>
      <c r="H141" s="2">
        <f t="shared" si="9"/>
        <v>33</v>
      </c>
      <c r="I141" s="17"/>
      <c r="J141" s="25">
        <v>20110321</v>
      </c>
      <c r="K141" s="16">
        <f t="shared" si="10"/>
        <v>40623</v>
      </c>
      <c r="L141" s="2">
        <f t="shared" si="11"/>
        <v>10</v>
      </c>
      <c r="M141" s="25"/>
      <c r="N141" s="26"/>
      <c r="O141" s="27" t="s">
        <v>16</v>
      </c>
      <c r="P141" s="70">
        <v>80000</v>
      </c>
      <c r="Q141" s="70" t="s">
        <v>172</v>
      </c>
      <c r="R141" s="22">
        <v>0</v>
      </c>
      <c r="S141" s="22"/>
      <c r="T141" s="22">
        <v>1</v>
      </c>
    </row>
    <row r="142" spans="1:20">
      <c r="A142">
        <v>141</v>
      </c>
      <c r="B142" s="21">
        <v>316</v>
      </c>
      <c r="C142" s="22">
        <v>3452</v>
      </c>
      <c r="D142" s="22" t="s">
        <v>211</v>
      </c>
      <c r="E142" s="23" t="s">
        <v>15</v>
      </c>
      <c r="F142" s="24">
        <v>19930609</v>
      </c>
      <c r="G142" s="16">
        <f t="shared" si="8"/>
        <v>34129</v>
      </c>
      <c r="H142" s="2">
        <f t="shared" si="9"/>
        <v>28</v>
      </c>
      <c r="I142" s="17"/>
      <c r="J142" s="25">
        <v>20160401</v>
      </c>
      <c r="K142" s="16">
        <f t="shared" si="10"/>
        <v>42461</v>
      </c>
      <c r="L142" s="2">
        <f t="shared" si="11"/>
        <v>5</v>
      </c>
      <c r="M142" s="25"/>
      <c r="N142" s="26"/>
      <c r="O142" s="27" t="s">
        <v>16</v>
      </c>
      <c r="P142" s="70">
        <v>80000</v>
      </c>
      <c r="Q142" s="70" t="s">
        <v>172</v>
      </c>
      <c r="R142" s="22">
        <v>0</v>
      </c>
      <c r="S142" s="22"/>
      <c r="T142" s="22">
        <v>2</v>
      </c>
    </row>
    <row r="143" spans="1:20">
      <c r="A143">
        <v>121</v>
      </c>
      <c r="B143" s="21">
        <v>251</v>
      </c>
      <c r="C143" s="22">
        <v>3343</v>
      </c>
      <c r="D143" s="22" t="s">
        <v>392</v>
      </c>
      <c r="E143" s="23" t="s">
        <v>15</v>
      </c>
      <c r="F143" s="24">
        <v>19920421</v>
      </c>
      <c r="G143" s="16">
        <f t="shared" si="8"/>
        <v>33715</v>
      </c>
      <c r="H143" s="2">
        <f t="shared" si="9"/>
        <v>29</v>
      </c>
      <c r="I143" s="17"/>
      <c r="J143" s="25">
        <v>20110321</v>
      </c>
      <c r="K143" s="16">
        <f t="shared" si="10"/>
        <v>40623</v>
      </c>
      <c r="L143" s="2">
        <f t="shared" si="11"/>
        <v>10</v>
      </c>
      <c r="M143" s="25"/>
      <c r="N143" s="26"/>
      <c r="O143" s="27" t="s">
        <v>35</v>
      </c>
      <c r="P143" s="70">
        <v>44511</v>
      </c>
      <c r="Q143" s="70" t="s">
        <v>389</v>
      </c>
      <c r="R143" s="22">
        <v>1</v>
      </c>
      <c r="S143" s="22" t="s">
        <v>679</v>
      </c>
      <c r="T143" s="22">
        <v>1</v>
      </c>
    </row>
    <row r="144" spans="1:20">
      <c r="A144">
        <v>150</v>
      </c>
      <c r="B144" s="21">
        <v>55</v>
      </c>
      <c r="C144" s="22">
        <v>1401</v>
      </c>
      <c r="D144" s="22" t="s">
        <v>221</v>
      </c>
      <c r="E144" s="23" t="s">
        <v>15</v>
      </c>
      <c r="F144" s="24">
        <v>19630907</v>
      </c>
      <c r="G144" s="16">
        <f t="shared" si="8"/>
        <v>23261</v>
      </c>
      <c r="H144" s="2">
        <f t="shared" si="9"/>
        <v>57</v>
      </c>
      <c r="I144" s="17"/>
      <c r="J144" s="25">
        <v>20190301</v>
      </c>
      <c r="K144" s="16">
        <f t="shared" si="10"/>
        <v>43525</v>
      </c>
      <c r="L144" s="2">
        <f t="shared" si="11"/>
        <v>2</v>
      </c>
      <c r="M144" s="25"/>
      <c r="N144" s="26"/>
      <c r="O144" s="27">
        <v>6</v>
      </c>
      <c r="P144" s="70">
        <v>90000</v>
      </c>
      <c r="Q144" s="70" t="s">
        <v>218</v>
      </c>
      <c r="R144" s="22">
        <v>0</v>
      </c>
      <c r="S144" s="22"/>
      <c r="T144" s="22">
        <v>1</v>
      </c>
    </row>
    <row r="145" spans="1:20">
      <c r="A145">
        <v>162</v>
      </c>
      <c r="B145" s="21">
        <v>143</v>
      </c>
      <c r="C145" s="22">
        <v>3041</v>
      </c>
      <c r="D145" s="22" t="s">
        <v>440</v>
      </c>
      <c r="E145" s="23" t="s">
        <v>15</v>
      </c>
      <c r="F145" s="24">
        <v>19741123</v>
      </c>
      <c r="G145" s="16">
        <f t="shared" si="8"/>
        <v>27356</v>
      </c>
      <c r="H145" s="2">
        <f t="shared" si="9"/>
        <v>46</v>
      </c>
      <c r="I145" s="17"/>
      <c r="J145" s="25">
        <v>19950322</v>
      </c>
      <c r="K145" s="16">
        <f t="shared" si="10"/>
        <v>34780</v>
      </c>
      <c r="L145" s="2">
        <f t="shared" si="11"/>
        <v>26</v>
      </c>
      <c r="M145" s="25"/>
      <c r="N145" s="26"/>
      <c r="O145" s="27" t="s">
        <v>19</v>
      </c>
      <c r="P145" s="70">
        <v>65011</v>
      </c>
      <c r="Q145" s="70" t="s">
        <v>433</v>
      </c>
      <c r="R145" s="22">
        <v>1</v>
      </c>
      <c r="S145" s="22" t="s">
        <v>679</v>
      </c>
      <c r="T145" s="22">
        <v>2</v>
      </c>
    </row>
    <row r="146" spans="1:20">
      <c r="A146">
        <v>219</v>
      </c>
      <c r="B146" s="21">
        <v>313</v>
      </c>
      <c r="C146" s="22">
        <v>3449</v>
      </c>
      <c r="D146" s="22" t="s">
        <v>502</v>
      </c>
      <c r="E146" s="23" t="s">
        <v>15</v>
      </c>
      <c r="F146" s="24">
        <v>19961128</v>
      </c>
      <c r="G146" s="16">
        <f t="shared" si="8"/>
        <v>35397</v>
      </c>
      <c r="H146" s="2">
        <f t="shared" si="9"/>
        <v>24</v>
      </c>
      <c r="I146" s="17"/>
      <c r="J146" s="25">
        <v>20150401</v>
      </c>
      <c r="K146" s="16">
        <f t="shared" si="10"/>
        <v>42095</v>
      </c>
      <c r="L146" s="2">
        <f t="shared" si="11"/>
        <v>6</v>
      </c>
      <c r="M146" s="25"/>
      <c r="N146" s="26"/>
      <c r="O146" s="27" t="s">
        <v>35</v>
      </c>
      <c r="P146" s="70">
        <v>69011</v>
      </c>
      <c r="Q146" s="70" t="s">
        <v>489</v>
      </c>
      <c r="R146" s="22">
        <v>1</v>
      </c>
      <c r="S146" s="22" t="s">
        <v>679</v>
      </c>
      <c r="T146" s="22">
        <v>2</v>
      </c>
    </row>
    <row r="147" spans="1:20">
      <c r="A147">
        <v>223</v>
      </c>
      <c r="B147" s="21">
        <v>448</v>
      </c>
      <c r="C147" s="22">
        <v>5064</v>
      </c>
      <c r="D147" s="22" t="s">
        <v>507</v>
      </c>
      <c r="E147" s="23" t="s">
        <v>15</v>
      </c>
      <c r="F147" s="24">
        <v>19670301</v>
      </c>
      <c r="G147" s="16">
        <f t="shared" si="8"/>
        <v>24532</v>
      </c>
      <c r="H147" s="2">
        <f t="shared" si="9"/>
        <v>54</v>
      </c>
      <c r="I147" s="17"/>
      <c r="J147" s="25">
        <v>19820325</v>
      </c>
      <c r="K147" s="16">
        <f t="shared" si="10"/>
        <v>30035</v>
      </c>
      <c r="L147" s="2">
        <f t="shared" si="11"/>
        <v>39</v>
      </c>
      <c r="M147" s="25"/>
      <c r="N147" s="26"/>
      <c r="O147" s="27" t="s">
        <v>77</v>
      </c>
      <c r="P147" s="70">
        <v>61300</v>
      </c>
      <c r="Q147" s="70" t="s">
        <v>162</v>
      </c>
      <c r="R147" s="22">
        <v>0</v>
      </c>
      <c r="S147" s="22"/>
      <c r="T147" s="22">
        <v>1</v>
      </c>
    </row>
    <row r="148" spans="1:20">
      <c r="A148">
        <v>9</v>
      </c>
      <c r="B148" s="21">
        <v>12</v>
      </c>
      <c r="C148" s="22">
        <v>1323</v>
      </c>
      <c r="D148" s="22" t="s">
        <v>27</v>
      </c>
      <c r="E148" s="23" t="s">
        <v>15</v>
      </c>
      <c r="F148" s="24">
        <v>19721018</v>
      </c>
      <c r="G148" s="16">
        <f t="shared" si="8"/>
        <v>26590</v>
      </c>
      <c r="H148" s="2">
        <f t="shared" si="9"/>
        <v>48</v>
      </c>
      <c r="I148" s="17"/>
      <c r="J148" s="25">
        <v>20030506</v>
      </c>
      <c r="K148" s="16">
        <f t="shared" si="10"/>
        <v>37747</v>
      </c>
      <c r="L148" s="2">
        <f t="shared" si="11"/>
        <v>18</v>
      </c>
      <c r="M148" s="25"/>
      <c r="N148" s="26"/>
      <c r="O148" s="27" t="s">
        <v>16</v>
      </c>
      <c r="P148" s="70">
        <v>10000</v>
      </c>
      <c r="Q148" s="70" t="s">
        <v>26</v>
      </c>
      <c r="R148" s="22">
        <v>0</v>
      </c>
      <c r="S148" s="22"/>
      <c r="T148" s="22">
        <v>1</v>
      </c>
    </row>
    <row r="149" spans="1:20">
      <c r="A149">
        <v>11</v>
      </c>
      <c r="B149" s="21">
        <v>51</v>
      </c>
      <c r="C149" s="22">
        <v>1397</v>
      </c>
      <c r="D149" s="22" t="s">
        <v>29</v>
      </c>
      <c r="E149" s="23" t="s">
        <v>15</v>
      </c>
      <c r="F149" s="24">
        <v>19801023</v>
      </c>
      <c r="G149" s="16">
        <f t="shared" si="8"/>
        <v>29517</v>
      </c>
      <c r="H149" s="2">
        <f t="shared" si="9"/>
        <v>40</v>
      </c>
      <c r="I149" s="17"/>
      <c r="J149" s="25">
        <v>20180201</v>
      </c>
      <c r="K149" s="16">
        <f t="shared" si="10"/>
        <v>43132</v>
      </c>
      <c r="L149" s="2">
        <f t="shared" si="11"/>
        <v>3</v>
      </c>
      <c r="M149" s="25"/>
      <c r="N149" s="26"/>
      <c r="O149" s="27">
        <v>8</v>
      </c>
      <c r="P149" s="70">
        <v>10000</v>
      </c>
      <c r="Q149" s="70" t="s">
        <v>26</v>
      </c>
      <c r="R149" s="22">
        <v>0</v>
      </c>
      <c r="S149" s="22"/>
      <c r="T149" s="22">
        <v>1</v>
      </c>
    </row>
    <row r="150" spans="1:20">
      <c r="A150">
        <v>123</v>
      </c>
      <c r="B150" s="21">
        <v>323</v>
      </c>
      <c r="C150" s="22">
        <v>3460</v>
      </c>
      <c r="D150" s="22" t="s">
        <v>394</v>
      </c>
      <c r="E150" s="23" t="s">
        <v>15</v>
      </c>
      <c r="F150" s="24">
        <v>19980313</v>
      </c>
      <c r="G150" s="16">
        <f t="shared" si="8"/>
        <v>35867</v>
      </c>
      <c r="H150" s="2">
        <f t="shared" si="9"/>
        <v>23</v>
      </c>
      <c r="I150" s="17"/>
      <c r="J150" s="25">
        <v>20160401</v>
      </c>
      <c r="K150" s="16">
        <f t="shared" si="10"/>
        <v>42461</v>
      </c>
      <c r="L150" s="2">
        <f t="shared" si="11"/>
        <v>5</v>
      </c>
      <c r="M150" s="25"/>
      <c r="N150" s="26"/>
      <c r="O150" s="27" t="s">
        <v>35</v>
      </c>
      <c r="P150" s="70">
        <v>44511</v>
      </c>
      <c r="Q150" s="70" t="s">
        <v>389</v>
      </c>
      <c r="R150" s="22">
        <v>1</v>
      </c>
      <c r="S150" s="22" t="s">
        <v>679</v>
      </c>
      <c r="T150" s="22">
        <v>2</v>
      </c>
    </row>
    <row r="151" spans="1:20">
      <c r="A151">
        <v>132</v>
      </c>
      <c r="B151" s="21">
        <v>59</v>
      </c>
      <c r="C151" s="22">
        <v>1406</v>
      </c>
      <c r="D151" s="22" t="s">
        <v>404</v>
      </c>
      <c r="E151" s="23" t="s">
        <v>678</v>
      </c>
      <c r="F151" s="24">
        <v>19880709</v>
      </c>
      <c r="G151" s="16">
        <f t="shared" si="8"/>
        <v>32333</v>
      </c>
      <c r="H151" s="2">
        <f t="shared" si="9"/>
        <v>33</v>
      </c>
      <c r="I151" s="17"/>
      <c r="J151" s="25">
        <v>20150706</v>
      </c>
      <c r="K151" s="16">
        <f t="shared" si="10"/>
        <v>42191</v>
      </c>
      <c r="L151" s="2">
        <f t="shared" si="11"/>
        <v>6</v>
      </c>
      <c r="M151" s="25"/>
      <c r="N151" s="26"/>
      <c r="O151" s="27">
        <v>6</v>
      </c>
      <c r="P151" s="70">
        <v>45111</v>
      </c>
      <c r="Q151" s="70" t="s">
        <v>396</v>
      </c>
      <c r="R151" s="22">
        <v>1</v>
      </c>
      <c r="S151" s="22" t="s">
        <v>679</v>
      </c>
      <c r="T151" s="22">
        <v>2</v>
      </c>
    </row>
    <row r="152" spans="1:20">
      <c r="A152">
        <v>92</v>
      </c>
      <c r="B152" s="21">
        <v>213</v>
      </c>
      <c r="C152" s="22">
        <v>3254</v>
      </c>
      <c r="D152" s="22" t="s">
        <v>159</v>
      </c>
      <c r="E152" s="23" t="s">
        <v>15</v>
      </c>
      <c r="F152" s="24">
        <v>19880204</v>
      </c>
      <c r="G152" s="16">
        <f t="shared" si="8"/>
        <v>32177</v>
      </c>
      <c r="H152" s="2">
        <f t="shared" si="9"/>
        <v>33</v>
      </c>
      <c r="I152" s="17"/>
      <c r="J152" s="25">
        <v>20060321</v>
      </c>
      <c r="K152" s="16">
        <f t="shared" si="10"/>
        <v>38797</v>
      </c>
      <c r="L152" s="2">
        <f t="shared" si="11"/>
        <v>15</v>
      </c>
      <c r="M152" s="25"/>
      <c r="N152" s="26"/>
      <c r="O152" s="27" t="s">
        <v>35</v>
      </c>
      <c r="P152" s="70">
        <v>61200</v>
      </c>
      <c r="Q152" s="70" t="s">
        <v>158</v>
      </c>
      <c r="R152" s="22">
        <v>0</v>
      </c>
      <c r="S152" s="22"/>
      <c r="T152" s="22">
        <v>2</v>
      </c>
    </row>
    <row r="153" spans="1:20">
      <c r="A153">
        <v>55</v>
      </c>
      <c r="B153" s="21">
        <v>10</v>
      </c>
      <c r="C153" s="22">
        <v>1316</v>
      </c>
      <c r="D153" s="22" t="s">
        <v>115</v>
      </c>
      <c r="E153" s="23" t="s">
        <v>15</v>
      </c>
      <c r="F153" s="24">
        <v>19740922</v>
      </c>
      <c r="G153" s="16">
        <f t="shared" si="8"/>
        <v>27294</v>
      </c>
      <c r="H153" s="2">
        <f t="shared" si="9"/>
        <v>46</v>
      </c>
      <c r="I153" s="17"/>
      <c r="J153" s="25">
        <v>19970321</v>
      </c>
      <c r="K153" s="16">
        <f t="shared" si="10"/>
        <v>35510</v>
      </c>
      <c r="L153" s="2">
        <f t="shared" si="11"/>
        <v>24</v>
      </c>
      <c r="M153" s="25"/>
      <c r="N153" s="26"/>
      <c r="O153" s="27" t="s">
        <v>19</v>
      </c>
      <c r="P153" s="70">
        <v>44200</v>
      </c>
      <c r="Q153" s="70" t="s">
        <v>114</v>
      </c>
      <c r="R153" s="22">
        <v>0</v>
      </c>
      <c r="S153" s="22"/>
      <c r="T153" s="22">
        <v>1</v>
      </c>
    </row>
    <row r="154" spans="1:20">
      <c r="A154">
        <v>63</v>
      </c>
      <c r="B154" s="21">
        <v>433</v>
      </c>
      <c r="C154" s="22">
        <v>3988</v>
      </c>
      <c r="D154" s="22" t="s">
        <v>325</v>
      </c>
      <c r="E154" s="23" t="s">
        <v>15</v>
      </c>
      <c r="F154" s="24">
        <v>19730609</v>
      </c>
      <c r="G154" s="16">
        <f t="shared" si="8"/>
        <v>26824</v>
      </c>
      <c r="H154" s="2">
        <f t="shared" si="9"/>
        <v>48</v>
      </c>
      <c r="I154" s="17"/>
      <c r="J154" s="25">
        <v>20071021</v>
      </c>
      <c r="K154" s="16">
        <f t="shared" si="10"/>
        <v>39376</v>
      </c>
      <c r="L154" s="2">
        <f t="shared" si="11"/>
        <v>13</v>
      </c>
      <c r="M154" s="25"/>
      <c r="N154" s="26"/>
      <c r="O154" s="27" t="s">
        <v>19</v>
      </c>
      <c r="P154" s="70">
        <v>42211</v>
      </c>
      <c r="Q154" s="70" t="s">
        <v>318</v>
      </c>
      <c r="R154" s="22">
        <v>1</v>
      </c>
      <c r="S154" s="22" t="s">
        <v>679</v>
      </c>
      <c r="T154" s="22">
        <v>2</v>
      </c>
    </row>
    <row r="155" spans="1:20">
      <c r="A155">
        <v>46</v>
      </c>
      <c r="B155" s="21">
        <v>282</v>
      </c>
      <c r="C155" s="22">
        <v>3397</v>
      </c>
      <c r="D155" s="22" t="s">
        <v>307</v>
      </c>
      <c r="E155" s="23" t="s">
        <v>15</v>
      </c>
      <c r="F155" s="24">
        <v>19941205</v>
      </c>
      <c r="G155" s="16">
        <f t="shared" si="8"/>
        <v>34673</v>
      </c>
      <c r="H155" s="2">
        <f t="shared" si="9"/>
        <v>26</v>
      </c>
      <c r="I155" s="17"/>
      <c r="J155" s="25">
        <v>20130321</v>
      </c>
      <c r="K155" s="16">
        <f t="shared" si="10"/>
        <v>41354</v>
      </c>
      <c r="L155" s="2">
        <f t="shared" si="11"/>
        <v>8</v>
      </c>
      <c r="M155" s="25"/>
      <c r="N155" s="26"/>
      <c r="O155" s="27" t="s">
        <v>35</v>
      </c>
      <c r="P155" s="70">
        <v>42111</v>
      </c>
      <c r="Q155" s="70" t="s">
        <v>305</v>
      </c>
      <c r="R155" s="22">
        <v>1</v>
      </c>
      <c r="S155" s="22" t="s">
        <v>679</v>
      </c>
      <c r="T155" s="22">
        <v>1</v>
      </c>
    </row>
    <row r="156" spans="1:20">
      <c r="A156">
        <v>177</v>
      </c>
      <c r="B156" s="21">
        <v>384</v>
      </c>
      <c r="C156" s="22">
        <v>3866</v>
      </c>
      <c r="D156" s="22" t="s">
        <v>456</v>
      </c>
      <c r="E156" s="23" t="s">
        <v>15</v>
      </c>
      <c r="F156" s="24">
        <v>19650915</v>
      </c>
      <c r="G156" s="16">
        <f t="shared" si="8"/>
        <v>24000</v>
      </c>
      <c r="H156" s="2">
        <f t="shared" si="9"/>
        <v>55</v>
      </c>
      <c r="I156" s="17"/>
      <c r="J156" s="25">
        <v>19961118</v>
      </c>
      <c r="K156" s="16">
        <f t="shared" si="10"/>
        <v>35387</v>
      </c>
      <c r="L156" s="2">
        <f t="shared" si="11"/>
        <v>24</v>
      </c>
      <c r="M156" s="25"/>
      <c r="N156" s="26"/>
      <c r="O156" s="27" t="s">
        <v>19</v>
      </c>
      <c r="P156" s="70">
        <v>66011</v>
      </c>
      <c r="Q156" s="70" t="s">
        <v>449</v>
      </c>
      <c r="R156" s="22">
        <v>1</v>
      </c>
      <c r="S156" s="22" t="s">
        <v>679</v>
      </c>
      <c r="T156" s="22">
        <v>2</v>
      </c>
    </row>
    <row r="157" spans="1:20">
      <c r="A157">
        <v>96</v>
      </c>
      <c r="B157" s="21">
        <v>355</v>
      </c>
      <c r="C157" s="22">
        <v>3504</v>
      </c>
      <c r="D157" s="22" t="s">
        <v>362</v>
      </c>
      <c r="E157" s="23" t="s">
        <v>15</v>
      </c>
      <c r="F157" s="24">
        <v>20010327</v>
      </c>
      <c r="G157" s="16">
        <f t="shared" si="8"/>
        <v>36977</v>
      </c>
      <c r="H157" s="2">
        <f t="shared" si="9"/>
        <v>20</v>
      </c>
      <c r="I157" s="17"/>
      <c r="J157" s="25">
        <v>20190401</v>
      </c>
      <c r="K157" s="16">
        <f t="shared" si="10"/>
        <v>43556</v>
      </c>
      <c r="L157" s="2">
        <f t="shared" si="11"/>
        <v>2</v>
      </c>
      <c r="M157" s="25"/>
      <c r="N157" s="26"/>
      <c r="O157" s="27">
        <v>6</v>
      </c>
      <c r="P157" s="70">
        <v>43011</v>
      </c>
      <c r="Q157" s="70" t="s">
        <v>349</v>
      </c>
      <c r="R157" s="22">
        <v>1</v>
      </c>
      <c r="S157" s="22" t="s">
        <v>679</v>
      </c>
      <c r="T157" s="22">
        <v>2</v>
      </c>
    </row>
    <row r="158" spans="1:20">
      <c r="A158">
        <v>114</v>
      </c>
      <c r="B158" s="21">
        <v>73</v>
      </c>
      <c r="C158" s="22">
        <v>2685</v>
      </c>
      <c r="D158" s="22" t="s">
        <v>384</v>
      </c>
      <c r="E158" s="23" t="s">
        <v>15</v>
      </c>
      <c r="F158" s="24">
        <v>19660304</v>
      </c>
      <c r="G158" s="16">
        <f t="shared" si="8"/>
        <v>24170</v>
      </c>
      <c r="H158" s="2">
        <f t="shared" si="9"/>
        <v>55</v>
      </c>
      <c r="I158" s="17"/>
      <c r="J158" s="25">
        <v>19840321</v>
      </c>
      <c r="K158" s="16">
        <f t="shared" si="10"/>
        <v>30762</v>
      </c>
      <c r="L158" s="2">
        <f t="shared" si="11"/>
        <v>37</v>
      </c>
      <c r="M158" s="25"/>
      <c r="N158" s="26"/>
      <c r="O158" s="27" t="s">
        <v>35</v>
      </c>
      <c r="P158" s="70">
        <v>44111</v>
      </c>
      <c r="Q158" s="70" t="s">
        <v>383</v>
      </c>
      <c r="R158" s="22">
        <v>1</v>
      </c>
      <c r="S158" s="22" t="s">
        <v>679</v>
      </c>
      <c r="T158" s="22">
        <v>2</v>
      </c>
    </row>
    <row r="159" spans="1:20">
      <c r="A159">
        <v>109</v>
      </c>
      <c r="B159" s="21">
        <v>88</v>
      </c>
      <c r="C159" s="22">
        <v>2760</v>
      </c>
      <c r="D159" s="22" t="s">
        <v>179</v>
      </c>
      <c r="E159" s="23" t="s">
        <v>15</v>
      </c>
      <c r="F159" s="24">
        <v>19630518</v>
      </c>
      <c r="G159" s="16">
        <f t="shared" si="8"/>
        <v>23149</v>
      </c>
      <c r="H159" s="2">
        <f t="shared" si="9"/>
        <v>58</v>
      </c>
      <c r="I159" s="17"/>
      <c r="J159" s="25">
        <v>19860326</v>
      </c>
      <c r="K159" s="16">
        <f t="shared" si="10"/>
        <v>31497</v>
      </c>
      <c r="L159" s="2">
        <f t="shared" si="11"/>
        <v>35</v>
      </c>
      <c r="M159" s="25"/>
      <c r="N159" s="26"/>
      <c r="O159" s="27" t="s">
        <v>16</v>
      </c>
      <c r="P159" s="70">
        <v>80000</v>
      </c>
      <c r="Q159" s="70" t="s">
        <v>172</v>
      </c>
      <c r="R159" s="22">
        <v>0</v>
      </c>
      <c r="S159" s="22"/>
      <c r="T159" s="22">
        <v>1</v>
      </c>
    </row>
    <row r="160" spans="1:20">
      <c r="A160">
        <v>71</v>
      </c>
      <c r="B160" s="21">
        <v>99</v>
      </c>
      <c r="C160" s="22">
        <v>2825</v>
      </c>
      <c r="D160" s="22" t="s">
        <v>334</v>
      </c>
      <c r="E160" s="23" t="s">
        <v>15</v>
      </c>
      <c r="F160" s="24">
        <v>19690623</v>
      </c>
      <c r="G160" s="16">
        <f t="shared" si="8"/>
        <v>25377</v>
      </c>
      <c r="H160" s="2">
        <f t="shared" si="9"/>
        <v>52</v>
      </c>
      <c r="I160" s="17"/>
      <c r="J160" s="25">
        <v>19880324</v>
      </c>
      <c r="K160" s="16">
        <f t="shared" si="10"/>
        <v>32226</v>
      </c>
      <c r="L160" s="2">
        <f t="shared" si="11"/>
        <v>33</v>
      </c>
      <c r="M160" s="25"/>
      <c r="N160" s="26"/>
      <c r="O160" s="27" t="s">
        <v>35</v>
      </c>
      <c r="P160" s="70">
        <v>42311</v>
      </c>
      <c r="Q160" s="70" t="s">
        <v>331</v>
      </c>
      <c r="R160" s="22">
        <v>1</v>
      </c>
      <c r="S160" s="22" t="s">
        <v>679</v>
      </c>
      <c r="T160" s="22">
        <v>2</v>
      </c>
    </row>
    <row r="161" spans="1:20">
      <c r="A161">
        <v>68</v>
      </c>
      <c r="B161" s="21">
        <v>450</v>
      </c>
      <c r="C161" s="22">
        <v>5067</v>
      </c>
      <c r="D161" s="22" t="s">
        <v>330</v>
      </c>
      <c r="E161" s="23" t="s">
        <v>15</v>
      </c>
      <c r="F161" s="24">
        <v>19650508</v>
      </c>
      <c r="G161" s="16">
        <f t="shared" si="8"/>
        <v>23870</v>
      </c>
      <c r="H161" s="2">
        <f t="shared" si="9"/>
        <v>56</v>
      </c>
      <c r="I161" s="17"/>
      <c r="J161" s="25">
        <v>19830325</v>
      </c>
      <c r="K161" s="16">
        <f t="shared" si="10"/>
        <v>30400</v>
      </c>
      <c r="L161" s="2">
        <f t="shared" si="11"/>
        <v>38</v>
      </c>
      <c r="M161" s="25"/>
      <c r="N161" s="26"/>
      <c r="O161" s="27" t="s">
        <v>75</v>
      </c>
      <c r="P161" s="70">
        <v>42311</v>
      </c>
      <c r="Q161" s="70" t="s">
        <v>331</v>
      </c>
      <c r="R161" s="22">
        <v>1</v>
      </c>
      <c r="S161" s="22" t="s">
        <v>679</v>
      </c>
      <c r="T161" s="22">
        <v>1</v>
      </c>
    </row>
    <row r="162" spans="1:20">
      <c r="A162">
        <v>48</v>
      </c>
      <c r="B162" s="21">
        <v>71</v>
      </c>
      <c r="C162" s="22">
        <v>2658</v>
      </c>
      <c r="D162" s="22" t="s">
        <v>107</v>
      </c>
      <c r="E162" s="23" t="s">
        <v>15</v>
      </c>
      <c r="F162" s="24">
        <v>19650202</v>
      </c>
      <c r="G162" s="16">
        <f t="shared" si="8"/>
        <v>23775</v>
      </c>
      <c r="H162" s="2">
        <f t="shared" si="9"/>
        <v>56</v>
      </c>
      <c r="I162" s="17"/>
      <c r="J162" s="25">
        <v>19830325</v>
      </c>
      <c r="K162" s="16">
        <f t="shared" si="10"/>
        <v>30400</v>
      </c>
      <c r="L162" s="2">
        <f t="shared" si="11"/>
        <v>38</v>
      </c>
      <c r="M162" s="25"/>
      <c r="N162" s="26"/>
      <c r="O162" s="27" t="s">
        <v>35</v>
      </c>
      <c r="P162" s="70">
        <v>41200</v>
      </c>
      <c r="Q162" s="70" t="s">
        <v>103</v>
      </c>
      <c r="R162" s="22">
        <v>0</v>
      </c>
      <c r="S162" s="22"/>
      <c r="T162" s="22">
        <v>2</v>
      </c>
    </row>
    <row r="163" spans="1:20">
      <c r="A163">
        <v>90</v>
      </c>
      <c r="B163" s="21">
        <v>352</v>
      </c>
      <c r="C163" s="22">
        <v>3501</v>
      </c>
      <c r="D163" s="22" t="s">
        <v>156</v>
      </c>
      <c r="E163" s="23" t="s">
        <v>15</v>
      </c>
      <c r="F163" s="24">
        <v>19970128</v>
      </c>
      <c r="G163" s="16">
        <f t="shared" si="8"/>
        <v>35458</v>
      </c>
      <c r="H163" s="2">
        <f t="shared" si="9"/>
        <v>24</v>
      </c>
      <c r="I163" s="17"/>
      <c r="J163" s="25">
        <v>20190401</v>
      </c>
      <c r="K163" s="16">
        <f t="shared" si="10"/>
        <v>43556</v>
      </c>
      <c r="L163" s="2">
        <f t="shared" si="11"/>
        <v>2</v>
      </c>
      <c r="M163" s="25"/>
      <c r="N163" s="26"/>
      <c r="O163" s="27">
        <v>8</v>
      </c>
      <c r="P163" s="70">
        <v>51000</v>
      </c>
      <c r="Q163" s="70" t="s">
        <v>124</v>
      </c>
      <c r="R163" s="22">
        <v>0</v>
      </c>
      <c r="S163" s="22"/>
      <c r="T163" s="22">
        <v>2</v>
      </c>
    </row>
    <row r="164" spans="1:20">
      <c r="A164">
        <v>108</v>
      </c>
      <c r="B164" s="21">
        <v>171</v>
      </c>
      <c r="C164" s="22">
        <v>3160</v>
      </c>
      <c r="D164" s="22" t="s">
        <v>178</v>
      </c>
      <c r="E164" s="23" t="s">
        <v>15</v>
      </c>
      <c r="F164" s="24">
        <v>19761015</v>
      </c>
      <c r="G164" s="16">
        <f t="shared" si="8"/>
        <v>28048</v>
      </c>
      <c r="H164" s="2">
        <f t="shared" si="9"/>
        <v>44</v>
      </c>
      <c r="I164" s="17"/>
      <c r="J164" s="25">
        <v>19990322</v>
      </c>
      <c r="K164" s="16">
        <f t="shared" si="10"/>
        <v>36241</v>
      </c>
      <c r="L164" s="2">
        <f t="shared" si="11"/>
        <v>22</v>
      </c>
      <c r="M164" s="25"/>
      <c r="N164" s="26"/>
      <c r="O164" s="27" t="s">
        <v>16</v>
      </c>
      <c r="P164" s="70">
        <v>80000</v>
      </c>
      <c r="Q164" s="70" t="s">
        <v>172</v>
      </c>
      <c r="R164" s="22">
        <v>0</v>
      </c>
      <c r="S164" s="22"/>
      <c r="T164" s="22">
        <v>1</v>
      </c>
    </row>
    <row r="165" spans="1:20">
      <c r="A165">
        <v>25</v>
      </c>
      <c r="B165" s="21">
        <v>76</v>
      </c>
      <c r="C165" s="22">
        <v>2692</v>
      </c>
      <c r="D165" s="22" t="s">
        <v>283</v>
      </c>
      <c r="E165" s="23" t="s">
        <v>15</v>
      </c>
      <c r="F165" s="24">
        <v>19650611</v>
      </c>
      <c r="G165" s="16">
        <f t="shared" si="8"/>
        <v>23904</v>
      </c>
      <c r="H165" s="2">
        <f t="shared" si="9"/>
        <v>56</v>
      </c>
      <c r="I165" s="17"/>
      <c r="J165" s="25">
        <v>19840321</v>
      </c>
      <c r="K165" s="16">
        <f t="shared" si="10"/>
        <v>30762</v>
      </c>
      <c r="L165" s="2">
        <f t="shared" si="11"/>
        <v>37</v>
      </c>
      <c r="M165" s="25"/>
      <c r="N165" s="26"/>
      <c r="O165" s="27" t="s">
        <v>35</v>
      </c>
      <c r="P165" s="70">
        <v>41111</v>
      </c>
      <c r="Q165" s="70" t="s">
        <v>280</v>
      </c>
      <c r="R165" s="22">
        <v>1</v>
      </c>
      <c r="S165" s="22" t="s">
        <v>679</v>
      </c>
      <c r="T165" s="22">
        <v>2</v>
      </c>
    </row>
    <row r="166" spans="1:20">
      <c r="A166">
        <v>32</v>
      </c>
      <c r="B166" s="21">
        <v>205</v>
      </c>
      <c r="C166" s="22">
        <v>3236</v>
      </c>
      <c r="D166" s="22" t="s">
        <v>291</v>
      </c>
      <c r="E166" s="23" t="s">
        <v>15</v>
      </c>
      <c r="F166" s="24">
        <v>19860912</v>
      </c>
      <c r="G166" s="16">
        <f t="shared" si="8"/>
        <v>31667</v>
      </c>
      <c r="H166" s="2">
        <f t="shared" si="9"/>
        <v>34</v>
      </c>
      <c r="I166" s="17"/>
      <c r="J166" s="25">
        <v>20050321</v>
      </c>
      <c r="K166" s="16">
        <f t="shared" si="10"/>
        <v>38432</v>
      </c>
      <c r="L166" s="2">
        <f t="shared" si="11"/>
        <v>16</v>
      </c>
      <c r="M166" s="25"/>
      <c r="N166" s="26"/>
      <c r="O166" s="27" t="s">
        <v>35</v>
      </c>
      <c r="P166" s="70">
        <v>42011</v>
      </c>
      <c r="Q166" s="70" t="s">
        <v>290</v>
      </c>
      <c r="R166" s="22">
        <v>1</v>
      </c>
      <c r="S166" s="22" t="s">
        <v>679</v>
      </c>
      <c r="T166" s="22">
        <v>1</v>
      </c>
    </row>
    <row r="167" spans="1:20">
      <c r="A167">
        <v>33</v>
      </c>
      <c r="B167" s="21">
        <v>69</v>
      </c>
      <c r="C167" s="22">
        <v>2639</v>
      </c>
      <c r="D167" s="22" t="s">
        <v>88</v>
      </c>
      <c r="E167" s="23" t="s">
        <v>15</v>
      </c>
      <c r="F167" s="24">
        <v>19630212</v>
      </c>
      <c r="G167" s="16">
        <f t="shared" si="8"/>
        <v>23054</v>
      </c>
      <c r="H167" s="2">
        <f t="shared" si="9"/>
        <v>58</v>
      </c>
      <c r="I167" s="17"/>
      <c r="J167" s="25">
        <v>19820325</v>
      </c>
      <c r="K167" s="16">
        <f t="shared" si="10"/>
        <v>30035</v>
      </c>
      <c r="L167" s="2">
        <f t="shared" si="11"/>
        <v>39</v>
      </c>
      <c r="M167" s="25"/>
      <c r="N167" s="26"/>
      <c r="O167" s="27" t="s">
        <v>89</v>
      </c>
      <c r="P167" s="70">
        <v>40000</v>
      </c>
      <c r="Q167" s="70" t="s">
        <v>87</v>
      </c>
      <c r="R167" s="22">
        <v>0</v>
      </c>
      <c r="S167" s="22"/>
      <c r="T167" s="22">
        <v>1</v>
      </c>
    </row>
    <row r="168" spans="1:20">
      <c r="A168">
        <v>142</v>
      </c>
      <c r="B168" s="21">
        <v>170</v>
      </c>
      <c r="C168" s="22">
        <v>3152</v>
      </c>
      <c r="D168" s="22" t="s">
        <v>415</v>
      </c>
      <c r="E168" s="23" t="s">
        <v>15</v>
      </c>
      <c r="F168" s="24">
        <v>19780123</v>
      </c>
      <c r="G168" s="16">
        <f t="shared" si="8"/>
        <v>28513</v>
      </c>
      <c r="H168" s="2">
        <f t="shared" si="9"/>
        <v>43</v>
      </c>
      <c r="I168" s="17"/>
      <c r="J168" s="25">
        <v>19980323</v>
      </c>
      <c r="K168" s="16">
        <f t="shared" si="10"/>
        <v>35877</v>
      </c>
      <c r="L168" s="2">
        <f t="shared" si="11"/>
        <v>23</v>
      </c>
      <c r="M168" s="25"/>
      <c r="N168" s="26"/>
      <c r="O168" s="27" t="s">
        <v>19</v>
      </c>
      <c r="P168" s="70">
        <v>64011</v>
      </c>
      <c r="Q168" s="70" t="s">
        <v>416</v>
      </c>
      <c r="R168" s="22">
        <v>1</v>
      </c>
      <c r="S168" s="22" t="s">
        <v>679</v>
      </c>
      <c r="T168" s="22">
        <v>1</v>
      </c>
    </row>
    <row r="169" spans="1:20">
      <c r="A169">
        <v>176</v>
      </c>
      <c r="B169" s="21">
        <v>460</v>
      </c>
      <c r="C169" s="22">
        <v>5159</v>
      </c>
      <c r="D169" s="22" t="s">
        <v>455</v>
      </c>
      <c r="E169" s="23" t="s">
        <v>15</v>
      </c>
      <c r="F169" s="24">
        <v>19701025</v>
      </c>
      <c r="G169" s="16">
        <f t="shared" si="8"/>
        <v>25866</v>
      </c>
      <c r="H169" s="2">
        <f t="shared" si="9"/>
        <v>50</v>
      </c>
      <c r="I169" s="17"/>
      <c r="J169" s="25">
        <v>19880325</v>
      </c>
      <c r="K169" s="16">
        <f t="shared" si="10"/>
        <v>32227</v>
      </c>
      <c r="L169" s="2">
        <f t="shared" si="11"/>
        <v>33</v>
      </c>
      <c r="M169" s="25"/>
      <c r="N169" s="26"/>
      <c r="O169" s="27" t="s">
        <v>345</v>
      </c>
      <c r="P169" s="70">
        <v>66011</v>
      </c>
      <c r="Q169" s="70" t="s">
        <v>449</v>
      </c>
      <c r="R169" s="22">
        <v>1</v>
      </c>
      <c r="S169" s="22" t="s">
        <v>679</v>
      </c>
      <c r="T169" s="22">
        <v>2</v>
      </c>
    </row>
    <row r="170" spans="1:20">
      <c r="A170">
        <v>2</v>
      </c>
      <c r="B170" s="21">
        <v>3</v>
      </c>
      <c r="C170" s="22">
        <v>1278</v>
      </c>
      <c r="D170" s="22" t="s">
        <v>14</v>
      </c>
      <c r="E170" s="23" t="s">
        <v>15</v>
      </c>
      <c r="F170" s="24">
        <v>19620707</v>
      </c>
      <c r="G170" s="16">
        <f t="shared" si="8"/>
        <v>22834</v>
      </c>
      <c r="H170" s="2">
        <f t="shared" si="9"/>
        <v>59</v>
      </c>
      <c r="I170" s="17"/>
      <c r="J170" s="25">
        <v>19920130</v>
      </c>
      <c r="K170" s="16">
        <f t="shared" si="10"/>
        <v>33633</v>
      </c>
      <c r="L170" s="2">
        <f t="shared" si="11"/>
        <v>29</v>
      </c>
      <c r="M170" s="25"/>
      <c r="N170" s="26"/>
      <c r="O170" s="27" t="s">
        <v>16</v>
      </c>
      <c r="P170" s="70">
        <v>1000</v>
      </c>
      <c r="Q170" s="70" t="s">
        <v>17</v>
      </c>
      <c r="R170" s="22">
        <v>0</v>
      </c>
      <c r="S170" s="22"/>
      <c r="T170" s="22">
        <v>1</v>
      </c>
    </row>
    <row r="171" spans="1:20">
      <c r="A171">
        <v>66</v>
      </c>
      <c r="B171" s="21">
        <v>321</v>
      </c>
      <c r="C171" s="22">
        <v>3457</v>
      </c>
      <c r="D171" s="22" t="s">
        <v>328</v>
      </c>
      <c r="E171" s="23" t="s">
        <v>15</v>
      </c>
      <c r="F171" s="24">
        <v>19971125</v>
      </c>
      <c r="G171" s="16">
        <f t="shared" si="8"/>
        <v>35759</v>
      </c>
      <c r="H171" s="2">
        <f t="shared" si="9"/>
        <v>23</v>
      </c>
      <c r="I171" s="17"/>
      <c r="J171" s="25">
        <v>20160401</v>
      </c>
      <c r="K171" s="16">
        <f t="shared" si="10"/>
        <v>42461</v>
      </c>
      <c r="L171" s="2">
        <f t="shared" si="11"/>
        <v>5</v>
      </c>
      <c r="M171" s="25"/>
      <c r="N171" s="26"/>
      <c r="O171" s="27" t="s">
        <v>35</v>
      </c>
      <c r="P171" s="70">
        <v>42211</v>
      </c>
      <c r="Q171" s="70" t="s">
        <v>318</v>
      </c>
      <c r="R171" s="22">
        <v>1</v>
      </c>
      <c r="S171" s="22" t="s">
        <v>679</v>
      </c>
      <c r="T171" s="22">
        <v>2</v>
      </c>
    </row>
    <row r="172" spans="1:20">
      <c r="A172">
        <v>12</v>
      </c>
      <c r="B172" s="21">
        <v>124</v>
      </c>
      <c r="C172" s="22">
        <v>2973</v>
      </c>
      <c r="D172" s="22" t="s">
        <v>269</v>
      </c>
      <c r="E172" s="23" t="s">
        <v>15</v>
      </c>
      <c r="F172" s="24">
        <v>19740327</v>
      </c>
      <c r="G172" s="16">
        <f t="shared" si="8"/>
        <v>27115</v>
      </c>
      <c r="H172" s="2">
        <f t="shared" si="9"/>
        <v>47</v>
      </c>
      <c r="I172" s="17"/>
      <c r="J172" s="25">
        <v>19940322</v>
      </c>
      <c r="K172" s="16">
        <f t="shared" si="10"/>
        <v>34415</v>
      </c>
      <c r="L172" s="2">
        <f t="shared" si="11"/>
        <v>27</v>
      </c>
      <c r="M172" s="25"/>
      <c r="N172" s="26"/>
      <c r="O172" s="27" t="s">
        <v>19</v>
      </c>
      <c r="P172" s="70">
        <v>41011</v>
      </c>
      <c r="Q172" s="70" t="s">
        <v>258</v>
      </c>
      <c r="R172" s="22">
        <v>1</v>
      </c>
      <c r="S172" s="22" t="s">
        <v>679</v>
      </c>
      <c r="T172" s="22">
        <v>2</v>
      </c>
    </row>
    <row r="173" spans="1:20">
      <c r="A173">
        <v>9</v>
      </c>
      <c r="B173" s="21">
        <v>459</v>
      </c>
      <c r="C173" s="22">
        <v>5153</v>
      </c>
      <c r="D173" s="22" t="s">
        <v>266</v>
      </c>
      <c r="E173" s="23" t="s">
        <v>15</v>
      </c>
      <c r="F173" s="24">
        <v>19700510</v>
      </c>
      <c r="G173" s="16">
        <f t="shared" si="8"/>
        <v>25698</v>
      </c>
      <c r="H173" s="2">
        <f t="shared" si="9"/>
        <v>51</v>
      </c>
      <c r="I173" s="17"/>
      <c r="J173" s="25">
        <v>19870325</v>
      </c>
      <c r="K173" s="16">
        <f t="shared" si="10"/>
        <v>31861</v>
      </c>
      <c r="L173" s="2">
        <f t="shared" si="11"/>
        <v>34</v>
      </c>
      <c r="M173" s="25"/>
      <c r="N173" s="26"/>
      <c r="O173" s="27" t="s">
        <v>105</v>
      </c>
      <c r="P173" s="70">
        <v>41011</v>
      </c>
      <c r="Q173" s="70" t="s">
        <v>258</v>
      </c>
      <c r="R173" s="22">
        <v>1</v>
      </c>
      <c r="S173" s="22" t="s">
        <v>679</v>
      </c>
      <c r="T173" s="22">
        <v>2</v>
      </c>
    </row>
    <row r="174" spans="1:20">
      <c r="A174">
        <v>85</v>
      </c>
      <c r="B174" s="21">
        <v>200</v>
      </c>
      <c r="C174" s="22">
        <v>3225</v>
      </c>
      <c r="D174" s="22" t="s">
        <v>351</v>
      </c>
      <c r="E174" s="23" t="s">
        <v>15</v>
      </c>
      <c r="F174" s="24">
        <v>19850414</v>
      </c>
      <c r="G174" s="16">
        <f t="shared" si="8"/>
        <v>31151</v>
      </c>
      <c r="H174" s="2">
        <f t="shared" si="9"/>
        <v>36</v>
      </c>
      <c r="I174" s="17"/>
      <c r="J174" s="25">
        <v>20040322</v>
      </c>
      <c r="K174" s="16">
        <f t="shared" si="10"/>
        <v>38068</v>
      </c>
      <c r="L174" s="2">
        <f t="shared" si="11"/>
        <v>17</v>
      </c>
      <c r="M174" s="25"/>
      <c r="N174" s="26"/>
      <c r="O174" s="27" t="s">
        <v>35</v>
      </c>
      <c r="P174" s="70">
        <v>43011</v>
      </c>
      <c r="Q174" s="70" t="s">
        <v>349</v>
      </c>
      <c r="R174" s="22">
        <v>1</v>
      </c>
      <c r="S174" s="22" t="s">
        <v>679</v>
      </c>
      <c r="T174" s="22">
        <v>1</v>
      </c>
    </row>
    <row r="175" spans="1:20">
      <c r="A175">
        <v>135</v>
      </c>
      <c r="B175" s="21">
        <v>310</v>
      </c>
      <c r="C175" s="22">
        <v>3445</v>
      </c>
      <c r="D175" s="22" t="s">
        <v>407</v>
      </c>
      <c r="E175" s="23" t="s">
        <v>15</v>
      </c>
      <c r="F175" s="24">
        <v>19960708</v>
      </c>
      <c r="G175" s="16">
        <f t="shared" si="8"/>
        <v>35254</v>
      </c>
      <c r="H175" s="2">
        <f t="shared" si="9"/>
        <v>25</v>
      </c>
      <c r="I175" s="17"/>
      <c r="J175" s="25">
        <v>20150401</v>
      </c>
      <c r="K175" s="16">
        <f t="shared" si="10"/>
        <v>42095</v>
      </c>
      <c r="L175" s="2">
        <f t="shared" si="11"/>
        <v>6</v>
      </c>
      <c r="M175" s="25"/>
      <c r="N175" s="26"/>
      <c r="O175" s="27" t="s">
        <v>35</v>
      </c>
      <c r="P175" s="70">
        <v>45111</v>
      </c>
      <c r="Q175" s="70" t="s">
        <v>396</v>
      </c>
      <c r="R175" s="22">
        <v>1</v>
      </c>
      <c r="S175" s="22" t="s">
        <v>679</v>
      </c>
      <c r="T175" s="22">
        <v>2</v>
      </c>
    </row>
    <row r="176" spans="1:20">
      <c r="A176">
        <v>14</v>
      </c>
      <c r="B176" s="21">
        <v>212</v>
      </c>
      <c r="C176" s="22">
        <v>3253</v>
      </c>
      <c r="D176" s="22" t="s">
        <v>271</v>
      </c>
      <c r="E176" s="23" t="s">
        <v>15</v>
      </c>
      <c r="F176" s="24">
        <v>19850929</v>
      </c>
      <c r="G176" s="16">
        <f t="shared" si="8"/>
        <v>31319</v>
      </c>
      <c r="H176" s="2">
        <f t="shared" si="9"/>
        <v>35</v>
      </c>
      <c r="I176" s="17"/>
      <c r="J176" s="25">
        <v>20060321</v>
      </c>
      <c r="K176" s="16">
        <f t="shared" si="10"/>
        <v>38797</v>
      </c>
      <c r="L176" s="2">
        <f t="shared" si="11"/>
        <v>15</v>
      </c>
      <c r="M176" s="25"/>
      <c r="N176" s="26"/>
      <c r="O176" s="27" t="s">
        <v>19</v>
      </c>
      <c r="P176" s="70">
        <v>41011</v>
      </c>
      <c r="Q176" s="70" t="s">
        <v>258</v>
      </c>
      <c r="R176" s="22">
        <v>1</v>
      </c>
      <c r="S176" s="22" t="s">
        <v>679</v>
      </c>
      <c r="T176" s="22">
        <v>2</v>
      </c>
    </row>
    <row r="177" spans="1:20">
      <c r="A177">
        <v>89</v>
      </c>
      <c r="B177" s="21">
        <v>318</v>
      </c>
      <c r="C177" s="22">
        <v>3454</v>
      </c>
      <c r="D177" s="22" t="s">
        <v>155</v>
      </c>
      <c r="E177" s="23" t="s">
        <v>15</v>
      </c>
      <c r="F177" s="24">
        <v>19930630</v>
      </c>
      <c r="G177" s="16">
        <f t="shared" si="8"/>
        <v>34150</v>
      </c>
      <c r="H177" s="2">
        <f t="shared" si="9"/>
        <v>28</v>
      </c>
      <c r="I177" s="17"/>
      <c r="J177" s="25">
        <v>20160401</v>
      </c>
      <c r="K177" s="16">
        <f t="shared" si="10"/>
        <v>42461</v>
      </c>
      <c r="L177" s="2">
        <f t="shared" si="11"/>
        <v>5</v>
      </c>
      <c r="M177" s="25"/>
      <c r="N177" s="26"/>
      <c r="O177" s="27" t="s">
        <v>16</v>
      </c>
      <c r="P177" s="70">
        <v>61000</v>
      </c>
      <c r="Q177" s="70" t="s">
        <v>147</v>
      </c>
      <c r="R177" s="22">
        <v>0</v>
      </c>
      <c r="S177" s="22"/>
      <c r="T177" s="22">
        <v>2</v>
      </c>
    </row>
    <row r="178" spans="1:20">
      <c r="A178">
        <v>61</v>
      </c>
      <c r="B178" s="21">
        <v>343</v>
      </c>
      <c r="C178" s="22">
        <v>3489</v>
      </c>
      <c r="D178" s="22" t="s">
        <v>122</v>
      </c>
      <c r="E178" s="23" t="s">
        <v>15</v>
      </c>
      <c r="F178" s="24">
        <v>19950615</v>
      </c>
      <c r="G178" s="16">
        <f t="shared" si="8"/>
        <v>34865</v>
      </c>
      <c r="H178" s="2">
        <f t="shared" si="9"/>
        <v>26</v>
      </c>
      <c r="I178" s="17"/>
      <c r="J178" s="25">
        <v>20180402</v>
      </c>
      <c r="K178" s="16">
        <f t="shared" si="10"/>
        <v>43192</v>
      </c>
      <c r="L178" s="2">
        <f t="shared" si="11"/>
        <v>3</v>
      </c>
      <c r="M178" s="25"/>
      <c r="N178" s="26"/>
      <c r="O178" s="27">
        <v>8</v>
      </c>
      <c r="P178" s="70">
        <v>50000</v>
      </c>
      <c r="Q178" s="70" t="s">
        <v>120</v>
      </c>
      <c r="R178" s="22">
        <v>0</v>
      </c>
      <c r="S178" s="22"/>
      <c r="T178" s="22">
        <v>2</v>
      </c>
    </row>
    <row r="179" spans="1:20">
      <c r="A179">
        <v>77</v>
      </c>
      <c r="B179" s="21">
        <v>225</v>
      </c>
      <c r="C179" s="22">
        <v>3286</v>
      </c>
      <c r="D179" s="22" t="s">
        <v>341</v>
      </c>
      <c r="E179" s="23" t="s">
        <v>15</v>
      </c>
      <c r="F179" s="24">
        <v>19891204</v>
      </c>
      <c r="G179" s="16">
        <f t="shared" si="8"/>
        <v>32846</v>
      </c>
      <c r="H179" s="2">
        <f t="shared" si="9"/>
        <v>31</v>
      </c>
      <c r="I179" s="17"/>
      <c r="J179" s="25">
        <v>20080321</v>
      </c>
      <c r="K179" s="16">
        <f t="shared" si="10"/>
        <v>39528</v>
      </c>
      <c r="L179" s="2">
        <f t="shared" si="11"/>
        <v>13</v>
      </c>
      <c r="M179" s="25"/>
      <c r="N179" s="26"/>
      <c r="O179" s="27" t="s">
        <v>35</v>
      </c>
      <c r="P179" s="70">
        <v>42411</v>
      </c>
      <c r="Q179" s="70" t="s">
        <v>339</v>
      </c>
      <c r="R179" s="22">
        <v>1</v>
      </c>
      <c r="S179" s="22" t="s">
        <v>679</v>
      </c>
      <c r="T179" s="22">
        <v>1</v>
      </c>
    </row>
    <row r="180" spans="1:20">
      <c r="A180">
        <v>196</v>
      </c>
      <c r="B180" s="21">
        <v>159</v>
      </c>
      <c r="C180" s="22">
        <v>3103</v>
      </c>
      <c r="D180" s="22" t="s">
        <v>477</v>
      </c>
      <c r="E180" s="23" t="s">
        <v>15</v>
      </c>
      <c r="F180" s="24">
        <v>19760222</v>
      </c>
      <c r="G180" s="16">
        <f t="shared" si="8"/>
        <v>27812</v>
      </c>
      <c r="H180" s="2">
        <f t="shared" si="9"/>
        <v>45</v>
      </c>
      <c r="I180" s="17"/>
      <c r="J180" s="25">
        <v>19960321</v>
      </c>
      <c r="K180" s="16">
        <f t="shared" si="10"/>
        <v>35145</v>
      </c>
      <c r="L180" s="2">
        <f t="shared" si="11"/>
        <v>25</v>
      </c>
      <c r="M180" s="25"/>
      <c r="N180" s="26"/>
      <c r="O180" s="27" t="s">
        <v>19</v>
      </c>
      <c r="P180" s="70">
        <v>67211</v>
      </c>
      <c r="Q180" s="70" t="s">
        <v>476</v>
      </c>
      <c r="R180" s="22">
        <v>1</v>
      </c>
      <c r="S180" s="22" t="s">
        <v>679</v>
      </c>
      <c r="T180" s="22">
        <v>1</v>
      </c>
    </row>
    <row r="181" spans="1:20">
      <c r="A181">
        <v>157</v>
      </c>
      <c r="B181" s="21">
        <v>36</v>
      </c>
      <c r="C181" s="22">
        <v>1375</v>
      </c>
      <c r="D181" s="22" t="s">
        <v>228</v>
      </c>
      <c r="E181" s="23" t="s">
        <v>15</v>
      </c>
      <c r="F181" s="24">
        <v>19891119</v>
      </c>
      <c r="G181" s="16">
        <f t="shared" si="8"/>
        <v>32831</v>
      </c>
      <c r="H181" s="2">
        <f t="shared" si="9"/>
        <v>31</v>
      </c>
      <c r="I181" s="17"/>
      <c r="J181" s="25">
        <v>20110921</v>
      </c>
      <c r="K181" s="16">
        <f t="shared" si="10"/>
        <v>40807</v>
      </c>
      <c r="L181" s="2">
        <f t="shared" si="11"/>
        <v>9</v>
      </c>
      <c r="M181" s="25"/>
      <c r="N181" s="26"/>
      <c r="O181" s="27" t="s">
        <v>19</v>
      </c>
      <c r="P181" s="70">
        <v>21000</v>
      </c>
      <c r="Q181" s="70" t="s">
        <v>638</v>
      </c>
      <c r="R181" s="22">
        <v>0</v>
      </c>
      <c r="S181" s="22"/>
      <c r="T181" s="22">
        <v>1</v>
      </c>
    </row>
    <row r="182" spans="1:20">
      <c r="A182">
        <v>119</v>
      </c>
      <c r="B182" s="21">
        <v>155</v>
      </c>
      <c r="C182" s="22">
        <v>3097</v>
      </c>
      <c r="D182" s="22" t="s">
        <v>390</v>
      </c>
      <c r="E182" s="23" t="s">
        <v>15</v>
      </c>
      <c r="F182" s="24">
        <v>19750514</v>
      </c>
      <c r="G182" s="16">
        <f t="shared" si="8"/>
        <v>27528</v>
      </c>
      <c r="H182" s="2">
        <f t="shared" si="9"/>
        <v>46</v>
      </c>
      <c r="I182" s="17"/>
      <c r="J182" s="25">
        <v>19960325</v>
      </c>
      <c r="K182" s="16">
        <f t="shared" si="10"/>
        <v>35149</v>
      </c>
      <c r="L182" s="2">
        <f t="shared" si="11"/>
        <v>25</v>
      </c>
      <c r="M182" s="25"/>
      <c r="N182" s="26"/>
      <c r="O182" s="27" t="s">
        <v>19</v>
      </c>
      <c r="P182" s="70">
        <v>44511</v>
      </c>
      <c r="Q182" s="70" t="s">
        <v>389</v>
      </c>
      <c r="R182" s="22">
        <v>1</v>
      </c>
      <c r="S182" s="22" t="s">
        <v>679</v>
      </c>
      <c r="T182" s="22">
        <v>1</v>
      </c>
    </row>
    <row r="183" spans="1:20">
      <c r="A183">
        <v>133</v>
      </c>
      <c r="B183" s="21">
        <v>253</v>
      </c>
      <c r="C183" s="22">
        <v>3348</v>
      </c>
      <c r="D183" s="22" t="s">
        <v>405</v>
      </c>
      <c r="E183" s="23" t="s">
        <v>15</v>
      </c>
      <c r="F183" s="24">
        <v>19921110</v>
      </c>
      <c r="G183" s="16">
        <f t="shared" si="8"/>
        <v>33918</v>
      </c>
      <c r="H183" s="2">
        <f t="shared" si="9"/>
        <v>28</v>
      </c>
      <c r="I183" s="17"/>
      <c r="J183" s="25">
        <v>20110321</v>
      </c>
      <c r="K183" s="16">
        <f t="shared" si="10"/>
        <v>40623</v>
      </c>
      <c r="L183" s="2">
        <f t="shared" si="11"/>
        <v>10</v>
      </c>
      <c r="M183" s="25"/>
      <c r="N183" s="26"/>
      <c r="O183" s="27" t="s">
        <v>35</v>
      </c>
      <c r="P183" s="70">
        <v>45111</v>
      </c>
      <c r="Q183" s="70" t="s">
        <v>396</v>
      </c>
      <c r="R183" s="22">
        <v>1</v>
      </c>
      <c r="S183" s="22" t="s">
        <v>679</v>
      </c>
      <c r="T183" s="22">
        <v>2</v>
      </c>
    </row>
    <row r="184" spans="1:20">
      <c r="A184">
        <v>147</v>
      </c>
      <c r="B184" s="21">
        <v>75</v>
      </c>
      <c r="C184" s="22">
        <v>2687</v>
      </c>
      <c r="D184" s="22" t="s">
        <v>421</v>
      </c>
      <c r="E184" s="23" t="s">
        <v>15</v>
      </c>
      <c r="F184" s="24">
        <v>19650828</v>
      </c>
      <c r="G184" s="16">
        <f t="shared" si="8"/>
        <v>23982</v>
      </c>
      <c r="H184" s="2">
        <f t="shared" si="9"/>
        <v>56</v>
      </c>
      <c r="I184" s="17"/>
      <c r="J184" s="25">
        <v>19840326</v>
      </c>
      <c r="K184" s="16">
        <f t="shared" si="10"/>
        <v>30767</v>
      </c>
      <c r="L184" s="2">
        <f t="shared" si="11"/>
        <v>37</v>
      </c>
      <c r="M184" s="25"/>
      <c r="N184" s="26"/>
      <c r="O184" s="27" t="s">
        <v>35</v>
      </c>
      <c r="P184" s="70">
        <v>64111</v>
      </c>
      <c r="Q184" s="70" t="s">
        <v>422</v>
      </c>
      <c r="R184" s="22">
        <v>1</v>
      </c>
      <c r="S184" s="22" t="s">
        <v>679</v>
      </c>
      <c r="T184" s="22">
        <v>1</v>
      </c>
    </row>
    <row r="185" spans="1:20">
      <c r="A185">
        <v>189</v>
      </c>
      <c r="B185" s="21">
        <v>388</v>
      </c>
      <c r="C185" s="22">
        <v>3876</v>
      </c>
      <c r="D185" s="22" t="s">
        <v>469</v>
      </c>
      <c r="E185" s="23" t="s">
        <v>15</v>
      </c>
      <c r="F185" s="24">
        <v>19670509</v>
      </c>
      <c r="G185" s="16">
        <f t="shared" si="8"/>
        <v>24601</v>
      </c>
      <c r="H185" s="2">
        <f t="shared" si="9"/>
        <v>54</v>
      </c>
      <c r="I185" s="17"/>
      <c r="J185" s="25">
        <v>20000421</v>
      </c>
      <c r="K185" s="16">
        <f t="shared" si="10"/>
        <v>36637</v>
      </c>
      <c r="L185" s="2">
        <f t="shared" si="11"/>
        <v>21</v>
      </c>
      <c r="M185" s="25"/>
      <c r="N185" s="26"/>
      <c r="O185" s="27" t="s">
        <v>35</v>
      </c>
      <c r="P185" s="70">
        <v>67011</v>
      </c>
      <c r="Q185" s="70" t="s">
        <v>466</v>
      </c>
      <c r="R185" s="22">
        <v>1</v>
      </c>
      <c r="S185" s="22" t="s">
        <v>679</v>
      </c>
      <c r="T185" s="22">
        <v>2</v>
      </c>
    </row>
    <row r="186" spans="1:20">
      <c r="A186">
        <v>24</v>
      </c>
      <c r="B186" s="21">
        <v>455</v>
      </c>
      <c r="C186" s="22">
        <v>5119</v>
      </c>
      <c r="D186" s="22" t="s">
        <v>74</v>
      </c>
      <c r="E186" s="23" t="s">
        <v>15</v>
      </c>
      <c r="F186" s="24">
        <v>19670723</v>
      </c>
      <c r="G186" s="16">
        <f t="shared" si="8"/>
        <v>24676</v>
      </c>
      <c r="H186" s="2">
        <f t="shared" si="9"/>
        <v>54</v>
      </c>
      <c r="I186" s="17"/>
      <c r="J186" s="25">
        <v>19850326</v>
      </c>
      <c r="K186" s="16">
        <f t="shared" si="10"/>
        <v>31132</v>
      </c>
      <c r="L186" s="2">
        <f t="shared" si="11"/>
        <v>36</v>
      </c>
      <c r="M186" s="25"/>
      <c r="N186" s="26"/>
      <c r="O186" s="27" t="s">
        <v>75</v>
      </c>
      <c r="P186" s="70">
        <v>31000</v>
      </c>
      <c r="Q186" s="70" t="s">
        <v>72</v>
      </c>
      <c r="R186" s="22">
        <v>0</v>
      </c>
      <c r="S186" s="22"/>
      <c r="T186" s="22">
        <v>2</v>
      </c>
    </row>
    <row r="187" spans="1:20">
      <c r="A187">
        <v>168</v>
      </c>
      <c r="B187" s="21">
        <v>58</v>
      </c>
      <c r="C187" s="22">
        <v>1404</v>
      </c>
      <c r="D187" s="22" t="s">
        <v>446</v>
      </c>
      <c r="E187" s="23" t="s">
        <v>15</v>
      </c>
      <c r="F187" s="24">
        <v>19950517</v>
      </c>
      <c r="G187" s="16">
        <f t="shared" si="8"/>
        <v>34836</v>
      </c>
      <c r="H187" s="2">
        <f t="shared" si="9"/>
        <v>26</v>
      </c>
      <c r="I187" s="17"/>
      <c r="J187" s="25">
        <v>20190801</v>
      </c>
      <c r="K187" s="16">
        <f t="shared" si="10"/>
        <v>43678</v>
      </c>
      <c r="L187" s="2">
        <f t="shared" si="11"/>
        <v>2</v>
      </c>
      <c r="M187" s="25"/>
      <c r="N187" s="26"/>
      <c r="O187" s="27">
        <v>6</v>
      </c>
      <c r="P187" s="70">
        <v>65011</v>
      </c>
      <c r="Q187" s="70" t="s">
        <v>433</v>
      </c>
      <c r="R187" s="22">
        <v>1</v>
      </c>
      <c r="S187" s="22" t="s">
        <v>679</v>
      </c>
      <c r="T187" s="22">
        <v>2</v>
      </c>
    </row>
    <row r="188" spans="1:20">
      <c r="A188">
        <v>156</v>
      </c>
      <c r="B188" s="21">
        <v>259</v>
      </c>
      <c r="C188" s="22">
        <v>3358</v>
      </c>
      <c r="D188" s="22" t="s">
        <v>227</v>
      </c>
      <c r="E188" s="23" t="s">
        <v>15</v>
      </c>
      <c r="F188" s="24">
        <v>19900105</v>
      </c>
      <c r="G188" s="16">
        <f t="shared" si="8"/>
        <v>32878</v>
      </c>
      <c r="H188" s="2">
        <f t="shared" si="9"/>
        <v>31</v>
      </c>
      <c r="I188" s="17"/>
      <c r="J188" s="25">
        <v>20120321</v>
      </c>
      <c r="K188" s="16">
        <f t="shared" si="10"/>
        <v>40989</v>
      </c>
      <c r="L188" s="2">
        <f t="shared" si="11"/>
        <v>9</v>
      </c>
      <c r="M188" s="25"/>
      <c r="N188" s="26"/>
      <c r="O188" s="27" t="s">
        <v>16</v>
      </c>
      <c r="P188" s="70">
        <v>90000</v>
      </c>
      <c r="Q188" s="70" t="s">
        <v>218</v>
      </c>
      <c r="R188" s="22">
        <v>0</v>
      </c>
      <c r="S188" s="22"/>
      <c r="T188" s="22">
        <v>1</v>
      </c>
    </row>
    <row r="189" spans="1:20">
      <c r="A189">
        <v>50</v>
      </c>
      <c r="B189" s="21">
        <v>102</v>
      </c>
      <c r="C189" s="22">
        <v>2831</v>
      </c>
      <c r="D189" s="22" t="s">
        <v>109</v>
      </c>
      <c r="E189" s="23" t="s">
        <v>15</v>
      </c>
      <c r="F189" s="24">
        <v>19700224</v>
      </c>
      <c r="G189" s="16">
        <f t="shared" si="8"/>
        <v>25623</v>
      </c>
      <c r="H189" s="2">
        <f t="shared" si="9"/>
        <v>51</v>
      </c>
      <c r="I189" s="17"/>
      <c r="J189" s="25">
        <v>19880324</v>
      </c>
      <c r="K189" s="16">
        <f t="shared" si="10"/>
        <v>32226</v>
      </c>
      <c r="L189" s="2">
        <f t="shared" si="11"/>
        <v>33</v>
      </c>
      <c r="M189" s="25"/>
      <c r="N189" s="26"/>
      <c r="O189" s="27" t="s">
        <v>35</v>
      </c>
      <c r="P189" s="70">
        <v>41200</v>
      </c>
      <c r="Q189" s="70" t="s">
        <v>103</v>
      </c>
      <c r="R189" s="22">
        <v>0</v>
      </c>
      <c r="S189" s="22"/>
      <c r="T189" s="22">
        <v>2</v>
      </c>
    </row>
    <row r="190" spans="1:20">
      <c r="A190">
        <v>222</v>
      </c>
      <c r="B190" s="21">
        <v>439</v>
      </c>
      <c r="C190" s="22">
        <v>3997</v>
      </c>
      <c r="D190" s="22" t="s">
        <v>505</v>
      </c>
      <c r="E190" s="23" t="s">
        <v>15</v>
      </c>
      <c r="F190" s="24">
        <v>19761104</v>
      </c>
      <c r="G190" s="16">
        <f t="shared" si="8"/>
        <v>28068</v>
      </c>
      <c r="H190" s="2">
        <f t="shared" si="9"/>
        <v>44</v>
      </c>
      <c r="I190" s="17"/>
      <c r="J190" s="25">
        <v>20080321</v>
      </c>
      <c r="K190" s="16">
        <f t="shared" si="10"/>
        <v>39528</v>
      </c>
      <c r="L190" s="2">
        <f t="shared" si="11"/>
        <v>13</v>
      </c>
      <c r="M190" s="25"/>
      <c r="N190" s="26"/>
      <c r="O190" s="27" t="s">
        <v>35</v>
      </c>
      <c r="P190" s="70">
        <v>69111</v>
      </c>
      <c r="Q190" s="70" t="s">
        <v>506</v>
      </c>
      <c r="R190" s="22">
        <v>1</v>
      </c>
      <c r="S190" s="22" t="s">
        <v>679</v>
      </c>
      <c r="T190" s="22">
        <v>2</v>
      </c>
    </row>
    <row r="191" spans="1:20">
      <c r="A191">
        <v>62</v>
      </c>
      <c r="B191" s="21">
        <v>98</v>
      </c>
      <c r="C191" s="22">
        <v>2811</v>
      </c>
      <c r="D191" s="22" t="s">
        <v>324</v>
      </c>
      <c r="E191" s="23" t="s">
        <v>15</v>
      </c>
      <c r="F191" s="24">
        <v>19690124</v>
      </c>
      <c r="G191" s="16">
        <f t="shared" si="8"/>
        <v>25227</v>
      </c>
      <c r="H191" s="2">
        <f t="shared" si="9"/>
        <v>52</v>
      </c>
      <c r="I191" s="17"/>
      <c r="J191" s="25">
        <v>19870326</v>
      </c>
      <c r="K191" s="16">
        <f t="shared" si="10"/>
        <v>31862</v>
      </c>
      <c r="L191" s="2">
        <f t="shared" si="11"/>
        <v>34</v>
      </c>
      <c r="M191" s="25"/>
      <c r="N191" s="26"/>
      <c r="O191" s="27" t="s">
        <v>35</v>
      </c>
      <c r="P191" s="70">
        <v>42211</v>
      </c>
      <c r="Q191" s="70" t="s">
        <v>318</v>
      </c>
      <c r="R191" s="22">
        <v>1</v>
      </c>
      <c r="S191" s="22" t="s">
        <v>679</v>
      </c>
      <c r="T191" s="22">
        <v>2</v>
      </c>
    </row>
    <row r="192" spans="1:20">
      <c r="A192">
        <v>58</v>
      </c>
      <c r="B192" s="21">
        <v>65</v>
      </c>
      <c r="C192" s="22">
        <v>2575</v>
      </c>
      <c r="D192" s="22" t="s">
        <v>320</v>
      </c>
      <c r="E192" s="23" t="s">
        <v>15</v>
      </c>
      <c r="F192" s="24">
        <v>19621220</v>
      </c>
      <c r="G192" s="16">
        <f t="shared" si="8"/>
        <v>23000</v>
      </c>
      <c r="H192" s="2">
        <f t="shared" si="9"/>
        <v>58</v>
      </c>
      <c r="I192" s="17"/>
      <c r="J192" s="25">
        <v>19810330</v>
      </c>
      <c r="K192" s="16">
        <f t="shared" si="10"/>
        <v>29675</v>
      </c>
      <c r="L192" s="2">
        <f t="shared" si="11"/>
        <v>40</v>
      </c>
      <c r="M192" s="25"/>
      <c r="N192" s="26"/>
      <c r="O192" s="27" t="s">
        <v>35</v>
      </c>
      <c r="P192" s="70">
        <v>42211</v>
      </c>
      <c r="Q192" s="70" t="s">
        <v>318</v>
      </c>
      <c r="R192" s="22">
        <v>1</v>
      </c>
      <c r="S192" s="22" t="s">
        <v>679</v>
      </c>
      <c r="T192" s="22">
        <v>2</v>
      </c>
    </row>
    <row r="193" spans="1:20">
      <c r="A193">
        <v>86</v>
      </c>
      <c r="B193" s="21">
        <v>309</v>
      </c>
      <c r="C193" s="22">
        <v>3442</v>
      </c>
      <c r="D193" s="22" t="s">
        <v>352</v>
      </c>
      <c r="E193" s="23" t="s">
        <v>15</v>
      </c>
      <c r="F193" s="24">
        <v>19960916</v>
      </c>
      <c r="G193" s="16">
        <f t="shared" si="8"/>
        <v>35324</v>
      </c>
      <c r="H193" s="2">
        <f t="shared" si="9"/>
        <v>24</v>
      </c>
      <c r="I193" s="17"/>
      <c r="J193" s="25">
        <v>20150401</v>
      </c>
      <c r="K193" s="16">
        <f t="shared" si="10"/>
        <v>42095</v>
      </c>
      <c r="L193" s="2">
        <f t="shared" si="11"/>
        <v>6</v>
      </c>
      <c r="M193" s="25"/>
      <c r="N193" s="26"/>
      <c r="O193" s="27" t="s">
        <v>35</v>
      </c>
      <c r="P193" s="70">
        <v>43011</v>
      </c>
      <c r="Q193" s="70" t="s">
        <v>349</v>
      </c>
      <c r="R193" s="22">
        <v>1</v>
      </c>
      <c r="S193" s="22" t="s">
        <v>679</v>
      </c>
      <c r="T193" s="22">
        <v>1</v>
      </c>
    </row>
    <row r="194" spans="1:20">
      <c r="A194">
        <v>148</v>
      </c>
      <c r="B194" s="21">
        <v>181</v>
      </c>
      <c r="C194" s="22">
        <v>3183</v>
      </c>
      <c r="D194" s="22" t="s">
        <v>423</v>
      </c>
      <c r="E194" s="23" t="s">
        <v>15</v>
      </c>
      <c r="F194" s="24">
        <v>19830510</v>
      </c>
      <c r="G194" s="16">
        <f t="shared" si="8"/>
        <v>30446</v>
      </c>
      <c r="H194" s="2">
        <f t="shared" si="9"/>
        <v>38</v>
      </c>
      <c r="I194" s="17"/>
      <c r="J194" s="25">
        <v>20020322</v>
      </c>
      <c r="K194" s="16">
        <f t="shared" si="10"/>
        <v>37337</v>
      </c>
      <c r="L194" s="2">
        <f t="shared" si="11"/>
        <v>19</v>
      </c>
      <c r="M194" s="25"/>
      <c r="N194" s="26"/>
      <c r="O194" s="27" t="s">
        <v>35</v>
      </c>
      <c r="P194" s="72">
        <v>69011</v>
      </c>
      <c r="Q194" s="72" t="s">
        <v>489</v>
      </c>
      <c r="R194" s="22">
        <v>1</v>
      </c>
      <c r="S194" s="22" t="s">
        <v>679</v>
      </c>
      <c r="T194" s="22">
        <v>1</v>
      </c>
    </row>
    <row r="195" spans="1:20">
      <c r="A195">
        <v>91</v>
      </c>
      <c r="B195" s="21">
        <v>117</v>
      </c>
      <c r="C195" s="22">
        <v>2940</v>
      </c>
      <c r="D195" s="22" t="s">
        <v>357</v>
      </c>
      <c r="E195" s="23" t="s">
        <v>15</v>
      </c>
      <c r="F195" s="24">
        <v>19740515</v>
      </c>
      <c r="G195" s="16">
        <f t="shared" si="8"/>
        <v>27164</v>
      </c>
      <c r="H195" s="2">
        <f t="shared" si="9"/>
        <v>47</v>
      </c>
      <c r="I195" s="17"/>
      <c r="J195" s="25">
        <v>19930322</v>
      </c>
      <c r="K195" s="16">
        <f t="shared" si="10"/>
        <v>34050</v>
      </c>
      <c r="L195" s="2">
        <f t="shared" si="11"/>
        <v>28</v>
      </c>
      <c r="M195" s="19"/>
      <c r="N195" s="26"/>
      <c r="O195" s="27" t="s">
        <v>35</v>
      </c>
      <c r="P195" s="72">
        <v>43011</v>
      </c>
      <c r="Q195" s="72" t="s">
        <v>349</v>
      </c>
      <c r="R195" s="22">
        <v>1</v>
      </c>
      <c r="S195" s="22" t="s">
        <v>679</v>
      </c>
      <c r="T195" s="22">
        <v>2</v>
      </c>
    </row>
    <row r="196" spans="1:20">
      <c r="A196">
        <v>57</v>
      </c>
      <c r="B196" s="21">
        <v>13</v>
      </c>
      <c r="C196" s="22">
        <v>1326</v>
      </c>
      <c r="D196" s="22" t="s">
        <v>117</v>
      </c>
      <c r="E196" s="23" t="s">
        <v>15</v>
      </c>
      <c r="F196" s="24">
        <v>19750911</v>
      </c>
      <c r="G196" s="16">
        <f t="shared" si="8"/>
        <v>27648</v>
      </c>
      <c r="H196" s="2">
        <f t="shared" si="9"/>
        <v>45</v>
      </c>
      <c r="I196" s="17"/>
      <c r="J196" s="25">
        <v>20041102</v>
      </c>
      <c r="K196" s="16">
        <f t="shared" si="10"/>
        <v>38293</v>
      </c>
      <c r="L196" s="2">
        <f t="shared" si="11"/>
        <v>16</v>
      </c>
      <c r="M196" s="25"/>
      <c r="N196" s="26"/>
      <c r="O196" s="27" t="s">
        <v>16</v>
      </c>
      <c r="P196" s="72">
        <v>44200</v>
      </c>
      <c r="Q196" s="72" t="s">
        <v>114</v>
      </c>
      <c r="R196" s="22">
        <v>0</v>
      </c>
      <c r="S196" s="22"/>
      <c r="T196" s="22">
        <v>2</v>
      </c>
    </row>
    <row r="197" spans="1:20">
      <c r="A197">
        <v>115</v>
      </c>
      <c r="B197" s="21">
        <v>185</v>
      </c>
      <c r="C197" s="22">
        <v>3192</v>
      </c>
      <c r="D197" s="22" t="s">
        <v>185</v>
      </c>
      <c r="E197" s="23" t="s">
        <v>15</v>
      </c>
      <c r="F197" s="24">
        <v>19810317</v>
      </c>
      <c r="G197" s="16">
        <f t="shared" ref="G197:G260" si="12">DATE(INT(F197/10000),INT(MOD(F197,10000)/100),MOD(F197,100))</f>
        <v>29662</v>
      </c>
      <c r="H197" s="2">
        <f t="shared" ref="H197:H260" si="13">DATEDIF(G197,$G$4,"Y")</f>
        <v>40</v>
      </c>
      <c r="I197" s="17"/>
      <c r="J197" s="25">
        <v>20030321</v>
      </c>
      <c r="K197" s="16">
        <f t="shared" ref="K197:K260" si="14">DATE(INT(J197/10000),INT(MOD(J197,10000)/100),MOD(J197,100))</f>
        <v>37701</v>
      </c>
      <c r="L197" s="2">
        <f t="shared" ref="L197:L260" si="15">DATEDIF(K197,$G$4,"Y")</f>
        <v>18</v>
      </c>
      <c r="M197" s="25"/>
      <c r="N197" s="26"/>
      <c r="O197" s="27" t="s">
        <v>16</v>
      </c>
      <c r="P197" s="72">
        <v>80000</v>
      </c>
      <c r="Q197" s="72" t="s">
        <v>172</v>
      </c>
      <c r="R197" s="22">
        <v>0</v>
      </c>
      <c r="S197" s="22"/>
      <c r="T197" s="22">
        <v>1</v>
      </c>
    </row>
    <row r="198" spans="1:20">
      <c r="A198">
        <v>202</v>
      </c>
      <c r="B198" s="21">
        <v>174</v>
      </c>
      <c r="C198" s="22">
        <v>3166</v>
      </c>
      <c r="D198" s="22" t="s">
        <v>185</v>
      </c>
      <c r="E198" s="23" t="s">
        <v>15</v>
      </c>
      <c r="F198" s="24">
        <v>19810814</v>
      </c>
      <c r="G198" s="16">
        <f t="shared" si="12"/>
        <v>29812</v>
      </c>
      <c r="H198" s="2">
        <f t="shared" si="13"/>
        <v>40</v>
      </c>
      <c r="I198" s="17"/>
      <c r="J198" s="25">
        <v>20000321</v>
      </c>
      <c r="K198" s="16">
        <f t="shared" si="14"/>
        <v>36606</v>
      </c>
      <c r="L198" s="2">
        <f t="shared" si="15"/>
        <v>21</v>
      </c>
      <c r="M198" s="25"/>
      <c r="N198" s="26"/>
      <c r="O198" s="27" t="s">
        <v>35</v>
      </c>
      <c r="P198" s="70">
        <v>68011</v>
      </c>
      <c r="Q198" s="70" t="s">
        <v>483</v>
      </c>
      <c r="R198" s="22">
        <v>1</v>
      </c>
      <c r="S198" s="22" t="s">
        <v>679</v>
      </c>
      <c r="T198" s="22">
        <v>2</v>
      </c>
    </row>
    <row r="199" spans="1:20">
      <c r="A199">
        <v>62</v>
      </c>
      <c r="B199" s="21">
        <v>82</v>
      </c>
      <c r="C199" s="22">
        <v>2721</v>
      </c>
      <c r="D199" s="22" t="s">
        <v>123</v>
      </c>
      <c r="E199" s="23" t="s">
        <v>15</v>
      </c>
      <c r="F199" s="24">
        <v>19630105</v>
      </c>
      <c r="G199" s="16">
        <f t="shared" si="12"/>
        <v>23016</v>
      </c>
      <c r="H199" s="2">
        <f t="shared" si="13"/>
        <v>58</v>
      </c>
      <c r="I199" s="17"/>
      <c r="J199" s="25">
        <v>19850328</v>
      </c>
      <c r="K199" s="16">
        <f t="shared" si="14"/>
        <v>31134</v>
      </c>
      <c r="L199" s="2">
        <f t="shared" si="15"/>
        <v>36</v>
      </c>
      <c r="M199" s="25"/>
      <c r="N199" s="26"/>
      <c r="O199" s="27" t="s">
        <v>16</v>
      </c>
      <c r="P199" s="70">
        <v>51000</v>
      </c>
      <c r="Q199" s="70" t="s">
        <v>124</v>
      </c>
      <c r="R199" s="22">
        <v>0</v>
      </c>
      <c r="S199" s="22"/>
      <c r="T199" s="22">
        <v>1</v>
      </c>
    </row>
    <row r="200" spans="1:20">
      <c r="A200">
        <v>89</v>
      </c>
      <c r="B200" s="21">
        <v>402</v>
      </c>
      <c r="C200" s="22">
        <v>3911</v>
      </c>
      <c r="D200" s="22" t="s">
        <v>355</v>
      </c>
      <c r="E200" s="23" t="s">
        <v>15</v>
      </c>
      <c r="F200" s="24">
        <v>19741225</v>
      </c>
      <c r="G200" s="16">
        <f t="shared" si="12"/>
        <v>27388</v>
      </c>
      <c r="H200" s="2">
        <f t="shared" si="13"/>
        <v>46</v>
      </c>
      <c r="I200" s="17"/>
      <c r="J200" s="25">
        <v>20030709</v>
      </c>
      <c r="K200" s="16">
        <f t="shared" si="14"/>
        <v>37811</v>
      </c>
      <c r="L200" s="2">
        <f t="shared" si="15"/>
        <v>18</v>
      </c>
      <c r="M200" s="25"/>
      <c r="N200" s="26"/>
      <c r="O200" s="27" t="s">
        <v>35</v>
      </c>
      <c r="P200" s="70">
        <v>43011</v>
      </c>
      <c r="Q200" s="70" t="s">
        <v>349</v>
      </c>
      <c r="R200" s="22">
        <v>1</v>
      </c>
      <c r="S200" s="22" t="s">
        <v>679</v>
      </c>
      <c r="T200" s="22">
        <v>2</v>
      </c>
    </row>
    <row r="201" spans="1:20">
      <c r="A201">
        <v>60</v>
      </c>
      <c r="B201" s="21">
        <v>453</v>
      </c>
      <c r="C201" s="22">
        <v>5111</v>
      </c>
      <c r="D201" s="22" t="s">
        <v>322</v>
      </c>
      <c r="E201" s="23" t="s">
        <v>15</v>
      </c>
      <c r="F201" s="24">
        <v>19680901</v>
      </c>
      <c r="G201" s="16">
        <f t="shared" si="12"/>
        <v>25082</v>
      </c>
      <c r="H201" s="2">
        <f t="shared" si="13"/>
        <v>53</v>
      </c>
      <c r="I201" s="17"/>
      <c r="J201" s="25">
        <v>19840327</v>
      </c>
      <c r="K201" s="16">
        <f t="shared" si="14"/>
        <v>30768</v>
      </c>
      <c r="L201" s="2">
        <f t="shared" si="15"/>
        <v>37</v>
      </c>
      <c r="M201" s="25"/>
      <c r="N201" s="26"/>
      <c r="O201" s="27" t="s">
        <v>77</v>
      </c>
      <c r="P201" s="70">
        <v>42211</v>
      </c>
      <c r="Q201" s="70" t="s">
        <v>318</v>
      </c>
      <c r="R201" s="22">
        <v>1</v>
      </c>
      <c r="S201" s="22" t="s">
        <v>679</v>
      </c>
      <c r="T201" s="22">
        <v>2</v>
      </c>
    </row>
    <row r="202" spans="1:20">
      <c r="A202">
        <v>109</v>
      </c>
      <c r="B202" s="21">
        <v>412</v>
      </c>
      <c r="C202" s="22">
        <v>3949</v>
      </c>
      <c r="D202" s="22" t="s">
        <v>376</v>
      </c>
      <c r="E202" s="23" t="s">
        <v>15</v>
      </c>
      <c r="F202" s="24">
        <v>19650914</v>
      </c>
      <c r="G202" s="16">
        <f t="shared" si="12"/>
        <v>23999</v>
      </c>
      <c r="H202" s="2">
        <f t="shared" si="13"/>
        <v>55</v>
      </c>
      <c r="I202" s="17"/>
      <c r="J202" s="25">
        <v>20070621</v>
      </c>
      <c r="K202" s="16">
        <f t="shared" si="14"/>
        <v>39254</v>
      </c>
      <c r="L202" s="2">
        <f t="shared" si="15"/>
        <v>14</v>
      </c>
      <c r="M202" s="25"/>
      <c r="N202" s="26"/>
      <c r="O202" s="27" t="s">
        <v>35</v>
      </c>
      <c r="P202" s="70">
        <v>43311</v>
      </c>
      <c r="Q202" s="70" t="s">
        <v>377</v>
      </c>
      <c r="R202" s="22">
        <v>0</v>
      </c>
      <c r="S202" s="22"/>
      <c r="T202" s="22">
        <v>1</v>
      </c>
    </row>
    <row r="203" spans="1:20">
      <c r="A203">
        <v>6</v>
      </c>
      <c r="B203" s="21">
        <v>40</v>
      </c>
      <c r="C203" s="22">
        <v>1383</v>
      </c>
      <c r="D203" s="22" t="s">
        <v>263</v>
      </c>
      <c r="E203" s="23" t="s">
        <v>15</v>
      </c>
      <c r="F203" s="24">
        <v>19850822</v>
      </c>
      <c r="G203" s="16">
        <f t="shared" si="12"/>
        <v>31281</v>
      </c>
      <c r="H203" s="2">
        <f t="shared" si="13"/>
        <v>36</v>
      </c>
      <c r="I203" s="17"/>
      <c r="J203" s="25">
        <v>20120903</v>
      </c>
      <c r="K203" s="16">
        <f t="shared" si="14"/>
        <v>41155</v>
      </c>
      <c r="L203" s="2">
        <f t="shared" si="15"/>
        <v>8</v>
      </c>
      <c r="M203" s="25"/>
      <c r="N203" s="26"/>
      <c r="O203" s="27" t="s">
        <v>16</v>
      </c>
      <c r="P203" s="70">
        <v>41011</v>
      </c>
      <c r="Q203" s="70" t="s">
        <v>258</v>
      </c>
      <c r="R203" s="22">
        <v>1</v>
      </c>
      <c r="S203" s="22" t="s">
        <v>679</v>
      </c>
      <c r="T203" s="22">
        <v>1</v>
      </c>
    </row>
    <row r="204" spans="1:20">
      <c r="A204">
        <v>106</v>
      </c>
      <c r="B204" s="21">
        <v>153</v>
      </c>
      <c r="C204" s="22">
        <v>3092</v>
      </c>
      <c r="D204" s="22" t="s">
        <v>176</v>
      </c>
      <c r="E204" s="23" t="s">
        <v>15</v>
      </c>
      <c r="F204" s="24">
        <v>19700208</v>
      </c>
      <c r="G204" s="16">
        <f t="shared" si="12"/>
        <v>25607</v>
      </c>
      <c r="H204" s="2">
        <f t="shared" si="13"/>
        <v>51</v>
      </c>
      <c r="I204" s="17"/>
      <c r="J204" s="25">
        <v>19960321</v>
      </c>
      <c r="K204" s="16">
        <f t="shared" si="14"/>
        <v>35145</v>
      </c>
      <c r="L204" s="2">
        <f t="shared" si="15"/>
        <v>25</v>
      </c>
      <c r="M204" s="25"/>
      <c r="N204" s="26"/>
      <c r="O204" s="27" t="s">
        <v>60</v>
      </c>
      <c r="P204" s="70">
        <v>80000</v>
      </c>
      <c r="Q204" s="70" t="s">
        <v>172</v>
      </c>
      <c r="R204" s="22">
        <v>0</v>
      </c>
      <c r="S204" s="22"/>
      <c r="T204" s="22">
        <v>1</v>
      </c>
    </row>
    <row r="205" spans="1:20">
      <c r="A205">
        <v>28</v>
      </c>
      <c r="B205" s="21">
        <v>224</v>
      </c>
      <c r="C205" s="22">
        <v>3283</v>
      </c>
      <c r="D205" s="22" t="s">
        <v>80</v>
      </c>
      <c r="E205" s="23" t="s">
        <v>15</v>
      </c>
      <c r="F205" s="24">
        <v>19891023</v>
      </c>
      <c r="G205" s="16">
        <f t="shared" si="12"/>
        <v>32804</v>
      </c>
      <c r="H205" s="2">
        <f t="shared" si="13"/>
        <v>31</v>
      </c>
      <c r="I205" s="17"/>
      <c r="J205" s="25">
        <v>20080321</v>
      </c>
      <c r="K205" s="16">
        <f t="shared" si="14"/>
        <v>39528</v>
      </c>
      <c r="L205" s="2">
        <f t="shared" si="15"/>
        <v>13</v>
      </c>
      <c r="M205" s="25"/>
      <c r="N205" s="26"/>
      <c r="O205" s="27" t="s">
        <v>35</v>
      </c>
      <c r="P205" s="70">
        <v>32000</v>
      </c>
      <c r="Q205" s="70" t="s">
        <v>81</v>
      </c>
      <c r="R205" s="22">
        <v>0</v>
      </c>
      <c r="S205" s="22"/>
      <c r="T205" s="22">
        <v>1</v>
      </c>
    </row>
    <row r="206" spans="1:20">
      <c r="A206">
        <v>5</v>
      </c>
      <c r="B206" s="21">
        <v>211</v>
      </c>
      <c r="C206" s="22">
        <v>3251</v>
      </c>
      <c r="D206" s="22" t="s">
        <v>262</v>
      </c>
      <c r="E206" s="23" t="s">
        <v>15</v>
      </c>
      <c r="F206" s="24">
        <v>19870910</v>
      </c>
      <c r="G206" s="16">
        <f t="shared" si="12"/>
        <v>32030</v>
      </c>
      <c r="H206" s="2">
        <f t="shared" si="13"/>
        <v>33</v>
      </c>
      <c r="I206" s="17"/>
      <c r="J206" s="25">
        <v>20060321</v>
      </c>
      <c r="K206" s="16">
        <f t="shared" si="14"/>
        <v>38797</v>
      </c>
      <c r="L206" s="2">
        <f t="shared" si="15"/>
        <v>15</v>
      </c>
      <c r="M206" s="25"/>
      <c r="N206" s="26"/>
      <c r="O206" s="27" t="s">
        <v>35</v>
      </c>
      <c r="P206" s="70">
        <v>41011</v>
      </c>
      <c r="Q206" s="70" t="s">
        <v>258</v>
      </c>
      <c r="R206" s="22">
        <v>1</v>
      </c>
      <c r="S206" s="22" t="s">
        <v>679</v>
      </c>
      <c r="T206" s="22">
        <v>1</v>
      </c>
    </row>
    <row r="207" spans="1:20">
      <c r="A207">
        <v>154</v>
      </c>
      <c r="B207" s="21">
        <v>409</v>
      </c>
      <c r="C207" s="22">
        <v>3941</v>
      </c>
      <c r="D207" s="22" t="s">
        <v>225</v>
      </c>
      <c r="E207" s="23" t="s">
        <v>15</v>
      </c>
      <c r="F207" s="24">
        <v>19690820</v>
      </c>
      <c r="G207" s="16">
        <f t="shared" si="12"/>
        <v>25435</v>
      </c>
      <c r="H207" s="2">
        <f t="shared" si="13"/>
        <v>52</v>
      </c>
      <c r="I207" s="17"/>
      <c r="J207" s="25">
        <v>20060703</v>
      </c>
      <c r="K207" s="16">
        <f t="shared" si="14"/>
        <v>38901</v>
      </c>
      <c r="L207" s="2">
        <f t="shared" si="15"/>
        <v>15</v>
      </c>
      <c r="M207" s="25"/>
      <c r="N207" s="26"/>
      <c r="O207" s="27" t="s">
        <v>16</v>
      </c>
      <c r="P207" s="70">
        <v>21000</v>
      </c>
      <c r="Q207" s="70" t="s">
        <v>638</v>
      </c>
      <c r="R207" s="22">
        <v>0</v>
      </c>
      <c r="S207" s="22"/>
      <c r="T207" s="22">
        <v>1</v>
      </c>
    </row>
    <row r="208" spans="1:20">
      <c r="A208">
        <v>4</v>
      </c>
      <c r="B208" s="21">
        <v>37</v>
      </c>
      <c r="C208" s="22">
        <v>1376</v>
      </c>
      <c r="D208" s="22" t="s">
        <v>20</v>
      </c>
      <c r="E208" s="23" t="s">
        <v>15</v>
      </c>
      <c r="F208" s="24">
        <v>19811204</v>
      </c>
      <c r="G208" s="16">
        <f t="shared" si="12"/>
        <v>29924</v>
      </c>
      <c r="H208" s="2">
        <f t="shared" si="13"/>
        <v>39</v>
      </c>
      <c r="I208" s="17"/>
      <c r="J208" s="25">
        <v>20120221</v>
      </c>
      <c r="K208" s="16">
        <f t="shared" si="14"/>
        <v>40960</v>
      </c>
      <c r="L208" s="2">
        <f t="shared" si="15"/>
        <v>9</v>
      </c>
      <c r="M208" s="25"/>
      <c r="N208" s="26"/>
      <c r="O208" s="27" t="s">
        <v>16</v>
      </c>
      <c r="P208" s="70">
        <v>1000</v>
      </c>
      <c r="Q208" s="70" t="s">
        <v>17</v>
      </c>
      <c r="R208" s="22">
        <v>0</v>
      </c>
      <c r="S208" s="22"/>
      <c r="T208" s="22">
        <v>1</v>
      </c>
    </row>
    <row r="209" spans="1:20">
      <c r="A209">
        <v>172</v>
      </c>
      <c r="B209" s="21">
        <v>38</v>
      </c>
      <c r="C209" s="22">
        <v>1378</v>
      </c>
      <c r="D209" s="22" t="s">
        <v>451</v>
      </c>
      <c r="E209" s="23" t="s">
        <v>15</v>
      </c>
      <c r="F209" s="24">
        <v>19920611</v>
      </c>
      <c r="G209" s="16">
        <f t="shared" si="12"/>
        <v>33766</v>
      </c>
      <c r="H209" s="2">
        <f t="shared" si="13"/>
        <v>29</v>
      </c>
      <c r="I209" s="17"/>
      <c r="J209" s="25">
        <v>20120321</v>
      </c>
      <c r="K209" s="16">
        <f t="shared" si="14"/>
        <v>40989</v>
      </c>
      <c r="L209" s="2">
        <f t="shared" si="15"/>
        <v>9</v>
      </c>
      <c r="M209" s="25"/>
      <c r="N209" s="26"/>
      <c r="O209" s="27" t="s">
        <v>35</v>
      </c>
      <c r="P209" s="70">
        <v>66011</v>
      </c>
      <c r="Q209" s="70" t="s">
        <v>449</v>
      </c>
      <c r="R209" s="22">
        <v>1</v>
      </c>
      <c r="S209" s="22" t="s">
        <v>679</v>
      </c>
      <c r="T209" s="22">
        <v>1</v>
      </c>
    </row>
    <row r="210" spans="1:20">
      <c r="A210">
        <v>227</v>
      </c>
      <c r="B210" s="21">
        <v>325</v>
      </c>
      <c r="C210" s="22">
        <v>3464</v>
      </c>
      <c r="D210" s="22" t="s">
        <v>512</v>
      </c>
      <c r="E210" s="23" t="s">
        <v>15</v>
      </c>
      <c r="F210" s="24">
        <v>19970726</v>
      </c>
      <c r="G210" s="16">
        <f t="shared" si="12"/>
        <v>35637</v>
      </c>
      <c r="H210" s="2">
        <f t="shared" si="13"/>
        <v>24</v>
      </c>
      <c r="I210" s="17"/>
      <c r="J210" s="25">
        <v>20160401</v>
      </c>
      <c r="K210" s="16">
        <f t="shared" si="14"/>
        <v>42461</v>
      </c>
      <c r="L210" s="2">
        <f t="shared" si="15"/>
        <v>5</v>
      </c>
      <c r="M210" s="25"/>
      <c r="N210" s="26"/>
      <c r="O210" s="27" t="s">
        <v>35</v>
      </c>
      <c r="P210" s="70">
        <v>69211</v>
      </c>
      <c r="Q210" s="70" t="s">
        <v>508</v>
      </c>
      <c r="R210" s="22">
        <v>1</v>
      </c>
      <c r="S210" s="22" t="s">
        <v>679</v>
      </c>
      <c r="T210" s="22">
        <v>2</v>
      </c>
    </row>
    <row r="211" spans="1:20">
      <c r="A211">
        <v>87</v>
      </c>
      <c r="B211" s="21">
        <v>79</v>
      </c>
      <c r="C211" s="22">
        <v>2700</v>
      </c>
      <c r="D211" s="22" t="s">
        <v>153</v>
      </c>
      <c r="E211" s="23" t="s">
        <v>15</v>
      </c>
      <c r="F211" s="24">
        <v>19660129</v>
      </c>
      <c r="G211" s="16">
        <f t="shared" si="12"/>
        <v>24136</v>
      </c>
      <c r="H211" s="2">
        <f t="shared" si="13"/>
        <v>55</v>
      </c>
      <c r="I211" s="17"/>
      <c r="J211" s="25">
        <v>19840321</v>
      </c>
      <c r="K211" s="16">
        <f t="shared" si="14"/>
        <v>30762</v>
      </c>
      <c r="L211" s="2">
        <f t="shared" si="15"/>
        <v>37</v>
      </c>
      <c r="M211" s="25"/>
      <c r="N211" s="26"/>
      <c r="O211" s="27" t="s">
        <v>35</v>
      </c>
      <c r="P211" s="70">
        <v>61000</v>
      </c>
      <c r="Q211" s="70" t="s">
        <v>147</v>
      </c>
      <c r="R211" s="22">
        <v>0</v>
      </c>
      <c r="S211" s="22"/>
      <c r="T211" s="22">
        <v>2</v>
      </c>
    </row>
    <row r="212" spans="1:20">
      <c r="A212">
        <v>12</v>
      </c>
      <c r="B212" s="21">
        <v>244</v>
      </c>
      <c r="C212" s="22">
        <v>3331</v>
      </c>
      <c r="D212" s="22" t="s">
        <v>30</v>
      </c>
      <c r="E212" s="23" t="s">
        <v>15</v>
      </c>
      <c r="F212" s="24">
        <v>19880505</v>
      </c>
      <c r="G212" s="16">
        <f t="shared" si="12"/>
        <v>32268</v>
      </c>
      <c r="H212" s="2">
        <f t="shared" si="13"/>
        <v>33</v>
      </c>
      <c r="I212" s="17"/>
      <c r="J212" s="25">
        <v>20110321</v>
      </c>
      <c r="K212" s="16">
        <f t="shared" si="14"/>
        <v>40623</v>
      </c>
      <c r="L212" s="2">
        <f t="shared" si="15"/>
        <v>10</v>
      </c>
      <c r="M212" s="25"/>
      <c r="N212" s="26"/>
      <c r="O212" s="27" t="s">
        <v>16</v>
      </c>
      <c r="P212" s="70">
        <v>10000</v>
      </c>
      <c r="Q212" s="70" t="s">
        <v>26</v>
      </c>
      <c r="R212" s="22">
        <v>0</v>
      </c>
      <c r="S212" s="22"/>
      <c r="T212" s="22">
        <v>1</v>
      </c>
    </row>
    <row r="213" spans="1:20">
      <c r="A213">
        <v>42</v>
      </c>
      <c r="B213" s="21">
        <v>358</v>
      </c>
      <c r="C213" s="22">
        <v>3508</v>
      </c>
      <c r="D213" s="22" t="s">
        <v>302</v>
      </c>
      <c r="E213" s="23" t="s">
        <v>15</v>
      </c>
      <c r="F213" s="24">
        <v>20001207</v>
      </c>
      <c r="G213" s="16">
        <f t="shared" si="12"/>
        <v>36867</v>
      </c>
      <c r="H213" s="2">
        <f t="shared" si="13"/>
        <v>20</v>
      </c>
      <c r="I213" s="17"/>
      <c r="J213" s="25">
        <v>20190401</v>
      </c>
      <c r="K213" s="16">
        <f t="shared" si="14"/>
        <v>43556</v>
      </c>
      <c r="L213" s="2">
        <f t="shared" si="15"/>
        <v>2</v>
      </c>
      <c r="M213" s="25"/>
      <c r="N213" s="26"/>
      <c r="O213" s="27">
        <v>6</v>
      </c>
      <c r="P213" s="70">
        <v>42011</v>
      </c>
      <c r="Q213" s="70" t="s">
        <v>290</v>
      </c>
      <c r="R213" s="22">
        <v>1</v>
      </c>
      <c r="S213" s="22" t="s">
        <v>679</v>
      </c>
      <c r="T213" s="22">
        <v>2</v>
      </c>
    </row>
    <row r="214" spans="1:20">
      <c r="A214">
        <v>134</v>
      </c>
      <c r="B214" s="21">
        <v>254</v>
      </c>
      <c r="C214" s="22">
        <v>3349</v>
      </c>
      <c r="D214" s="22" t="s">
        <v>406</v>
      </c>
      <c r="E214" s="23" t="s">
        <v>15</v>
      </c>
      <c r="F214" s="24">
        <v>19930105</v>
      </c>
      <c r="G214" s="16">
        <f t="shared" si="12"/>
        <v>33974</v>
      </c>
      <c r="H214" s="2">
        <f t="shared" si="13"/>
        <v>28</v>
      </c>
      <c r="I214" s="17"/>
      <c r="J214" s="25">
        <v>20110321</v>
      </c>
      <c r="K214" s="16">
        <f t="shared" si="14"/>
        <v>40623</v>
      </c>
      <c r="L214" s="2">
        <f t="shared" si="15"/>
        <v>10</v>
      </c>
      <c r="M214" s="25"/>
      <c r="N214" s="26"/>
      <c r="O214" s="27" t="s">
        <v>35</v>
      </c>
      <c r="P214" s="70">
        <v>45111</v>
      </c>
      <c r="Q214" s="70" t="s">
        <v>396</v>
      </c>
      <c r="R214" s="22">
        <v>1</v>
      </c>
      <c r="S214" s="22" t="s">
        <v>679</v>
      </c>
      <c r="T214" s="22">
        <v>2</v>
      </c>
    </row>
    <row r="215" spans="1:20">
      <c r="A215">
        <v>51</v>
      </c>
      <c r="B215" s="21">
        <v>235</v>
      </c>
      <c r="C215" s="22">
        <v>3312</v>
      </c>
      <c r="D215" s="22" t="s">
        <v>312</v>
      </c>
      <c r="E215" s="23" t="s">
        <v>15</v>
      </c>
      <c r="F215" s="24">
        <v>19901025</v>
      </c>
      <c r="G215" s="16">
        <f t="shared" si="12"/>
        <v>33171</v>
      </c>
      <c r="H215" s="2">
        <f t="shared" si="13"/>
        <v>30</v>
      </c>
      <c r="I215" s="17"/>
      <c r="J215" s="25">
        <v>20090323</v>
      </c>
      <c r="K215" s="16">
        <f t="shared" si="14"/>
        <v>39895</v>
      </c>
      <c r="L215" s="2">
        <f t="shared" si="15"/>
        <v>12</v>
      </c>
      <c r="M215" s="25"/>
      <c r="N215" s="26"/>
      <c r="O215" s="27" t="s">
        <v>35</v>
      </c>
      <c r="P215" s="70">
        <v>42111</v>
      </c>
      <c r="Q215" s="70" t="s">
        <v>305</v>
      </c>
      <c r="R215" s="22">
        <v>1</v>
      </c>
      <c r="S215" s="22" t="s">
        <v>679</v>
      </c>
      <c r="T215" s="22">
        <v>2</v>
      </c>
    </row>
    <row r="216" spans="1:20">
      <c r="A216">
        <v>29</v>
      </c>
      <c r="B216" s="21">
        <v>218</v>
      </c>
      <c r="C216" s="22">
        <v>3264</v>
      </c>
      <c r="D216" s="22" t="s">
        <v>287</v>
      </c>
      <c r="E216" s="23" t="s">
        <v>15</v>
      </c>
      <c r="F216" s="24">
        <v>19880519</v>
      </c>
      <c r="G216" s="16">
        <f t="shared" si="12"/>
        <v>32282</v>
      </c>
      <c r="H216" s="2">
        <f t="shared" si="13"/>
        <v>33</v>
      </c>
      <c r="I216" s="17"/>
      <c r="J216" s="25">
        <v>20070321</v>
      </c>
      <c r="K216" s="16">
        <f t="shared" si="14"/>
        <v>39162</v>
      </c>
      <c r="L216" s="2">
        <f t="shared" si="15"/>
        <v>14</v>
      </c>
      <c r="M216" s="25"/>
      <c r="N216" s="26"/>
      <c r="O216" s="27" t="s">
        <v>35</v>
      </c>
      <c r="P216" s="70">
        <v>41111</v>
      </c>
      <c r="Q216" s="70" t="s">
        <v>280</v>
      </c>
      <c r="R216" s="22">
        <v>1</v>
      </c>
      <c r="S216" s="22" t="s">
        <v>679</v>
      </c>
      <c r="T216" s="22">
        <v>2</v>
      </c>
    </row>
    <row r="217" spans="1:20">
      <c r="A217">
        <v>41</v>
      </c>
      <c r="B217" s="21">
        <v>190</v>
      </c>
      <c r="C217" s="22">
        <v>3203</v>
      </c>
      <c r="D217" s="22" t="s">
        <v>301</v>
      </c>
      <c r="E217" s="23" t="s">
        <v>15</v>
      </c>
      <c r="F217" s="24">
        <v>19841016</v>
      </c>
      <c r="G217" s="16">
        <f t="shared" si="12"/>
        <v>30971</v>
      </c>
      <c r="H217" s="2">
        <f t="shared" si="13"/>
        <v>36</v>
      </c>
      <c r="I217" s="17"/>
      <c r="J217" s="25">
        <v>20030321</v>
      </c>
      <c r="K217" s="16">
        <f t="shared" si="14"/>
        <v>37701</v>
      </c>
      <c r="L217" s="2">
        <f t="shared" si="15"/>
        <v>18</v>
      </c>
      <c r="M217" s="25"/>
      <c r="N217" s="26"/>
      <c r="O217" s="27" t="s">
        <v>35</v>
      </c>
      <c r="P217" s="70">
        <v>42011</v>
      </c>
      <c r="Q217" s="70" t="s">
        <v>290</v>
      </c>
      <c r="R217" s="22">
        <v>1</v>
      </c>
      <c r="S217" s="22" t="s">
        <v>679</v>
      </c>
      <c r="T217" s="22">
        <v>2</v>
      </c>
    </row>
    <row r="218" spans="1:20">
      <c r="A218">
        <v>122</v>
      </c>
      <c r="B218" s="21">
        <v>408</v>
      </c>
      <c r="C218" s="22">
        <v>3940</v>
      </c>
      <c r="D218" s="22" t="s">
        <v>393</v>
      </c>
      <c r="E218" s="23" t="s">
        <v>15</v>
      </c>
      <c r="F218" s="24">
        <v>19760101</v>
      </c>
      <c r="G218" s="16">
        <f t="shared" si="12"/>
        <v>27760</v>
      </c>
      <c r="H218" s="2">
        <f t="shared" si="13"/>
        <v>45</v>
      </c>
      <c r="I218" s="17"/>
      <c r="J218" s="25">
        <v>20060421</v>
      </c>
      <c r="K218" s="16">
        <f t="shared" si="14"/>
        <v>38828</v>
      </c>
      <c r="L218" s="2">
        <f t="shared" si="15"/>
        <v>15</v>
      </c>
      <c r="M218" s="25"/>
      <c r="N218" s="26"/>
      <c r="O218" s="27" t="s">
        <v>35</v>
      </c>
      <c r="P218" s="70">
        <v>44511</v>
      </c>
      <c r="Q218" s="70" t="s">
        <v>389</v>
      </c>
      <c r="R218" s="22">
        <v>1</v>
      </c>
      <c r="S218" s="22" t="s">
        <v>679</v>
      </c>
      <c r="T218" s="22">
        <v>2</v>
      </c>
    </row>
    <row r="219" spans="1:20">
      <c r="A219">
        <v>85</v>
      </c>
      <c r="B219" s="21">
        <v>242</v>
      </c>
      <c r="C219" s="22">
        <v>3328</v>
      </c>
      <c r="D219" s="22" t="s">
        <v>151</v>
      </c>
      <c r="E219" s="23" t="s">
        <v>15</v>
      </c>
      <c r="F219" s="24">
        <v>19880225</v>
      </c>
      <c r="G219" s="16">
        <f t="shared" si="12"/>
        <v>32198</v>
      </c>
      <c r="H219" s="2">
        <f t="shared" si="13"/>
        <v>33</v>
      </c>
      <c r="I219" s="17"/>
      <c r="J219" s="25">
        <v>20110321</v>
      </c>
      <c r="K219" s="16">
        <f t="shared" si="14"/>
        <v>40623</v>
      </c>
      <c r="L219" s="2">
        <f t="shared" si="15"/>
        <v>10</v>
      </c>
      <c r="M219" s="25"/>
      <c r="N219" s="26"/>
      <c r="O219" s="27" t="s">
        <v>16</v>
      </c>
      <c r="P219" s="70">
        <v>61000</v>
      </c>
      <c r="Q219" s="70" t="s">
        <v>147</v>
      </c>
      <c r="R219" s="22">
        <v>0</v>
      </c>
      <c r="S219" s="22"/>
      <c r="T219" s="22">
        <v>1</v>
      </c>
    </row>
    <row r="220" spans="1:20">
      <c r="A220">
        <v>110</v>
      </c>
      <c r="B220" s="21">
        <v>176</v>
      </c>
      <c r="C220" s="22">
        <v>3169</v>
      </c>
      <c r="D220" s="22" t="s">
        <v>180</v>
      </c>
      <c r="E220" s="23" t="s">
        <v>15</v>
      </c>
      <c r="F220" s="24">
        <v>19780810</v>
      </c>
      <c r="G220" s="16">
        <f t="shared" si="12"/>
        <v>28712</v>
      </c>
      <c r="H220" s="2">
        <f t="shared" si="13"/>
        <v>43</v>
      </c>
      <c r="I220" s="17"/>
      <c r="J220" s="25">
        <v>20010321</v>
      </c>
      <c r="K220" s="16">
        <f t="shared" si="14"/>
        <v>36971</v>
      </c>
      <c r="L220" s="2">
        <f t="shared" si="15"/>
        <v>20</v>
      </c>
      <c r="M220" s="25"/>
      <c r="N220" s="26"/>
      <c r="O220" s="27" t="s">
        <v>16</v>
      </c>
      <c r="P220" s="70">
        <v>80000</v>
      </c>
      <c r="Q220" s="70" t="s">
        <v>172</v>
      </c>
      <c r="R220" s="22">
        <v>0</v>
      </c>
      <c r="S220" s="22"/>
      <c r="T220" s="22">
        <v>1</v>
      </c>
    </row>
    <row r="221" spans="1:20">
      <c r="A221">
        <v>74</v>
      </c>
      <c r="B221" s="21">
        <v>372</v>
      </c>
      <c r="C221" s="22">
        <v>3762</v>
      </c>
      <c r="D221" s="22" t="s">
        <v>139</v>
      </c>
      <c r="E221" s="23" t="s">
        <v>15</v>
      </c>
      <c r="F221" s="24">
        <v>19680423</v>
      </c>
      <c r="G221" s="16">
        <f t="shared" si="12"/>
        <v>24951</v>
      </c>
      <c r="H221" s="2">
        <f t="shared" si="13"/>
        <v>53</v>
      </c>
      <c r="I221" s="17"/>
      <c r="J221" s="25">
        <v>19890425</v>
      </c>
      <c r="K221" s="16">
        <f t="shared" si="14"/>
        <v>32623</v>
      </c>
      <c r="L221" s="2">
        <f t="shared" si="15"/>
        <v>32</v>
      </c>
      <c r="M221" s="25"/>
      <c r="N221" s="26"/>
      <c r="O221" s="27" t="s">
        <v>35</v>
      </c>
      <c r="P221" s="70">
        <v>60300</v>
      </c>
      <c r="Q221" s="70" t="s">
        <v>138</v>
      </c>
      <c r="R221" s="22">
        <v>0</v>
      </c>
      <c r="S221" s="155"/>
      <c r="T221" s="22">
        <v>2</v>
      </c>
    </row>
    <row r="222" spans="1:20">
      <c r="A222">
        <v>29</v>
      </c>
      <c r="B222" s="21">
        <v>373</v>
      </c>
      <c r="C222" s="22">
        <v>3787</v>
      </c>
      <c r="D222" s="22" t="s">
        <v>82</v>
      </c>
      <c r="E222" s="23" t="s">
        <v>15</v>
      </c>
      <c r="F222" s="24">
        <v>19700222</v>
      </c>
      <c r="G222" s="16">
        <f t="shared" si="12"/>
        <v>25621</v>
      </c>
      <c r="H222" s="2">
        <f t="shared" si="13"/>
        <v>51</v>
      </c>
      <c r="I222" s="17"/>
      <c r="J222" s="25">
        <v>19891204</v>
      </c>
      <c r="K222" s="16">
        <f t="shared" si="14"/>
        <v>32846</v>
      </c>
      <c r="L222" s="2">
        <f t="shared" si="15"/>
        <v>31</v>
      </c>
      <c r="M222" s="25"/>
      <c r="N222" s="26"/>
      <c r="O222" s="27" t="s">
        <v>35</v>
      </c>
      <c r="P222" s="73">
        <v>32000</v>
      </c>
      <c r="Q222" s="73" t="s">
        <v>81</v>
      </c>
      <c r="R222" s="22">
        <v>0</v>
      </c>
      <c r="S222" s="22"/>
      <c r="T222" s="22">
        <v>2</v>
      </c>
    </row>
    <row r="223" spans="1:20">
      <c r="A223">
        <v>23</v>
      </c>
      <c r="B223" s="21">
        <v>468</v>
      </c>
      <c r="C223" s="22">
        <v>5266</v>
      </c>
      <c r="D223" s="22" t="s">
        <v>281</v>
      </c>
      <c r="E223" s="23" t="s">
        <v>15</v>
      </c>
      <c r="F223" s="24">
        <v>19800629</v>
      </c>
      <c r="G223" s="16">
        <f t="shared" si="12"/>
        <v>29401</v>
      </c>
      <c r="H223" s="2">
        <f t="shared" si="13"/>
        <v>41</v>
      </c>
      <c r="I223" s="17"/>
      <c r="J223" s="25">
        <v>19960328</v>
      </c>
      <c r="K223" s="16">
        <f t="shared" si="14"/>
        <v>35152</v>
      </c>
      <c r="L223" s="2">
        <f t="shared" si="15"/>
        <v>25</v>
      </c>
      <c r="M223" s="25"/>
      <c r="N223" s="26"/>
      <c r="O223" s="27" t="s">
        <v>77</v>
      </c>
      <c r="P223" s="73">
        <v>41111</v>
      </c>
      <c r="Q223" s="73" t="s">
        <v>280</v>
      </c>
      <c r="R223" s="22">
        <v>1</v>
      </c>
      <c r="S223" s="22" t="s">
        <v>679</v>
      </c>
      <c r="T223" s="22">
        <v>1</v>
      </c>
    </row>
    <row r="224" spans="1:20">
      <c r="A224">
        <v>210</v>
      </c>
      <c r="B224" s="21">
        <v>454</v>
      </c>
      <c r="C224" s="22">
        <v>5116</v>
      </c>
      <c r="D224" s="22" t="s">
        <v>493</v>
      </c>
      <c r="E224" s="23" t="s">
        <v>15</v>
      </c>
      <c r="F224" s="24">
        <v>19690325</v>
      </c>
      <c r="G224" s="16">
        <f t="shared" si="12"/>
        <v>25287</v>
      </c>
      <c r="H224" s="2">
        <f t="shared" si="13"/>
        <v>52</v>
      </c>
      <c r="I224" s="17"/>
      <c r="J224" s="25">
        <v>19840327</v>
      </c>
      <c r="K224" s="16">
        <f t="shared" si="14"/>
        <v>30768</v>
      </c>
      <c r="L224" s="2">
        <f t="shared" si="15"/>
        <v>37</v>
      </c>
      <c r="M224" s="25"/>
      <c r="N224" s="26"/>
      <c r="O224" s="27" t="s">
        <v>77</v>
      </c>
      <c r="P224" s="73">
        <v>69011</v>
      </c>
      <c r="Q224" s="73" t="s">
        <v>489</v>
      </c>
      <c r="R224" s="22">
        <v>1</v>
      </c>
      <c r="S224" s="22" t="s">
        <v>679</v>
      </c>
      <c r="T224" s="22">
        <v>2</v>
      </c>
    </row>
    <row r="225" spans="1:20">
      <c r="A225">
        <v>198</v>
      </c>
      <c r="B225" s="21">
        <v>297</v>
      </c>
      <c r="C225" s="22">
        <v>3425</v>
      </c>
      <c r="D225" s="22" t="s">
        <v>479</v>
      </c>
      <c r="E225" s="23" t="s">
        <v>15</v>
      </c>
      <c r="F225" s="24">
        <v>19950530</v>
      </c>
      <c r="G225" s="16">
        <f t="shared" si="12"/>
        <v>34849</v>
      </c>
      <c r="H225" s="2">
        <f t="shared" si="13"/>
        <v>26</v>
      </c>
      <c r="I225" s="17"/>
      <c r="J225" s="25">
        <v>20140321</v>
      </c>
      <c r="K225" s="16">
        <f t="shared" si="14"/>
        <v>41719</v>
      </c>
      <c r="L225" s="2">
        <f t="shared" si="15"/>
        <v>7</v>
      </c>
      <c r="M225" s="25"/>
      <c r="N225" s="26"/>
      <c r="O225" s="27" t="s">
        <v>35</v>
      </c>
      <c r="P225" s="72">
        <v>67211</v>
      </c>
      <c r="Q225" s="72" t="s">
        <v>476</v>
      </c>
      <c r="R225" s="22">
        <v>1</v>
      </c>
      <c r="S225" s="22" t="s">
        <v>679</v>
      </c>
      <c r="T225" s="22">
        <v>2</v>
      </c>
    </row>
    <row r="226" spans="1:20">
      <c r="A226">
        <v>76</v>
      </c>
      <c r="B226" s="21">
        <v>406</v>
      </c>
      <c r="C226" s="22">
        <v>3938</v>
      </c>
      <c r="D226" s="22" t="s">
        <v>141</v>
      </c>
      <c r="E226" s="23" t="s">
        <v>15</v>
      </c>
      <c r="F226" s="24">
        <v>19730807</v>
      </c>
      <c r="G226" s="16">
        <f t="shared" si="12"/>
        <v>26883</v>
      </c>
      <c r="H226" s="2">
        <f t="shared" si="13"/>
        <v>48</v>
      </c>
      <c r="I226" s="17"/>
      <c r="J226" s="25">
        <v>20060301</v>
      </c>
      <c r="K226" s="16">
        <f t="shared" si="14"/>
        <v>38777</v>
      </c>
      <c r="L226" s="2">
        <f t="shared" si="15"/>
        <v>15</v>
      </c>
      <c r="M226" s="19"/>
      <c r="N226" s="26"/>
      <c r="O226" s="27" t="s">
        <v>35</v>
      </c>
      <c r="P226" s="72">
        <v>60300</v>
      </c>
      <c r="Q226" s="72" t="s">
        <v>138</v>
      </c>
      <c r="R226" s="22">
        <v>0</v>
      </c>
      <c r="S226" s="155"/>
      <c r="T226" s="22">
        <v>2</v>
      </c>
    </row>
    <row r="227" spans="1:20">
      <c r="A227">
        <v>42</v>
      </c>
      <c r="B227" s="21">
        <v>197</v>
      </c>
      <c r="C227" s="22">
        <v>3215</v>
      </c>
      <c r="D227" s="22" t="s">
        <v>99</v>
      </c>
      <c r="E227" s="23" t="s">
        <v>15</v>
      </c>
      <c r="F227" s="24">
        <v>19860121</v>
      </c>
      <c r="G227" s="16">
        <f t="shared" si="12"/>
        <v>31433</v>
      </c>
      <c r="H227" s="2">
        <f t="shared" si="13"/>
        <v>35</v>
      </c>
      <c r="I227" s="17"/>
      <c r="J227" s="25">
        <v>20040322</v>
      </c>
      <c r="K227" s="16">
        <f t="shared" si="14"/>
        <v>38068</v>
      </c>
      <c r="L227" s="2">
        <f t="shared" si="15"/>
        <v>17</v>
      </c>
      <c r="M227" s="25"/>
      <c r="N227" s="26"/>
      <c r="O227" s="27" t="s">
        <v>35</v>
      </c>
      <c r="P227" s="72">
        <v>40400</v>
      </c>
      <c r="Q227" s="72" t="s">
        <v>98</v>
      </c>
      <c r="R227" s="22">
        <v>0</v>
      </c>
      <c r="S227" s="22"/>
      <c r="T227" s="22">
        <v>1</v>
      </c>
    </row>
    <row r="228" spans="1:20">
      <c r="A228">
        <v>181</v>
      </c>
      <c r="B228" s="21">
        <v>424</v>
      </c>
      <c r="C228" s="22">
        <v>3968</v>
      </c>
      <c r="D228" s="22" t="s">
        <v>460</v>
      </c>
      <c r="E228" s="23" t="s">
        <v>15</v>
      </c>
      <c r="F228" s="24">
        <v>19680408</v>
      </c>
      <c r="G228" s="16">
        <f t="shared" si="12"/>
        <v>24936</v>
      </c>
      <c r="H228" s="2">
        <f t="shared" si="13"/>
        <v>53</v>
      </c>
      <c r="I228" s="17"/>
      <c r="J228" s="25">
        <v>20070903</v>
      </c>
      <c r="K228" s="16">
        <f t="shared" si="14"/>
        <v>39328</v>
      </c>
      <c r="L228" s="2">
        <f t="shared" si="15"/>
        <v>13</v>
      </c>
      <c r="M228" s="25"/>
      <c r="N228" s="26"/>
      <c r="O228" s="27" t="s">
        <v>19</v>
      </c>
      <c r="P228" s="72">
        <v>66011</v>
      </c>
      <c r="Q228" s="72" t="s">
        <v>449</v>
      </c>
      <c r="R228" s="22">
        <v>1</v>
      </c>
      <c r="S228" s="22" t="s">
        <v>679</v>
      </c>
      <c r="T228" s="22">
        <v>2</v>
      </c>
    </row>
    <row r="229" spans="1:20">
      <c r="A229">
        <v>27</v>
      </c>
      <c r="B229" s="21">
        <v>304</v>
      </c>
      <c r="C229" s="22">
        <v>3436</v>
      </c>
      <c r="D229" s="22" t="s">
        <v>79</v>
      </c>
      <c r="E229" s="23" t="s">
        <v>15</v>
      </c>
      <c r="F229" s="24">
        <v>19960601</v>
      </c>
      <c r="G229" s="16">
        <f t="shared" si="12"/>
        <v>35217</v>
      </c>
      <c r="H229" s="2">
        <f t="shared" si="13"/>
        <v>25</v>
      </c>
      <c r="I229" s="17"/>
      <c r="J229" s="25">
        <v>20150401</v>
      </c>
      <c r="K229" s="16">
        <f t="shared" si="14"/>
        <v>42095</v>
      </c>
      <c r="L229" s="2">
        <f t="shared" si="15"/>
        <v>6</v>
      </c>
      <c r="M229" s="25"/>
      <c r="N229" s="26"/>
      <c r="O229" s="27" t="s">
        <v>35</v>
      </c>
      <c r="P229" s="72">
        <v>31000</v>
      </c>
      <c r="Q229" s="72" t="s">
        <v>72</v>
      </c>
      <c r="R229" s="22">
        <v>0</v>
      </c>
      <c r="S229" s="22"/>
      <c r="T229" s="22">
        <v>2</v>
      </c>
    </row>
    <row r="230" spans="1:20">
      <c r="A230">
        <v>7</v>
      </c>
      <c r="B230" s="21">
        <v>84</v>
      </c>
      <c r="C230" s="22">
        <v>2731</v>
      </c>
      <c r="D230" s="22" t="s">
        <v>264</v>
      </c>
      <c r="E230" s="23" t="s">
        <v>15</v>
      </c>
      <c r="F230" s="24">
        <v>19660402</v>
      </c>
      <c r="G230" s="16">
        <f t="shared" si="12"/>
        <v>24199</v>
      </c>
      <c r="H230" s="2">
        <f t="shared" si="13"/>
        <v>55</v>
      </c>
      <c r="I230" s="17"/>
      <c r="J230" s="25">
        <v>19850328</v>
      </c>
      <c r="K230" s="16">
        <f t="shared" si="14"/>
        <v>31134</v>
      </c>
      <c r="L230" s="2">
        <f t="shared" si="15"/>
        <v>36</v>
      </c>
      <c r="M230" s="25"/>
      <c r="N230" s="26"/>
      <c r="O230" s="27" t="s">
        <v>35</v>
      </c>
      <c r="P230" s="72">
        <v>41011</v>
      </c>
      <c r="Q230" s="72" t="s">
        <v>258</v>
      </c>
      <c r="R230" s="22">
        <v>1</v>
      </c>
      <c r="S230" s="22" t="s">
        <v>679</v>
      </c>
      <c r="T230" s="22">
        <v>2</v>
      </c>
    </row>
    <row r="231" spans="1:20">
      <c r="A231">
        <v>139</v>
      </c>
      <c r="B231" s="21">
        <v>386</v>
      </c>
      <c r="C231" s="22">
        <v>3873</v>
      </c>
      <c r="D231" s="22" t="s">
        <v>412</v>
      </c>
      <c r="E231" s="23" t="s">
        <v>15</v>
      </c>
      <c r="F231" s="24">
        <v>19750520</v>
      </c>
      <c r="G231" s="16">
        <f t="shared" si="12"/>
        <v>27534</v>
      </c>
      <c r="H231" s="2">
        <f t="shared" si="13"/>
        <v>46</v>
      </c>
      <c r="I231" s="17"/>
      <c r="J231" s="25">
        <v>19970729</v>
      </c>
      <c r="K231" s="16">
        <f t="shared" si="14"/>
        <v>35640</v>
      </c>
      <c r="L231" s="2">
        <f t="shared" si="15"/>
        <v>24</v>
      </c>
      <c r="M231" s="25"/>
      <c r="N231" s="26"/>
      <c r="O231" s="27" t="s">
        <v>77</v>
      </c>
      <c r="P231" s="72">
        <v>60411</v>
      </c>
      <c r="Q231" s="72" t="s">
        <v>411</v>
      </c>
      <c r="R231" s="22">
        <v>0</v>
      </c>
      <c r="S231" s="155"/>
      <c r="T231" s="22">
        <v>1</v>
      </c>
    </row>
    <row r="232" spans="1:20">
      <c r="A232">
        <v>35</v>
      </c>
      <c r="B232" s="21">
        <v>103</v>
      </c>
      <c r="C232" s="22">
        <v>2832</v>
      </c>
      <c r="D232" s="22" t="s">
        <v>91</v>
      </c>
      <c r="E232" s="23" t="s">
        <v>15</v>
      </c>
      <c r="F232" s="24">
        <v>19690409</v>
      </c>
      <c r="G232" s="16">
        <f t="shared" si="12"/>
        <v>25302</v>
      </c>
      <c r="H232" s="2">
        <f t="shared" si="13"/>
        <v>52</v>
      </c>
      <c r="I232" s="17"/>
      <c r="J232" s="25">
        <v>19880324</v>
      </c>
      <c r="K232" s="16">
        <f t="shared" si="14"/>
        <v>32226</v>
      </c>
      <c r="L232" s="2">
        <f t="shared" si="15"/>
        <v>33</v>
      </c>
      <c r="M232" s="25"/>
      <c r="N232" s="26"/>
      <c r="O232" s="27" t="s">
        <v>35</v>
      </c>
      <c r="P232" s="70">
        <v>61300</v>
      </c>
      <c r="Q232" s="70" t="s">
        <v>162</v>
      </c>
      <c r="R232" s="22">
        <v>0</v>
      </c>
      <c r="S232" s="22"/>
      <c r="T232" s="22">
        <v>1</v>
      </c>
    </row>
    <row r="233" spans="1:20">
      <c r="A233">
        <v>94</v>
      </c>
      <c r="B233" s="21">
        <v>335</v>
      </c>
      <c r="C233" s="22">
        <v>3479</v>
      </c>
      <c r="D233" s="22" t="s">
        <v>360</v>
      </c>
      <c r="E233" s="23" t="s">
        <v>15</v>
      </c>
      <c r="F233" s="24">
        <v>19980615</v>
      </c>
      <c r="G233" s="16">
        <f t="shared" si="12"/>
        <v>35961</v>
      </c>
      <c r="H233" s="2">
        <f t="shared" si="13"/>
        <v>23</v>
      </c>
      <c r="I233" s="17"/>
      <c r="J233" s="25">
        <v>20170403</v>
      </c>
      <c r="K233" s="16">
        <f t="shared" si="14"/>
        <v>42828</v>
      </c>
      <c r="L233" s="2">
        <f t="shared" si="15"/>
        <v>4</v>
      </c>
      <c r="M233" s="25"/>
      <c r="N233" s="26"/>
      <c r="O233" s="27">
        <v>6</v>
      </c>
      <c r="P233" s="70">
        <v>43011</v>
      </c>
      <c r="Q233" s="70" t="s">
        <v>349</v>
      </c>
      <c r="R233" s="22">
        <v>1</v>
      </c>
      <c r="S233" s="22" t="s">
        <v>679</v>
      </c>
      <c r="T233" s="22">
        <v>2</v>
      </c>
    </row>
    <row r="234" spans="1:20">
      <c r="A234">
        <v>112</v>
      </c>
      <c r="B234" s="21">
        <v>186</v>
      </c>
      <c r="C234" s="22">
        <v>3193</v>
      </c>
      <c r="D234" s="22" t="s">
        <v>182</v>
      </c>
      <c r="E234" s="23" t="s">
        <v>15</v>
      </c>
      <c r="F234" s="24">
        <v>19810207</v>
      </c>
      <c r="G234" s="16">
        <f t="shared" si="12"/>
        <v>29624</v>
      </c>
      <c r="H234" s="2">
        <f t="shared" si="13"/>
        <v>40</v>
      </c>
      <c r="I234" s="17"/>
      <c r="J234" s="25">
        <v>20030321</v>
      </c>
      <c r="K234" s="16">
        <f t="shared" si="14"/>
        <v>37701</v>
      </c>
      <c r="L234" s="2">
        <f t="shared" si="15"/>
        <v>18</v>
      </c>
      <c r="M234" s="25"/>
      <c r="N234" s="26"/>
      <c r="O234" s="27" t="s">
        <v>16</v>
      </c>
      <c r="P234" s="70">
        <v>80000</v>
      </c>
      <c r="Q234" s="70" t="s">
        <v>172</v>
      </c>
      <c r="R234" s="22">
        <v>0</v>
      </c>
      <c r="S234" s="22"/>
      <c r="T234" s="22">
        <v>1</v>
      </c>
    </row>
    <row r="235" spans="1:20">
      <c r="A235">
        <v>182</v>
      </c>
      <c r="B235" s="21">
        <v>46</v>
      </c>
      <c r="C235" s="22">
        <v>1390</v>
      </c>
      <c r="D235" s="22" t="s">
        <v>461</v>
      </c>
      <c r="E235" s="23" t="s">
        <v>15</v>
      </c>
      <c r="F235" s="24">
        <v>19680505</v>
      </c>
      <c r="G235" s="16">
        <f t="shared" si="12"/>
        <v>24963</v>
      </c>
      <c r="H235" s="2">
        <f t="shared" si="13"/>
        <v>53</v>
      </c>
      <c r="I235" s="17"/>
      <c r="J235" s="25">
        <v>20141001</v>
      </c>
      <c r="K235" s="16">
        <f t="shared" si="14"/>
        <v>41913</v>
      </c>
      <c r="L235" s="2">
        <f t="shared" si="15"/>
        <v>6</v>
      </c>
      <c r="M235" s="25"/>
      <c r="N235" s="26"/>
      <c r="O235" s="27" t="s">
        <v>35</v>
      </c>
      <c r="P235" s="70">
        <v>66011</v>
      </c>
      <c r="Q235" s="70" t="s">
        <v>449</v>
      </c>
      <c r="R235" s="22">
        <v>1</v>
      </c>
      <c r="S235" s="22" t="s">
        <v>679</v>
      </c>
      <c r="T235" s="22">
        <v>2</v>
      </c>
    </row>
    <row r="236" spans="1:20">
      <c r="A236">
        <v>90</v>
      </c>
      <c r="B236" s="21">
        <v>32</v>
      </c>
      <c r="C236" s="22">
        <v>1368</v>
      </c>
      <c r="D236" s="22" t="s">
        <v>356</v>
      </c>
      <c r="E236" s="23" t="s">
        <v>15</v>
      </c>
      <c r="F236" s="24">
        <v>19721110</v>
      </c>
      <c r="G236" s="16">
        <f t="shared" si="12"/>
        <v>26613</v>
      </c>
      <c r="H236" s="2">
        <f t="shared" si="13"/>
        <v>48</v>
      </c>
      <c r="I236" s="17"/>
      <c r="J236" s="25">
        <v>20110121</v>
      </c>
      <c r="K236" s="16">
        <f t="shared" si="14"/>
        <v>40564</v>
      </c>
      <c r="L236" s="2">
        <f t="shared" si="15"/>
        <v>10</v>
      </c>
      <c r="M236" s="25"/>
      <c r="N236" s="26"/>
      <c r="O236" s="27" t="s">
        <v>19</v>
      </c>
      <c r="P236" s="70">
        <v>43011</v>
      </c>
      <c r="Q236" s="70" t="s">
        <v>349</v>
      </c>
      <c r="R236" s="22">
        <v>1</v>
      </c>
      <c r="S236" s="22" t="s">
        <v>679</v>
      </c>
      <c r="T236" s="22">
        <v>2</v>
      </c>
    </row>
    <row r="237" spans="1:20">
      <c r="A237">
        <v>167</v>
      </c>
      <c r="B237" s="21">
        <v>340</v>
      </c>
      <c r="C237" s="22">
        <v>3486</v>
      </c>
      <c r="D237" s="22" t="s">
        <v>445</v>
      </c>
      <c r="E237" s="23" t="s">
        <v>15</v>
      </c>
      <c r="F237" s="24">
        <v>19981126</v>
      </c>
      <c r="G237" s="16">
        <f t="shared" si="12"/>
        <v>36125</v>
      </c>
      <c r="H237" s="2">
        <f t="shared" si="13"/>
        <v>22</v>
      </c>
      <c r="I237" s="17"/>
      <c r="J237" s="25">
        <v>20170403</v>
      </c>
      <c r="K237" s="16">
        <f t="shared" si="14"/>
        <v>42828</v>
      </c>
      <c r="L237" s="2">
        <f t="shared" si="15"/>
        <v>4</v>
      </c>
      <c r="M237" s="25"/>
      <c r="N237" s="26"/>
      <c r="O237" s="27">
        <v>6</v>
      </c>
      <c r="P237" s="70">
        <v>65011</v>
      </c>
      <c r="Q237" s="70" t="s">
        <v>433</v>
      </c>
      <c r="R237" s="22">
        <v>1</v>
      </c>
      <c r="S237" s="22" t="s">
        <v>679</v>
      </c>
      <c r="T237" s="22">
        <v>2</v>
      </c>
    </row>
    <row r="238" spans="1:20">
      <c r="A238">
        <v>125</v>
      </c>
      <c r="B238" s="21">
        <v>237</v>
      </c>
      <c r="C238" s="22">
        <v>3316</v>
      </c>
      <c r="D238" s="22" t="s">
        <v>195</v>
      </c>
      <c r="E238" s="23" t="s">
        <v>15</v>
      </c>
      <c r="F238" s="24">
        <v>19870727</v>
      </c>
      <c r="G238" s="16">
        <f t="shared" si="12"/>
        <v>31985</v>
      </c>
      <c r="H238" s="2">
        <f t="shared" si="13"/>
        <v>34</v>
      </c>
      <c r="I238" s="17"/>
      <c r="J238" s="25">
        <v>20100321</v>
      </c>
      <c r="K238" s="16">
        <f t="shared" si="14"/>
        <v>40258</v>
      </c>
      <c r="L238" s="2">
        <f t="shared" si="15"/>
        <v>11</v>
      </c>
      <c r="M238" s="25"/>
      <c r="N238" s="26"/>
      <c r="O238" s="27" t="s">
        <v>16</v>
      </c>
      <c r="P238" s="70">
        <v>80000</v>
      </c>
      <c r="Q238" s="70" t="s">
        <v>172</v>
      </c>
      <c r="R238" s="22">
        <v>0</v>
      </c>
      <c r="S238" s="22"/>
      <c r="T238" s="22">
        <v>1</v>
      </c>
    </row>
    <row r="239" spans="1:20">
      <c r="A239">
        <v>131</v>
      </c>
      <c r="B239" s="21">
        <v>260</v>
      </c>
      <c r="C239" s="22">
        <v>3359</v>
      </c>
      <c r="D239" s="22" t="s">
        <v>201</v>
      </c>
      <c r="E239" s="23" t="s">
        <v>15</v>
      </c>
      <c r="F239" s="24">
        <v>19900113</v>
      </c>
      <c r="G239" s="16">
        <f t="shared" si="12"/>
        <v>32886</v>
      </c>
      <c r="H239" s="2">
        <f t="shared" si="13"/>
        <v>31</v>
      </c>
      <c r="I239" s="17"/>
      <c r="J239" s="25">
        <v>20120321</v>
      </c>
      <c r="K239" s="16">
        <f t="shared" si="14"/>
        <v>40989</v>
      </c>
      <c r="L239" s="2">
        <f t="shared" si="15"/>
        <v>9</v>
      </c>
      <c r="M239" s="25"/>
      <c r="N239" s="26"/>
      <c r="O239" s="27" t="s">
        <v>16</v>
      </c>
      <c r="P239" s="70">
        <v>80000</v>
      </c>
      <c r="Q239" s="70" t="s">
        <v>172</v>
      </c>
      <c r="R239" s="22">
        <v>0</v>
      </c>
      <c r="S239" s="22"/>
      <c r="T239" s="22">
        <v>1</v>
      </c>
    </row>
    <row r="240" spans="1:20">
      <c r="A240">
        <v>22</v>
      </c>
      <c r="B240" s="21">
        <v>126</v>
      </c>
      <c r="C240" s="22">
        <v>2979</v>
      </c>
      <c r="D240" s="22" t="s">
        <v>279</v>
      </c>
      <c r="E240" s="23" t="s">
        <v>15</v>
      </c>
      <c r="F240" s="24">
        <v>19750704</v>
      </c>
      <c r="G240" s="16">
        <f t="shared" si="12"/>
        <v>27579</v>
      </c>
      <c r="H240" s="2">
        <f t="shared" si="13"/>
        <v>46</v>
      </c>
      <c r="I240" s="17"/>
      <c r="J240" s="25">
        <v>19940322</v>
      </c>
      <c r="K240" s="16">
        <f t="shared" si="14"/>
        <v>34415</v>
      </c>
      <c r="L240" s="2">
        <f t="shared" si="15"/>
        <v>27</v>
      </c>
      <c r="M240" s="25"/>
      <c r="N240" s="26"/>
      <c r="O240" s="27" t="s">
        <v>35</v>
      </c>
      <c r="P240" s="70">
        <v>41111</v>
      </c>
      <c r="Q240" s="70" t="s">
        <v>280</v>
      </c>
      <c r="R240" s="22">
        <v>1</v>
      </c>
      <c r="S240" s="22" t="s">
        <v>679</v>
      </c>
      <c r="T240" s="22">
        <v>1</v>
      </c>
    </row>
    <row r="241" spans="1:20">
      <c r="A241">
        <v>132</v>
      </c>
      <c r="B241" s="21">
        <v>278</v>
      </c>
      <c r="C241" s="22">
        <v>3390</v>
      </c>
      <c r="D241" s="22" t="s">
        <v>202</v>
      </c>
      <c r="E241" s="23" t="s">
        <v>15</v>
      </c>
      <c r="F241" s="24">
        <v>19901013</v>
      </c>
      <c r="G241" s="16">
        <f t="shared" si="12"/>
        <v>33159</v>
      </c>
      <c r="H241" s="2">
        <f t="shared" si="13"/>
        <v>30</v>
      </c>
      <c r="I241" s="17"/>
      <c r="J241" s="25">
        <v>20130321</v>
      </c>
      <c r="K241" s="16">
        <f t="shared" si="14"/>
        <v>41354</v>
      </c>
      <c r="L241" s="2">
        <f t="shared" si="15"/>
        <v>8</v>
      </c>
      <c r="M241" s="25"/>
      <c r="N241" s="26"/>
      <c r="O241" s="27" t="s">
        <v>16</v>
      </c>
      <c r="P241" s="70">
        <v>80000</v>
      </c>
      <c r="Q241" s="70" t="s">
        <v>172</v>
      </c>
      <c r="R241" s="22">
        <v>0</v>
      </c>
      <c r="S241" s="22"/>
      <c r="T241" s="22">
        <v>1</v>
      </c>
    </row>
    <row r="242" spans="1:20">
      <c r="A242">
        <v>127</v>
      </c>
      <c r="B242" s="21">
        <v>243</v>
      </c>
      <c r="C242" s="22">
        <v>3330</v>
      </c>
      <c r="D242" s="22" t="s">
        <v>197</v>
      </c>
      <c r="E242" s="23" t="s">
        <v>15</v>
      </c>
      <c r="F242" s="24">
        <v>19890202</v>
      </c>
      <c r="G242" s="16">
        <f t="shared" si="12"/>
        <v>32541</v>
      </c>
      <c r="H242" s="2">
        <f t="shared" si="13"/>
        <v>32</v>
      </c>
      <c r="I242" s="17"/>
      <c r="J242" s="25">
        <v>20110321</v>
      </c>
      <c r="K242" s="16">
        <f t="shared" si="14"/>
        <v>40623</v>
      </c>
      <c r="L242" s="2">
        <f t="shared" si="15"/>
        <v>10</v>
      </c>
      <c r="M242" s="25"/>
      <c r="N242" s="26"/>
      <c r="O242" s="27" t="s">
        <v>16</v>
      </c>
      <c r="P242" s="70">
        <v>80000</v>
      </c>
      <c r="Q242" s="70" t="s">
        <v>172</v>
      </c>
      <c r="R242" s="22">
        <v>0</v>
      </c>
      <c r="S242" s="22"/>
      <c r="T242" s="22">
        <v>1</v>
      </c>
    </row>
    <row r="243" spans="1:20">
      <c r="A243">
        <v>5</v>
      </c>
      <c r="B243" s="21">
        <v>53</v>
      </c>
      <c r="C243" s="22">
        <v>1399</v>
      </c>
      <c r="D243" s="22" t="s">
        <v>21</v>
      </c>
      <c r="E243" s="23" t="s">
        <v>15</v>
      </c>
      <c r="F243" s="24">
        <v>19660615</v>
      </c>
      <c r="G243" s="16">
        <f t="shared" si="12"/>
        <v>24273</v>
      </c>
      <c r="H243" s="2">
        <f t="shared" si="13"/>
        <v>55</v>
      </c>
      <c r="I243" s="17"/>
      <c r="J243" s="25">
        <v>20181001</v>
      </c>
      <c r="K243" s="16">
        <f t="shared" si="14"/>
        <v>43374</v>
      </c>
      <c r="L243" s="2">
        <f t="shared" si="15"/>
        <v>2</v>
      </c>
      <c r="M243" s="25"/>
      <c r="N243" s="26"/>
      <c r="O243" s="27">
        <v>8</v>
      </c>
      <c r="P243" s="70">
        <v>1000</v>
      </c>
      <c r="Q243" s="70" t="s">
        <v>17</v>
      </c>
      <c r="R243" s="22">
        <v>0</v>
      </c>
      <c r="S243" s="22"/>
      <c r="T243" s="22">
        <v>2</v>
      </c>
    </row>
    <row r="244" spans="1:20">
      <c r="A244">
        <v>120</v>
      </c>
      <c r="B244" s="21">
        <v>410</v>
      </c>
      <c r="C244" s="22">
        <v>3946</v>
      </c>
      <c r="D244" s="22" t="s">
        <v>391</v>
      </c>
      <c r="E244" s="23" t="s">
        <v>15</v>
      </c>
      <c r="F244" s="24">
        <v>19750308</v>
      </c>
      <c r="G244" s="16">
        <f t="shared" si="12"/>
        <v>27461</v>
      </c>
      <c r="H244" s="2">
        <f t="shared" si="13"/>
        <v>46</v>
      </c>
      <c r="I244" s="17"/>
      <c r="J244" s="25">
        <v>20070301</v>
      </c>
      <c r="K244" s="16">
        <f t="shared" si="14"/>
        <v>39142</v>
      </c>
      <c r="L244" s="2">
        <f t="shared" si="15"/>
        <v>14</v>
      </c>
      <c r="M244" s="25"/>
      <c r="N244" s="26"/>
      <c r="O244" s="27" t="s">
        <v>19</v>
      </c>
      <c r="P244" s="70">
        <v>44511</v>
      </c>
      <c r="Q244" s="70" t="s">
        <v>389</v>
      </c>
      <c r="R244" s="22">
        <v>1</v>
      </c>
      <c r="S244" s="22" t="s">
        <v>679</v>
      </c>
      <c r="T244" s="22">
        <v>1</v>
      </c>
    </row>
    <row r="245" spans="1:20">
      <c r="A245">
        <v>49</v>
      </c>
      <c r="B245" s="21">
        <v>370</v>
      </c>
      <c r="C245" s="22">
        <v>3710</v>
      </c>
      <c r="D245" s="22" t="s">
        <v>108</v>
      </c>
      <c r="E245" s="23" t="s">
        <v>15</v>
      </c>
      <c r="F245" s="24">
        <v>19611125</v>
      </c>
      <c r="G245" s="16">
        <f t="shared" si="12"/>
        <v>22610</v>
      </c>
      <c r="H245" s="2">
        <f t="shared" si="13"/>
        <v>59</v>
      </c>
      <c r="I245" s="17"/>
      <c r="J245" s="25">
        <v>19870801</v>
      </c>
      <c r="K245" s="16">
        <f t="shared" si="14"/>
        <v>31990</v>
      </c>
      <c r="L245" s="2">
        <f t="shared" si="15"/>
        <v>34</v>
      </c>
      <c r="M245" s="25"/>
      <c r="N245" s="26"/>
      <c r="O245" s="27" t="s">
        <v>35</v>
      </c>
      <c r="P245" s="70">
        <v>41200</v>
      </c>
      <c r="Q245" s="70" t="s">
        <v>103</v>
      </c>
      <c r="R245" s="22">
        <v>0</v>
      </c>
      <c r="S245" s="22"/>
      <c r="T245" s="22">
        <v>2</v>
      </c>
    </row>
    <row r="246" spans="1:20">
      <c r="A246">
        <v>152</v>
      </c>
      <c r="B246" s="21">
        <v>423</v>
      </c>
      <c r="C246" s="22">
        <v>3967</v>
      </c>
      <c r="D246" s="22" t="s">
        <v>427</v>
      </c>
      <c r="E246" s="23" t="s">
        <v>15</v>
      </c>
      <c r="F246" s="24">
        <v>19661122</v>
      </c>
      <c r="G246" s="16">
        <f t="shared" si="12"/>
        <v>24433</v>
      </c>
      <c r="H246" s="2">
        <f t="shared" si="13"/>
        <v>54</v>
      </c>
      <c r="I246" s="17"/>
      <c r="J246" s="25">
        <v>20070910</v>
      </c>
      <c r="K246" s="16">
        <f t="shared" si="14"/>
        <v>39335</v>
      </c>
      <c r="L246" s="2">
        <f t="shared" si="15"/>
        <v>13</v>
      </c>
      <c r="M246" s="25"/>
      <c r="N246" s="26"/>
      <c r="O246" s="27" t="s">
        <v>35</v>
      </c>
      <c r="P246" s="70">
        <v>64111</v>
      </c>
      <c r="Q246" s="70" t="s">
        <v>422</v>
      </c>
      <c r="R246" s="22">
        <v>1</v>
      </c>
      <c r="S246" s="22" t="s">
        <v>679</v>
      </c>
      <c r="T246" s="22">
        <v>2</v>
      </c>
    </row>
    <row r="247" spans="1:20">
      <c r="A247">
        <v>130</v>
      </c>
      <c r="B247" s="21">
        <v>415</v>
      </c>
      <c r="C247" s="22">
        <v>3952</v>
      </c>
      <c r="D247" s="22" t="s">
        <v>402</v>
      </c>
      <c r="E247" s="23" t="s">
        <v>15</v>
      </c>
      <c r="F247" s="24">
        <v>19750521</v>
      </c>
      <c r="G247" s="16">
        <f t="shared" si="12"/>
        <v>27535</v>
      </c>
      <c r="H247" s="2">
        <f t="shared" si="13"/>
        <v>46</v>
      </c>
      <c r="I247" s="17"/>
      <c r="J247" s="25">
        <v>20070701</v>
      </c>
      <c r="K247" s="16">
        <f t="shared" si="14"/>
        <v>39264</v>
      </c>
      <c r="L247" s="2">
        <f t="shared" si="15"/>
        <v>14</v>
      </c>
      <c r="M247" s="25"/>
      <c r="N247" s="26"/>
      <c r="O247" s="27" t="s">
        <v>35</v>
      </c>
      <c r="P247" s="70">
        <v>45111</v>
      </c>
      <c r="Q247" s="70" t="s">
        <v>396</v>
      </c>
      <c r="R247" s="22">
        <v>1</v>
      </c>
      <c r="S247" s="22" t="s">
        <v>679</v>
      </c>
      <c r="T247" s="22">
        <v>2</v>
      </c>
    </row>
    <row r="248" spans="1:20">
      <c r="A248">
        <v>10</v>
      </c>
      <c r="B248" s="21">
        <v>192</v>
      </c>
      <c r="C248" s="22">
        <v>3210</v>
      </c>
      <c r="D248" s="22" t="s">
        <v>28</v>
      </c>
      <c r="E248" s="23" t="s">
        <v>15</v>
      </c>
      <c r="F248" s="24">
        <v>19810520</v>
      </c>
      <c r="G248" s="16">
        <f t="shared" si="12"/>
        <v>29726</v>
      </c>
      <c r="H248" s="2">
        <f t="shared" si="13"/>
        <v>40</v>
      </c>
      <c r="I248" s="17"/>
      <c r="J248" s="25">
        <v>20040322</v>
      </c>
      <c r="K248" s="16">
        <f t="shared" si="14"/>
        <v>38068</v>
      </c>
      <c r="L248" s="2">
        <f t="shared" si="15"/>
        <v>17</v>
      </c>
      <c r="M248" s="25"/>
      <c r="N248" s="26"/>
      <c r="O248" s="27" t="s">
        <v>16</v>
      </c>
      <c r="P248" s="70">
        <v>10000</v>
      </c>
      <c r="Q248" s="70" t="s">
        <v>26</v>
      </c>
      <c r="R248" s="22">
        <v>0</v>
      </c>
      <c r="S248" s="22"/>
      <c r="T248" s="22">
        <v>1</v>
      </c>
    </row>
    <row r="249" spans="1:20">
      <c r="A249">
        <v>122</v>
      </c>
      <c r="B249" s="21">
        <v>221</v>
      </c>
      <c r="C249" s="22">
        <v>3276</v>
      </c>
      <c r="D249" s="22" t="s">
        <v>192</v>
      </c>
      <c r="E249" s="23" t="s">
        <v>15</v>
      </c>
      <c r="F249" s="24">
        <v>19830823</v>
      </c>
      <c r="G249" s="16">
        <f t="shared" si="12"/>
        <v>30551</v>
      </c>
      <c r="H249" s="2">
        <f t="shared" si="13"/>
        <v>38</v>
      </c>
      <c r="I249" s="17"/>
      <c r="J249" s="25">
        <v>20080321</v>
      </c>
      <c r="K249" s="16">
        <f t="shared" si="14"/>
        <v>39528</v>
      </c>
      <c r="L249" s="2">
        <f t="shared" si="15"/>
        <v>13</v>
      </c>
      <c r="M249" s="25"/>
      <c r="N249" s="26"/>
      <c r="O249" s="27" t="s">
        <v>16</v>
      </c>
      <c r="P249" s="73">
        <v>80000</v>
      </c>
      <c r="Q249" s="73" t="s">
        <v>172</v>
      </c>
      <c r="R249" s="22">
        <v>0</v>
      </c>
      <c r="S249" s="22"/>
      <c r="T249" s="22">
        <v>1</v>
      </c>
    </row>
    <row r="250" spans="1:20">
      <c r="A250">
        <v>13</v>
      </c>
      <c r="B250" s="21">
        <v>215</v>
      </c>
      <c r="C250" s="22">
        <v>3261</v>
      </c>
      <c r="D250" s="22" t="s">
        <v>270</v>
      </c>
      <c r="E250" s="23" t="s">
        <v>15</v>
      </c>
      <c r="F250" s="24">
        <v>19840718</v>
      </c>
      <c r="G250" s="16">
        <f t="shared" si="12"/>
        <v>30881</v>
      </c>
      <c r="H250" s="2">
        <f t="shared" si="13"/>
        <v>37</v>
      </c>
      <c r="I250" s="17"/>
      <c r="J250" s="25">
        <v>20070321</v>
      </c>
      <c r="K250" s="16">
        <f t="shared" si="14"/>
        <v>39162</v>
      </c>
      <c r="L250" s="2">
        <f t="shared" si="15"/>
        <v>14</v>
      </c>
      <c r="M250" s="25"/>
      <c r="N250" s="26"/>
      <c r="O250" s="27" t="s">
        <v>16</v>
      </c>
      <c r="P250" s="73">
        <v>41011</v>
      </c>
      <c r="Q250" s="73" t="s">
        <v>258</v>
      </c>
      <c r="R250" s="22">
        <v>1</v>
      </c>
      <c r="S250" s="22" t="s">
        <v>679</v>
      </c>
      <c r="T250" s="22">
        <v>2</v>
      </c>
    </row>
    <row r="251" spans="1:20">
      <c r="A251">
        <v>216</v>
      </c>
      <c r="B251" s="21">
        <v>437</v>
      </c>
      <c r="C251" s="22">
        <v>3993</v>
      </c>
      <c r="D251" s="22" t="s">
        <v>499</v>
      </c>
      <c r="E251" s="23" t="s">
        <v>15</v>
      </c>
      <c r="F251" s="24">
        <v>19750124</v>
      </c>
      <c r="G251" s="16">
        <f t="shared" si="12"/>
        <v>27418</v>
      </c>
      <c r="H251" s="2">
        <f t="shared" si="13"/>
        <v>46</v>
      </c>
      <c r="I251" s="17"/>
      <c r="J251" s="25">
        <v>20071128</v>
      </c>
      <c r="K251" s="16">
        <f t="shared" si="14"/>
        <v>39414</v>
      </c>
      <c r="L251" s="2">
        <f t="shared" si="15"/>
        <v>13</v>
      </c>
      <c r="M251" s="25"/>
      <c r="N251" s="26"/>
      <c r="O251" s="27" t="s">
        <v>35</v>
      </c>
      <c r="P251" s="73">
        <v>69011</v>
      </c>
      <c r="Q251" s="73" t="s">
        <v>489</v>
      </c>
      <c r="R251" s="22">
        <v>1</v>
      </c>
      <c r="S251" s="22" t="s">
        <v>679</v>
      </c>
      <c r="T251" s="22">
        <v>2</v>
      </c>
    </row>
    <row r="252" spans="1:20">
      <c r="A252">
        <v>70</v>
      </c>
      <c r="B252" s="21">
        <v>307</v>
      </c>
      <c r="C252" s="22">
        <v>3439</v>
      </c>
      <c r="D252" s="22" t="s">
        <v>333</v>
      </c>
      <c r="E252" s="23" t="s">
        <v>15</v>
      </c>
      <c r="F252" s="24">
        <v>19960515</v>
      </c>
      <c r="G252" s="16">
        <f t="shared" si="12"/>
        <v>35200</v>
      </c>
      <c r="H252" s="2">
        <f t="shared" si="13"/>
        <v>25</v>
      </c>
      <c r="I252" s="17"/>
      <c r="J252" s="25">
        <v>20150401</v>
      </c>
      <c r="K252" s="16">
        <f t="shared" si="14"/>
        <v>42095</v>
      </c>
      <c r="L252" s="2">
        <f t="shared" si="15"/>
        <v>6</v>
      </c>
      <c r="M252" s="25"/>
      <c r="N252" s="26"/>
      <c r="O252" s="27" t="s">
        <v>35</v>
      </c>
      <c r="P252" s="73">
        <v>42311</v>
      </c>
      <c r="Q252" s="73" t="s">
        <v>331</v>
      </c>
      <c r="R252" s="22">
        <v>1</v>
      </c>
      <c r="S252" s="22" t="s">
        <v>679</v>
      </c>
      <c r="T252" s="22">
        <v>1</v>
      </c>
    </row>
    <row r="253" spans="1:20">
      <c r="A253">
        <v>118</v>
      </c>
      <c r="B253" s="21">
        <v>451</v>
      </c>
      <c r="C253" s="22">
        <v>5070</v>
      </c>
      <c r="D253" s="22" t="s">
        <v>388</v>
      </c>
      <c r="E253" s="23" t="s">
        <v>15</v>
      </c>
      <c r="F253" s="24">
        <v>19661026</v>
      </c>
      <c r="G253" s="16">
        <f t="shared" si="12"/>
        <v>24406</v>
      </c>
      <c r="H253" s="2">
        <f t="shared" si="13"/>
        <v>54</v>
      </c>
      <c r="I253" s="17"/>
      <c r="J253" s="25">
        <v>19830325</v>
      </c>
      <c r="K253" s="16">
        <f t="shared" si="14"/>
        <v>30400</v>
      </c>
      <c r="L253" s="2">
        <f t="shared" si="15"/>
        <v>38</v>
      </c>
      <c r="M253" s="25"/>
      <c r="N253" s="26"/>
      <c r="O253" s="27" t="s">
        <v>105</v>
      </c>
      <c r="P253" s="73">
        <v>44511</v>
      </c>
      <c r="Q253" s="73" t="s">
        <v>389</v>
      </c>
      <c r="R253" s="22">
        <v>0</v>
      </c>
      <c r="S253" s="22"/>
      <c r="T253" s="22">
        <v>1</v>
      </c>
    </row>
    <row r="254" spans="1:20">
      <c r="A254">
        <v>148</v>
      </c>
      <c r="B254" s="21">
        <v>152</v>
      </c>
      <c r="C254" s="22">
        <v>3084</v>
      </c>
      <c r="D254" s="22" t="s">
        <v>219</v>
      </c>
      <c r="E254" s="23" t="s">
        <v>15</v>
      </c>
      <c r="F254" s="24">
        <v>19730105</v>
      </c>
      <c r="G254" s="16">
        <f t="shared" si="12"/>
        <v>26669</v>
      </c>
      <c r="H254" s="2">
        <f t="shared" si="13"/>
        <v>48</v>
      </c>
      <c r="I254" s="17"/>
      <c r="J254" s="25">
        <v>19950322</v>
      </c>
      <c r="K254" s="16">
        <f t="shared" si="14"/>
        <v>34780</v>
      </c>
      <c r="L254" s="2">
        <f t="shared" si="15"/>
        <v>26</v>
      </c>
      <c r="M254" s="25"/>
      <c r="N254" s="26"/>
      <c r="O254" s="27" t="s">
        <v>16</v>
      </c>
      <c r="P254" s="73">
        <v>90000</v>
      </c>
      <c r="Q254" s="73" t="s">
        <v>218</v>
      </c>
      <c r="R254" s="22">
        <v>0</v>
      </c>
      <c r="S254" s="22"/>
      <c r="T254" s="22">
        <v>1</v>
      </c>
    </row>
    <row r="255" spans="1:20">
      <c r="A255">
        <v>72</v>
      </c>
      <c r="B255" s="21">
        <v>281</v>
      </c>
      <c r="C255" s="22">
        <v>3393</v>
      </c>
      <c r="D255" s="22" t="s">
        <v>136</v>
      </c>
      <c r="E255" s="23" t="s">
        <v>15</v>
      </c>
      <c r="F255" s="24">
        <v>19930104</v>
      </c>
      <c r="G255" s="16">
        <f t="shared" si="12"/>
        <v>33973</v>
      </c>
      <c r="H255" s="2">
        <f t="shared" si="13"/>
        <v>28</v>
      </c>
      <c r="I255" s="17"/>
      <c r="J255" s="25">
        <v>20130321</v>
      </c>
      <c r="K255" s="16">
        <f t="shared" si="14"/>
        <v>41354</v>
      </c>
      <c r="L255" s="2">
        <f t="shared" si="15"/>
        <v>8</v>
      </c>
      <c r="M255" s="25"/>
      <c r="N255" s="26"/>
      <c r="O255" s="27" t="s">
        <v>19</v>
      </c>
      <c r="P255" s="73">
        <v>60200</v>
      </c>
      <c r="Q255" s="73" t="s">
        <v>134</v>
      </c>
      <c r="R255" s="22">
        <v>0</v>
      </c>
      <c r="S255" s="22"/>
      <c r="T255" s="22">
        <v>2</v>
      </c>
    </row>
    <row r="256" spans="1:20">
      <c r="A256">
        <v>75</v>
      </c>
      <c r="B256" s="21">
        <v>165</v>
      </c>
      <c r="C256" s="22">
        <v>3137</v>
      </c>
      <c r="D256" s="22" t="s">
        <v>140</v>
      </c>
      <c r="E256" s="23" t="s">
        <v>15</v>
      </c>
      <c r="F256" s="24">
        <v>19761016</v>
      </c>
      <c r="G256" s="16">
        <f t="shared" si="12"/>
        <v>28049</v>
      </c>
      <c r="H256" s="2">
        <f t="shared" si="13"/>
        <v>44</v>
      </c>
      <c r="I256" s="17"/>
      <c r="J256" s="25">
        <v>19970321</v>
      </c>
      <c r="K256" s="16">
        <f t="shared" si="14"/>
        <v>35510</v>
      </c>
      <c r="L256" s="2">
        <f t="shared" si="15"/>
        <v>24</v>
      </c>
      <c r="M256" s="25"/>
      <c r="N256" s="26"/>
      <c r="O256" s="27" t="s">
        <v>19</v>
      </c>
      <c r="P256" s="70">
        <v>60300</v>
      </c>
      <c r="Q256" s="70" t="s">
        <v>138</v>
      </c>
      <c r="R256" s="22">
        <v>0</v>
      </c>
      <c r="S256" s="155"/>
      <c r="T256" s="22">
        <v>2</v>
      </c>
    </row>
    <row r="257" spans="1:20">
      <c r="A257">
        <v>111</v>
      </c>
      <c r="B257" s="21">
        <v>400</v>
      </c>
      <c r="C257" s="22">
        <v>3909</v>
      </c>
      <c r="D257" s="22" t="s">
        <v>379</v>
      </c>
      <c r="E257" s="23" t="s">
        <v>15</v>
      </c>
      <c r="F257" s="24">
        <v>19620404</v>
      </c>
      <c r="G257" s="16">
        <f t="shared" si="12"/>
        <v>22740</v>
      </c>
      <c r="H257" s="2">
        <f t="shared" si="13"/>
        <v>59</v>
      </c>
      <c r="I257" s="17"/>
      <c r="J257" s="25">
        <v>20021107</v>
      </c>
      <c r="K257" s="16">
        <f t="shared" si="14"/>
        <v>37567</v>
      </c>
      <c r="L257" s="2">
        <f t="shared" si="15"/>
        <v>18</v>
      </c>
      <c r="M257" s="25"/>
      <c r="N257" s="26"/>
      <c r="O257" s="27" t="s">
        <v>35</v>
      </c>
      <c r="P257" s="70">
        <v>43311</v>
      </c>
      <c r="Q257" s="70" t="s">
        <v>377</v>
      </c>
      <c r="R257" s="22">
        <v>1</v>
      </c>
      <c r="S257" s="22" t="s">
        <v>679</v>
      </c>
      <c r="T257" s="22">
        <v>2</v>
      </c>
    </row>
    <row r="258" spans="1:20">
      <c r="A258">
        <v>118</v>
      </c>
      <c r="B258" s="21">
        <v>175</v>
      </c>
      <c r="C258" s="22">
        <v>3168</v>
      </c>
      <c r="D258" s="22" t="s">
        <v>188</v>
      </c>
      <c r="E258" s="23" t="s">
        <v>15</v>
      </c>
      <c r="F258" s="24">
        <v>19781023</v>
      </c>
      <c r="G258" s="16">
        <f t="shared" si="12"/>
        <v>28786</v>
      </c>
      <c r="H258" s="2">
        <f t="shared" si="13"/>
        <v>42</v>
      </c>
      <c r="I258" s="17"/>
      <c r="J258" s="25">
        <v>20010321</v>
      </c>
      <c r="K258" s="16">
        <f t="shared" si="14"/>
        <v>36971</v>
      </c>
      <c r="L258" s="2">
        <f t="shared" si="15"/>
        <v>20</v>
      </c>
      <c r="M258" s="25"/>
      <c r="N258" s="26"/>
      <c r="O258" s="27" t="s">
        <v>16</v>
      </c>
      <c r="P258" s="70">
        <v>80000</v>
      </c>
      <c r="Q258" s="70" t="s">
        <v>172</v>
      </c>
      <c r="R258" s="22">
        <v>0</v>
      </c>
      <c r="S258" s="22"/>
      <c r="T258" s="22">
        <v>1</v>
      </c>
    </row>
    <row r="259" spans="1:20">
      <c r="A259">
        <v>34</v>
      </c>
      <c r="B259" s="21">
        <v>305</v>
      </c>
      <c r="C259" s="22">
        <v>3437</v>
      </c>
      <c r="D259" s="22" t="s">
        <v>293</v>
      </c>
      <c r="E259" s="23" t="s">
        <v>15</v>
      </c>
      <c r="F259" s="24">
        <v>19960902</v>
      </c>
      <c r="G259" s="16">
        <f t="shared" si="12"/>
        <v>35310</v>
      </c>
      <c r="H259" s="2">
        <f t="shared" si="13"/>
        <v>24</v>
      </c>
      <c r="I259" s="17"/>
      <c r="J259" s="25">
        <v>20150401</v>
      </c>
      <c r="K259" s="16">
        <f t="shared" si="14"/>
        <v>42095</v>
      </c>
      <c r="L259" s="2">
        <f t="shared" si="15"/>
        <v>6</v>
      </c>
      <c r="M259" s="25"/>
      <c r="N259" s="26"/>
      <c r="O259" s="27" t="s">
        <v>35</v>
      </c>
      <c r="P259" s="70">
        <v>42011</v>
      </c>
      <c r="Q259" s="70" t="s">
        <v>290</v>
      </c>
      <c r="R259" s="22">
        <v>1</v>
      </c>
      <c r="S259" s="22" t="s">
        <v>679</v>
      </c>
      <c r="T259" s="22">
        <v>1</v>
      </c>
    </row>
    <row r="260" spans="1:20">
      <c r="A260">
        <v>117</v>
      </c>
      <c r="B260" s="21">
        <v>202</v>
      </c>
      <c r="C260" s="22">
        <v>3230</v>
      </c>
      <c r="D260" s="22" t="s">
        <v>187</v>
      </c>
      <c r="E260" s="23" t="s">
        <v>15</v>
      </c>
      <c r="F260" s="24">
        <v>19820902</v>
      </c>
      <c r="G260" s="16">
        <f t="shared" si="12"/>
        <v>30196</v>
      </c>
      <c r="H260" s="2">
        <f t="shared" si="13"/>
        <v>38</v>
      </c>
      <c r="I260" s="17"/>
      <c r="J260" s="25">
        <v>20050321</v>
      </c>
      <c r="K260" s="16">
        <f t="shared" si="14"/>
        <v>38432</v>
      </c>
      <c r="L260" s="2">
        <f t="shared" si="15"/>
        <v>16</v>
      </c>
      <c r="M260" s="25"/>
      <c r="N260" s="26"/>
      <c r="O260" s="27" t="s">
        <v>16</v>
      </c>
      <c r="P260" s="70">
        <v>80000</v>
      </c>
      <c r="Q260" s="70" t="s">
        <v>172</v>
      </c>
      <c r="R260" s="22">
        <v>0</v>
      </c>
      <c r="S260" s="22"/>
      <c r="T260" s="22">
        <v>1</v>
      </c>
    </row>
    <row r="261" spans="1:20">
      <c r="A261">
        <v>24</v>
      </c>
      <c r="B261" s="21">
        <v>264</v>
      </c>
      <c r="C261" s="22">
        <v>3365</v>
      </c>
      <c r="D261" s="22" t="s">
        <v>282</v>
      </c>
      <c r="E261" s="23" t="s">
        <v>15</v>
      </c>
      <c r="F261" s="24">
        <v>19930912</v>
      </c>
      <c r="G261" s="16">
        <f t="shared" ref="G261:G324" si="16">DATE(INT(F261/10000),INT(MOD(F261,10000)/100),MOD(F261,100))</f>
        <v>34224</v>
      </c>
      <c r="H261" s="2">
        <f t="shared" ref="H261:H324" si="17">DATEDIF(G261,$G$4,"Y")</f>
        <v>27</v>
      </c>
      <c r="I261" s="17"/>
      <c r="J261" s="25">
        <v>20120321</v>
      </c>
      <c r="K261" s="16">
        <f t="shared" ref="K261:K324" si="18">DATE(INT(J261/10000),INT(MOD(J261,10000)/100),MOD(J261,100))</f>
        <v>40989</v>
      </c>
      <c r="L261" s="2">
        <f t="shared" ref="L261:L324" si="19">DATEDIF(K261,$G$4,"Y")</f>
        <v>9</v>
      </c>
      <c r="M261" s="25"/>
      <c r="N261" s="26"/>
      <c r="O261" s="27" t="s">
        <v>35</v>
      </c>
      <c r="P261" s="70">
        <v>41111</v>
      </c>
      <c r="Q261" s="70" t="s">
        <v>280</v>
      </c>
      <c r="R261" s="22">
        <v>1</v>
      </c>
      <c r="S261" s="22" t="s">
        <v>679</v>
      </c>
      <c r="T261" s="22">
        <v>1</v>
      </c>
    </row>
    <row r="262" spans="1:20">
      <c r="A262">
        <v>36</v>
      </c>
      <c r="B262" s="21">
        <v>104</v>
      </c>
      <c r="C262" s="22">
        <v>2834</v>
      </c>
      <c r="D262" s="22" t="s">
        <v>92</v>
      </c>
      <c r="E262" s="23" t="s">
        <v>15</v>
      </c>
      <c r="F262" s="24">
        <v>19690713</v>
      </c>
      <c r="G262" s="16">
        <f t="shared" si="16"/>
        <v>25397</v>
      </c>
      <c r="H262" s="2">
        <f t="shared" si="17"/>
        <v>52</v>
      </c>
      <c r="I262" s="17"/>
      <c r="J262" s="25">
        <v>19880324</v>
      </c>
      <c r="K262" s="16">
        <f t="shared" si="18"/>
        <v>32226</v>
      </c>
      <c r="L262" s="2">
        <f t="shared" si="19"/>
        <v>33</v>
      </c>
      <c r="M262" s="25"/>
      <c r="N262" s="26"/>
      <c r="O262" s="27" t="s">
        <v>35</v>
      </c>
      <c r="P262" s="70">
        <v>40000</v>
      </c>
      <c r="Q262" s="70" t="s">
        <v>87</v>
      </c>
      <c r="R262" s="22">
        <v>0</v>
      </c>
      <c r="S262" s="22"/>
      <c r="T262" s="22">
        <v>1</v>
      </c>
    </row>
    <row r="263" spans="1:20">
      <c r="A263">
        <v>115</v>
      </c>
      <c r="B263" s="21">
        <v>90</v>
      </c>
      <c r="C263" s="22">
        <v>2770</v>
      </c>
      <c r="D263" s="22" t="s">
        <v>385</v>
      </c>
      <c r="E263" s="23" t="s">
        <v>15</v>
      </c>
      <c r="F263" s="24">
        <v>19671216</v>
      </c>
      <c r="G263" s="16">
        <f t="shared" si="16"/>
        <v>24822</v>
      </c>
      <c r="H263" s="2">
        <f t="shared" si="17"/>
        <v>53</v>
      </c>
      <c r="I263" s="17"/>
      <c r="J263" s="25">
        <v>19860326</v>
      </c>
      <c r="K263" s="16">
        <f t="shared" si="18"/>
        <v>31497</v>
      </c>
      <c r="L263" s="2">
        <f t="shared" si="19"/>
        <v>35</v>
      </c>
      <c r="M263" s="25"/>
      <c r="N263" s="26"/>
      <c r="O263" s="27" t="s">
        <v>35</v>
      </c>
      <c r="P263" s="70">
        <v>44111</v>
      </c>
      <c r="Q263" s="70" t="s">
        <v>383</v>
      </c>
      <c r="R263" s="22">
        <v>1</v>
      </c>
      <c r="S263" s="22" t="s">
        <v>679</v>
      </c>
      <c r="T263" s="22">
        <v>2</v>
      </c>
    </row>
    <row r="264" spans="1:20">
      <c r="A264">
        <v>211</v>
      </c>
      <c r="B264" s="21">
        <v>458</v>
      </c>
      <c r="C264" s="22">
        <v>5149</v>
      </c>
      <c r="D264" s="22" t="s">
        <v>494</v>
      </c>
      <c r="E264" s="23" t="s">
        <v>15</v>
      </c>
      <c r="F264" s="24">
        <v>19690926</v>
      </c>
      <c r="G264" s="16">
        <f t="shared" si="16"/>
        <v>25472</v>
      </c>
      <c r="H264" s="2">
        <f t="shared" si="17"/>
        <v>51</v>
      </c>
      <c r="I264" s="17"/>
      <c r="J264" s="25">
        <v>19870325</v>
      </c>
      <c r="K264" s="16">
        <f t="shared" si="18"/>
        <v>31861</v>
      </c>
      <c r="L264" s="2">
        <f t="shared" si="19"/>
        <v>34</v>
      </c>
      <c r="M264" s="25"/>
      <c r="N264" s="26"/>
      <c r="O264" s="27" t="s">
        <v>75</v>
      </c>
      <c r="P264" s="70">
        <v>69011</v>
      </c>
      <c r="Q264" s="70" t="s">
        <v>489</v>
      </c>
      <c r="R264" s="22">
        <v>1</v>
      </c>
      <c r="S264" s="22" t="s">
        <v>679</v>
      </c>
      <c r="T264" s="22">
        <v>2</v>
      </c>
    </row>
    <row r="265" spans="1:20">
      <c r="A265">
        <v>46</v>
      </c>
      <c r="B265" s="21">
        <v>442</v>
      </c>
      <c r="C265" s="22">
        <v>4964</v>
      </c>
      <c r="D265" s="22" t="s">
        <v>104</v>
      </c>
      <c r="E265" s="23" t="s">
        <v>15</v>
      </c>
      <c r="F265" s="24">
        <v>19610924</v>
      </c>
      <c r="G265" s="16">
        <f t="shared" si="16"/>
        <v>22548</v>
      </c>
      <c r="H265" s="2">
        <f t="shared" si="17"/>
        <v>59</v>
      </c>
      <c r="I265" s="17"/>
      <c r="J265" s="25">
        <v>19780323</v>
      </c>
      <c r="K265" s="16">
        <f t="shared" si="18"/>
        <v>28572</v>
      </c>
      <c r="L265" s="2">
        <f t="shared" si="19"/>
        <v>43</v>
      </c>
      <c r="M265" s="25"/>
      <c r="N265" s="26"/>
      <c r="O265" s="27" t="s">
        <v>105</v>
      </c>
      <c r="P265" s="70">
        <v>41200</v>
      </c>
      <c r="Q265" s="70" t="s">
        <v>103</v>
      </c>
      <c r="R265" s="22">
        <v>0</v>
      </c>
      <c r="S265" s="22"/>
      <c r="T265" s="22">
        <v>2</v>
      </c>
    </row>
    <row r="266" spans="1:20">
      <c r="A266">
        <v>38</v>
      </c>
      <c r="B266" s="21">
        <v>291</v>
      </c>
      <c r="C266" s="22">
        <v>3412</v>
      </c>
      <c r="D266" s="22" t="s">
        <v>94</v>
      </c>
      <c r="E266" s="23" t="s">
        <v>15</v>
      </c>
      <c r="F266" s="24">
        <v>19910218</v>
      </c>
      <c r="G266" s="16">
        <f t="shared" si="16"/>
        <v>33287</v>
      </c>
      <c r="H266" s="2">
        <f t="shared" si="17"/>
        <v>30</v>
      </c>
      <c r="I266" s="17"/>
      <c r="J266" s="25">
        <v>20140321</v>
      </c>
      <c r="K266" s="16">
        <f t="shared" si="18"/>
        <v>41719</v>
      </c>
      <c r="L266" s="2">
        <f t="shared" si="19"/>
        <v>7</v>
      </c>
      <c r="M266" s="25"/>
      <c r="N266" s="26"/>
      <c r="O266" s="27" t="s">
        <v>16</v>
      </c>
      <c r="P266" s="70">
        <v>40000</v>
      </c>
      <c r="Q266" s="70" t="s">
        <v>87</v>
      </c>
      <c r="R266" s="22">
        <v>0</v>
      </c>
      <c r="S266" s="22"/>
      <c r="T266" s="22">
        <v>1</v>
      </c>
    </row>
    <row r="267" spans="1:20">
      <c r="A267">
        <v>173</v>
      </c>
      <c r="B267" s="21">
        <v>272</v>
      </c>
      <c r="C267" s="22">
        <v>3379</v>
      </c>
      <c r="D267" s="22" t="s">
        <v>452</v>
      </c>
      <c r="E267" s="23" t="s">
        <v>15</v>
      </c>
      <c r="F267" s="24">
        <v>19930826</v>
      </c>
      <c r="G267" s="16">
        <f t="shared" si="16"/>
        <v>34207</v>
      </c>
      <c r="H267" s="2">
        <f t="shared" si="17"/>
        <v>28</v>
      </c>
      <c r="I267" s="17"/>
      <c r="J267" s="25">
        <v>20120321</v>
      </c>
      <c r="K267" s="16">
        <f t="shared" si="18"/>
        <v>40989</v>
      </c>
      <c r="L267" s="2">
        <f t="shared" si="19"/>
        <v>9</v>
      </c>
      <c r="M267" s="25"/>
      <c r="N267" s="26"/>
      <c r="O267" s="27" t="s">
        <v>35</v>
      </c>
      <c r="P267" s="70">
        <v>66011</v>
      </c>
      <c r="Q267" s="70" t="s">
        <v>449</v>
      </c>
      <c r="R267" s="22">
        <v>1</v>
      </c>
      <c r="S267" s="22" t="s">
        <v>679</v>
      </c>
      <c r="T267" s="22">
        <v>1</v>
      </c>
    </row>
    <row r="268" spans="1:20">
      <c r="A268">
        <v>27</v>
      </c>
      <c r="B268" s="21">
        <v>169</v>
      </c>
      <c r="C268" s="22">
        <v>3150</v>
      </c>
      <c r="D268" s="22" t="s">
        <v>285</v>
      </c>
      <c r="E268" s="23" t="s">
        <v>15</v>
      </c>
      <c r="F268" s="24">
        <v>19780131</v>
      </c>
      <c r="G268" s="16">
        <f t="shared" si="16"/>
        <v>28521</v>
      </c>
      <c r="H268" s="2">
        <f t="shared" si="17"/>
        <v>43</v>
      </c>
      <c r="I268" s="17"/>
      <c r="J268" s="25">
        <v>19980323</v>
      </c>
      <c r="K268" s="16">
        <f t="shared" si="18"/>
        <v>35877</v>
      </c>
      <c r="L268" s="2">
        <f t="shared" si="19"/>
        <v>23</v>
      </c>
      <c r="M268" s="25"/>
      <c r="N268" s="26"/>
      <c r="O268" s="27" t="s">
        <v>19</v>
      </c>
      <c r="P268" s="70">
        <v>41111</v>
      </c>
      <c r="Q268" s="70" t="s">
        <v>280</v>
      </c>
      <c r="R268" s="22">
        <v>1</v>
      </c>
      <c r="S268" s="22" t="s">
        <v>679</v>
      </c>
      <c r="T268" s="22">
        <v>2</v>
      </c>
    </row>
    <row r="269" spans="1:20">
      <c r="A269">
        <v>215</v>
      </c>
      <c r="B269" s="21">
        <v>435</v>
      </c>
      <c r="C269" s="22">
        <v>3991</v>
      </c>
      <c r="D269" s="22" t="s">
        <v>498</v>
      </c>
      <c r="E269" s="23" t="s">
        <v>15</v>
      </c>
      <c r="F269" s="24">
        <v>19791113</v>
      </c>
      <c r="G269" s="16">
        <f t="shared" si="16"/>
        <v>29172</v>
      </c>
      <c r="H269" s="2">
        <f t="shared" si="17"/>
        <v>41</v>
      </c>
      <c r="I269" s="17"/>
      <c r="J269" s="25">
        <v>20071101</v>
      </c>
      <c r="K269" s="16">
        <f t="shared" si="18"/>
        <v>39387</v>
      </c>
      <c r="L269" s="2">
        <f t="shared" si="19"/>
        <v>13</v>
      </c>
      <c r="M269" s="25"/>
      <c r="N269" s="26"/>
      <c r="O269" s="27" t="s">
        <v>19</v>
      </c>
      <c r="P269" s="70">
        <v>69011</v>
      </c>
      <c r="Q269" s="70" t="s">
        <v>489</v>
      </c>
      <c r="R269" s="22">
        <v>1</v>
      </c>
      <c r="S269" s="22" t="s">
        <v>679</v>
      </c>
      <c r="T269" s="22">
        <v>2</v>
      </c>
    </row>
    <row r="270" spans="1:20">
      <c r="A270">
        <v>40</v>
      </c>
      <c r="B270" s="21">
        <v>317</v>
      </c>
      <c r="C270" s="22">
        <v>3453</v>
      </c>
      <c r="D270" s="22" t="s">
        <v>96</v>
      </c>
      <c r="E270" s="23" t="s">
        <v>15</v>
      </c>
      <c r="F270" s="24">
        <v>19930110</v>
      </c>
      <c r="G270" s="16">
        <f t="shared" si="16"/>
        <v>33979</v>
      </c>
      <c r="H270" s="2">
        <f t="shared" si="17"/>
        <v>28</v>
      </c>
      <c r="I270" s="17"/>
      <c r="J270" s="25">
        <v>20160401</v>
      </c>
      <c r="K270" s="16">
        <f t="shared" si="18"/>
        <v>42461</v>
      </c>
      <c r="L270" s="2">
        <f t="shared" si="19"/>
        <v>5</v>
      </c>
      <c r="M270" s="25"/>
      <c r="N270" s="26"/>
      <c r="O270" s="27" t="s">
        <v>16</v>
      </c>
      <c r="P270" s="70">
        <v>40000</v>
      </c>
      <c r="Q270" s="70" t="s">
        <v>87</v>
      </c>
      <c r="R270" s="22">
        <v>0</v>
      </c>
      <c r="S270" s="22"/>
      <c r="T270" s="22">
        <v>2</v>
      </c>
    </row>
    <row r="271" spans="1:20">
      <c r="A271">
        <v>87</v>
      </c>
      <c r="B271" s="21">
        <v>115</v>
      </c>
      <c r="C271" s="22">
        <v>2934</v>
      </c>
      <c r="D271" s="22" t="s">
        <v>353</v>
      </c>
      <c r="E271" s="23" t="s">
        <v>15</v>
      </c>
      <c r="F271" s="24">
        <v>19740924</v>
      </c>
      <c r="G271" s="16">
        <f t="shared" si="16"/>
        <v>27296</v>
      </c>
      <c r="H271" s="2">
        <f t="shared" si="17"/>
        <v>46</v>
      </c>
      <c r="I271" s="17"/>
      <c r="J271" s="25">
        <v>19930322</v>
      </c>
      <c r="K271" s="16">
        <f t="shared" si="18"/>
        <v>34050</v>
      </c>
      <c r="L271" s="2">
        <f t="shared" si="19"/>
        <v>28</v>
      </c>
      <c r="M271" s="25"/>
      <c r="N271" s="26"/>
      <c r="O271" s="27" t="s">
        <v>35</v>
      </c>
      <c r="P271" s="70">
        <v>43011</v>
      </c>
      <c r="Q271" s="70" t="s">
        <v>349</v>
      </c>
      <c r="R271" s="22">
        <v>1</v>
      </c>
      <c r="S271" s="22" t="s">
        <v>679</v>
      </c>
      <c r="T271" s="22">
        <v>2</v>
      </c>
    </row>
    <row r="272" spans="1:20">
      <c r="A272">
        <v>2</v>
      </c>
      <c r="B272" s="21">
        <v>4</v>
      </c>
      <c r="C272" s="22">
        <v>1290</v>
      </c>
      <c r="D272" s="22" t="s">
        <v>44</v>
      </c>
      <c r="E272" s="23" t="s">
        <v>15</v>
      </c>
      <c r="F272" s="24">
        <v>19650109</v>
      </c>
      <c r="G272" s="16">
        <f t="shared" si="16"/>
        <v>23751</v>
      </c>
      <c r="H272" s="2">
        <f t="shared" si="17"/>
        <v>56</v>
      </c>
      <c r="I272" s="17"/>
      <c r="J272" s="25">
        <v>19940321</v>
      </c>
      <c r="K272" s="16">
        <f t="shared" si="18"/>
        <v>34414</v>
      </c>
      <c r="L272" s="2">
        <f t="shared" si="19"/>
        <v>27</v>
      </c>
      <c r="M272" s="25"/>
      <c r="N272" s="26"/>
      <c r="O272" s="27" t="s">
        <v>16</v>
      </c>
      <c r="P272" s="70">
        <v>20000</v>
      </c>
      <c r="Q272" s="70" t="s">
        <v>45</v>
      </c>
      <c r="R272" s="22">
        <v>0</v>
      </c>
      <c r="S272" s="22"/>
      <c r="T272" s="22">
        <v>1</v>
      </c>
    </row>
    <row r="273" spans="1:20">
      <c r="A273">
        <v>128</v>
      </c>
      <c r="B273" s="21">
        <v>247</v>
      </c>
      <c r="C273" s="22">
        <v>3335</v>
      </c>
      <c r="D273" s="22" t="s">
        <v>198</v>
      </c>
      <c r="E273" s="23" t="s">
        <v>15</v>
      </c>
      <c r="F273" s="24">
        <v>19870404</v>
      </c>
      <c r="G273" s="16">
        <f t="shared" si="16"/>
        <v>31871</v>
      </c>
      <c r="H273" s="2">
        <f t="shared" si="17"/>
        <v>34</v>
      </c>
      <c r="I273" s="17"/>
      <c r="J273" s="25">
        <v>20110321</v>
      </c>
      <c r="K273" s="16">
        <f t="shared" si="18"/>
        <v>40623</v>
      </c>
      <c r="L273" s="2">
        <f t="shared" si="19"/>
        <v>10</v>
      </c>
      <c r="M273" s="25"/>
      <c r="N273" s="26"/>
      <c r="O273" s="27" t="s">
        <v>16</v>
      </c>
      <c r="P273" s="70">
        <v>80000</v>
      </c>
      <c r="Q273" s="70" t="s">
        <v>172</v>
      </c>
      <c r="R273" s="22">
        <v>0</v>
      </c>
      <c r="S273" s="22"/>
      <c r="T273" s="22">
        <v>1</v>
      </c>
    </row>
    <row r="274" spans="1:20">
      <c r="A274">
        <v>13</v>
      </c>
      <c r="B274" s="21">
        <v>351</v>
      </c>
      <c r="C274" s="22">
        <v>3500</v>
      </c>
      <c r="D274" s="22" t="s">
        <v>31</v>
      </c>
      <c r="E274" s="23" t="s">
        <v>15</v>
      </c>
      <c r="F274" s="24">
        <v>19960812</v>
      </c>
      <c r="G274" s="16">
        <f t="shared" si="16"/>
        <v>35289</v>
      </c>
      <c r="H274" s="2">
        <f t="shared" si="17"/>
        <v>25</v>
      </c>
      <c r="I274" s="17"/>
      <c r="J274" s="25">
        <v>20190401</v>
      </c>
      <c r="K274" s="16">
        <f t="shared" si="18"/>
        <v>43556</v>
      </c>
      <c r="L274" s="2">
        <f t="shared" si="19"/>
        <v>2</v>
      </c>
      <c r="M274" s="25"/>
      <c r="N274" s="26"/>
      <c r="O274" s="27">
        <v>8</v>
      </c>
      <c r="P274" s="70">
        <v>10000</v>
      </c>
      <c r="Q274" s="70" t="s">
        <v>26</v>
      </c>
      <c r="R274" s="22">
        <v>0</v>
      </c>
      <c r="S274" s="22"/>
      <c r="T274" s="22">
        <v>2</v>
      </c>
    </row>
    <row r="275" spans="1:20">
      <c r="A275">
        <v>110</v>
      </c>
      <c r="B275" s="21">
        <v>381</v>
      </c>
      <c r="C275" s="22">
        <v>3855</v>
      </c>
      <c r="D275" s="22" t="s">
        <v>378</v>
      </c>
      <c r="E275" s="23" t="s">
        <v>15</v>
      </c>
      <c r="F275" s="24">
        <v>19720117</v>
      </c>
      <c r="G275" s="16">
        <f t="shared" si="16"/>
        <v>26315</v>
      </c>
      <c r="H275" s="2">
        <f t="shared" si="17"/>
        <v>49</v>
      </c>
      <c r="I275" s="17"/>
      <c r="J275" s="25">
        <v>19950421</v>
      </c>
      <c r="K275" s="16">
        <f t="shared" si="18"/>
        <v>34810</v>
      </c>
      <c r="L275" s="2">
        <f t="shared" si="19"/>
        <v>26</v>
      </c>
      <c r="M275" s="25"/>
      <c r="N275" s="26"/>
      <c r="O275" s="27" t="s">
        <v>295</v>
      </c>
      <c r="P275" s="70">
        <v>43311</v>
      </c>
      <c r="Q275" s="70" t="s">
        <v>377</v>
      </c>
      <c r="R275" s="22">
        <v>0</v>
      </c>
      <c r="S275" s="22"/>
      <c r="T275" s="22">
        <v>2</v>
      </c>
    </row>
    <row r="276" spans="1:20">
      <c r="A276">
        <v>26</v>
      </c>
      <c r="B276" s="21">
        <v>105</v>
      </c>
      <c r="C276" s="22">
        <v>2852</v>
      </c>
      <c r="D276" s="22" t="s">
        <v>284</v>
      </c>
      <c r="E276" s="23" t="s">
        <v>15</v>
      </c>
      <c r="F276" s="24">
        <v>19700516</v>
      </c>
      <c r="G276" s="16">
        <f t="shared" si="16"/>
        <v>25704</v>
      </c>
      <c r="H276" s="2">
        <f t="shared" si="17"/>
        <v>51</v>
      </c>
      <c r="I276" s="17"/>
      <c r="J276" s="25">
        <v>19890322</v>
      </c>
      <c r="K276" s="16">
        <f t="shared" si="18"/>
        <v>32589</v>
      </c>
      <c r="L276" s="2">
        <f t="shared" si="19"/>
        <v>32</v>
      </c>
      <c r="M276" s="25"/>
      <c r="N276" s="26"/>
      <c r="O276" s="27" t="s">
        <v>35</v>
      </c>
      <c r="P276" s="70">
        <v>41111</v>
      </c>
      <c r="Q276" s="70" t="s">
        <v>280</v>
      </c>
      <c r="R276" s="22">
        <v>1</v>
      </c>
      <c r="S276" s="22" t="s">
        <v>679</v>
      </c>
      <c r="T276" s="22">
        <v>2</v>
      </c>
    </row>
    <row r="277" spans="1:20">
      <c r="A277">
        <v>83</v>
      </c>
      <c r="B277" s="21">
        <v>127</v>
      </c>
      <c r="C277" s="22">
        <v>2983</v>
      </c>
      <c r="D277" s="22" t="s">
        <v>149</v>
      </c>
      <c r="E277" s="23" t="s">
        <v>15</v>
      </c>
      <c r="F277" s="24">
        <v>19710614</v>
      </c>
      <c r="G277" s="16">
        <f t="shared" si="16"/>
        <v>26098</v>
      </c>
      <c r="H277" s="2">
        <f t="shared" si="17"/>
        <v>50</v>
      </c>
      <c r="I277" s="17"/>
      <c r="J277" s="25">
        <v>19940322</v>
      </c>
      <c r="K277" s="16">
        <f t="shared" si="18"/>
        <v>34415</v>
      </c>
      <c r="L277" s="2">
        <f t="shared" si="19"/>
        <v>27</v>
      </c>
      <c r="M277" s="25"/>
      <c r="N277" s="26"/>
      <c r="O277" s="27" t="s">
        <v>19</v>
      </c>
      <c r="P277" s="70">
        <v>61000</v>
      </c>
      <c r="Q277" s="70" t="s">
        <v>147</v>
      </c>
      <c r="R277" s="22">
        <v>0</v>
      </c>
      <c r="S277" s="22"/>
      <c r="T277" s="22">
        <v>1</v>
      </c>
    </row>
    <row r="278" spans="1:20">
      <c r="A278">
        <v>141</v>
      </c>
      <c r="B278" s="21">
        <v>26</v>
      </c>
      <c r="C278" s="22">
        <v>1356</v>
      </c>
      <c r="D278" s="22" t="s">
        <v>414</v>
      </c>
      <c r="E278" s="23" t="s">
        <v>15</v>
      </c>
      <c r="F278" s="24">
        <v>19760605</v>
      </c>
      <c r="G278" s="16">
        <f t="shared" si="16"/>
        <v>27916</v>
      </c>
      <c r="H278" s="2">
        <f t="shared" si="17"/>
        <v>45</v>
      </c>
      <c r="I278" s="17"/>
      <c r="J278" s="25">
        <v>20080901</v>
      </c>
      <c r="K278" s="16">
        <f t="shared" si="18"/>
        <v>39692</v>
      </c>
      <c r="L278" s="2">
        <f t="shared" si="19"/>
        <v>13</v>
      </c>
      <c r="M278" s="25"/>
      <c r="N278" s="26"/>
      <c r="O278" s="27" t="s">
        <v>295</v>
      </c>
      <c r="P278" s="70">
        <v>60411</v>
      </c>
      <c r="Q278" s="70" t="s">
        <v>411</v>
      </c>
      <c r="R278" s="22">
        <v>0</v>
      </c>
      <c r="S278" s="155"/>
      <c r="T278" s="22">
        <v>2</v>
      </c>
    </row>
    <row r="279" spans="1:20">
      <c r="A279">
        <v>113</v>
      </c>
      <c r="B279" s="21">
        <v>20</v>
      </c>
      <c r="C279" s="22">
        <v>1344</v>
      </c>
      <c r="D279" s="22" t="s">
        <v>183</v>
      </c>
      <c r="E279" s="23" t="s">
        <v>15</v>
      </c>
      <c r="F279" s="24">
        <v>19790805</v>
      </c>
      <c r="G279" s="16">
        <f t="shared" si="16"/>
        <v>29072</v>
      </c>
      <c r="H279" s="2">
        <f t="shared" si="17"/>
        <v>42</v>
      </c>
      <c r="I279" s="17"/>
      <c r="J279" s="25">
        <v>20080303</v>
      </c>
      <c r="K279" s="16">
        <f t="shared" si="18"/>
        <v>39510</v>
      </c>
      <c r="L279" s="2">
        <f t="shared" si="19"/>
        <v>13</v>
      </c>
      <c r="M279" s="25"/>
      <c r="N279" s="26"/>
      <c r="O279" s="27" t="s">
        <v>16</v>
      </c>
      <c r="P279" s="70">
        <v>80000</v>
      </c>
      <c r="Q279" s="70" t="s">
        <v>172</v>
      </c>
      <c r="R279" s="22">
        <v>0</v>
      </c>
      <c r="S279" s="22"/>
      <c r="T279" s="22">
        <v>1</v>
      </c>
    </row>
    <row r="280" spans="1:20">
      <c r="A280">
        <v>161</v>
      </c>
      <c r="B280" s="21">
        <v>78</v>
      </c>
      <c r="C280" s="22">
        <v>2699</v>
      </c>
      <c r="D280" s="22" t="s">
        <v>439</v>
      </c>
      <c r="E280" s="23" t="s">
        <v>15</v>
      </c>
      <c r="F280" s="24">
        <v>19660204</v>
      </c>
      <c r="G280" s="16">
        <f t="shared" si="16"/>
        <v>24142</v>
      </c>
      <c r="H280" s="2">
        <f t="shared" si="17"/>
        <v>55</v>
      </c>
      <c r="I280" s="17"/>
      <c r="J280" s="25">
        <v>19840329</v>
      </c>
      <c r="K280" s="16">
        <f t="shared" si="18"/>
        <v>30770</v>
      </c>
      <c r="L280" s="2">
        <f t="shared" si="19"/>
        <v>37</v>
      </c>
      <c r="M280" s="25"/>
      <c r="N280" s="26"/>
      <c r="O280" s="27" t="s">
        <v>35</v>
      </c>
      <c r="P280" s="70">
        <v>65011</v>
      </c>
      <c r="Q280" s="70" t="s">
        <v>433</v>
      </c>
      <c r="R280" s="22">
        <v>1</v>
      </c>
      <c r="S280" s="22" t="s">
        <v>679</v>
      </c>
      <c r="T280" s="22">
        <v>2</v>
      </c>
    </row>
    <row r="281" spans="1:20">
      <c r="A281">
        <v>217</v>
      </c>
      <c r="B281" s="21">
        <v>222</v>
      </c>
      <c r="C281" s="22">
        <v>3277</v>
      </c>
      <c r="D281" s="22" t="s">
        <v>500</v>
      </c>
      <c r="E281" s="23" t="s">
        <v>15</v>
      </c>
      <c r="F281" s="24">
        <v>19850524</v>
      </c>
      <c r="G281" s="16">
        <f t="shared" si="16"/>
        <v>31191</v>
      </c>
      <c r="H281" s="2">
        <f t="shared" si="17"/>
        <v>36</v>
      </c>
      <c r="I281" s="17"/>
      <c r="J281" s="25">
        <v>20080321</v>
      </c>
      <c r="K281" s="16">
        <f t="shared" si="18"/>
        <v>39528</v>
      </c>
      <c r="L281" s="2">
        <f t="shared" si="19"/>
        <v>13</v>
      </c>
      <c r="M281" s="25"/>
      <c r="N281" s="26"/>
      <c r="O281" s="27" t="s">
        <v>16</v>
      </c>
      <c r="P281" s="70">
        <v>69011</v>
      </c>
      <c r="Q281" s="70" t="s">
        <v>489</v>
      </c>
      <c r="R281" s="22">
        <v>1</v>
      </c>
      <c r="S281" s="22" t="s">
        <v>679</v>
      </c>
      <c r="T281" s="22">
        <v>2</v>
      </c>
    </row>
    <row r="282" spans="1:20">
      <c r="A282">
        <v>159</v>
      </c>
      <c r="B282" s="21">
        <v>45</v>
      </c>
      <c r="C282" s="22">
        <v>1389</v>
      </c>
      <c r="D282" s="22" t="s">
        <v>437</v>
      </c>
      <c r="E282" s="23" t="s">
        <v>15</v>
      </c>
      <c r="F282" s="24">
        <v>19940123</v>
      </c>
      <c r="G282" s="16">
        <f t="shared" si="16"/>
        <v>34357</v>
      </c>
      <c r="H282" s="2">
        <f t="shared" si="17"/>
        <v>27</v>
      </c>
      <c r="I282" s="17"/>
      <c r="J282" s="25">
        <v>20141001</v>
      </c>
      <c r="K282" s="16">
        <f t="shared" si="18"/>
        <v>41913</v>
      </c>
      <c r="L282" s="2">
        <f t="shared" si="19"/>
        <v>6</v>
      </c>
      <c r="M282" s="25"/>
      <c r="N282" s="26"/>
      <c r="O282" s="27" t="s">
        <v>35</v>
      </c>
      <c r="P282" s="70">
        <v>65011</v>
      </c>
      <c r="Q282" s="70" t="s">
        <v>433</v>
      </c>
      <c r="R282" s="22">
        <v>1</v>
      </c>
      <c r="S282" s="22" t="s">
        <v>679</v>
      </c>
      <c r="T282" s="22">
        <v>1</v>
      </c>
    </row>
    <row r="283" spans="1:20">
      <c r="A283">
        <v>1</v>
      </c>
      <c r="B283" s="21">
        <v>109</v>
      </c>
      <c r="C283" s="22">
        <v>2894</v>
      </c>
      <c r="D283" s="22" t="s">
        <v>257</v>
      </c>
      <c r="E283" s="23" t="s">
        <v>15</v>
      </c>
      <c r="F283" s="24">
        <v>19721215</v>
      </c>
      <c r="G283" s="16">
        <f t="shared" si="16"/>
        <v>26648</v>
      </c>
      <c r="H283" s="2">
        <f t="shared" si="17"/>
        <v>48</v>
      </c>
      <c r="I283" s="17"/>
      <c r="J283" s="25">
        <v>19910325</v>
      </c>
      <c r="K283" s="16">
        <f t="shared" si="18"/>
        <v>33322</v>
      </c>
      <c r="L283" s="2">
        <f t="shared" si="19"/>
        <v>30</v>
      </c>
      <c r="M283" s="25"/>
      <c r="N283" s="26"/>
      <c r="O283" s="27" t="s">
        <v>35</v>
      </c>
      <c r="P283" s="70">
        <v>41011</v>
      </c>
      <c r="Q283" s="70" t="s">
        <v>258</v>
      </c>
      <c r="R283" s="22">
        <v>1</v>
      </c>
      <c r="S283" s="22" t="s">
        <v>679</v>
      </c>
      <c r="T283" s="22">
        <v>1</v>
      </c>
    </row>
    <row r="284" spans="1:20">
      <c r="A284">
        <v>64</v>
      </c>
      <c r="B284" s="21">
        <v>239</v>
      </c>
      <c r="C284" s="22">
        <v>3319</v>
      </c>
      <c r="D284" s="22" t="s">
        <v>126</v>
      </c>
      <c r="E284" s="23" t="s">
        <v>15</v>
      </c>
      <c r="F284" s="24">
        <v>19871212</v>
      </c>
      <c r="G284" s="16">
        <f t="shared" si="16"/>
        <v>32123</v>
      </c>
      <c r="H284" s="2">
        <f t="shared" si="17"/>
        <v>33</v>
      </c>
      <c r="I284" s="17"/>
      <c r="J284" s="25">
        <v>20100321</v>
      </c>
      <c r="K284" s="16">
        <f t="shared" si="18"/>
        <v>40258</v>
      </c>
      <c r="L284" s="2">
        <f t="shared" si="19"/>
        <v>11</v>
      </c>
      <c r="M284" s="25"/>
      <c r="N284" s="26"/>
      <c r="O284" s="27" t="s">
        <v>16</v>
      </c>
      <c r="P284" s="70">
        <v>51000</v>
      </c>
      <c r="Q284" s="70" t="s">
        <v>124</v>
      </c>
      <c r="R284" s="22">
        <v>0</v>
      </c>
      <c r="S284" s="22"/>
      <c r="T284" s="22">
        <v>1</v>
      </c>
    </row>
    <row r="285" spans="1:20">
      <c r="A285">
        <v>97</v>
      </c>
      <c r="B285" s="21">
        <v>101</v>
      </c>
      <c r="C285" s="22">
        <v>2830</v>
      </c>
      <c r="D285" s="22" t="s">
        <v>363</v>
      </c>
      <c r="E285" s="23" t="s">
        <v>15</v>
      </c>
      <c r="F285" s="24">
        <v>19700222</v>
      </c>
      <c r="G285" s="16">
        <f t="shared" si="16"/>
        <v>25621</v>
      </c>
      <c r="H285" s="2">
        <f t="shared" si="17"/>
        <v>51</v>
      </c>
      <c r="I285" s="17"/>
      <c r="J285" s="25">
        <v>19880324</v>
      </c>
      <c r="K285" s="16">
        <f t="shared" si="18"/>
        <v>32226</v>
      </c>
      <c r="L285" s="2">
        <f t="shared" si="19"/>
        <v>33</v>
      </c>
      <c r="M285" s="25"/>
      <c r="N285" s="26"/>
      <c r="O285" s="27" t="s">
        <v>35</v>
      </c>
      <c r="P285" s="70">
        <v>43211</v>
      </c>
      <c r="Q285" s="70" t="s">
        <v>364</v>
      </c>
      <c r="R285" s="22">
        <v>1</v>
      </c>
      <c r="S285" s="22" t="s">
        <v>679</v>
      </c>
      <c r="T285" s="22">
        <v>1</v>
      </c>
    </row>
    <row r="286" spans="1:20">
      <c r="A286">
        <v>44</v>
      </c>
      <c r="B286" s="21">
        <v>403</v>
      </c>
      <c r="C286" s="22">
        <v>3912</v>
      </c>
      <c r="D286" s="22" t="s">
        <v>101</v>
      </c>
      <c r="E286" s="23" t="s">
        <v>15</v>
      </c>
      <c r="F286" s="24">
        <v>19740419</v>
      </c>
      <c r="G286" s="16">
        <f t="shared" si="16"/>
        <v>27138</v>
      </c>
      <c r="H286" s="2">
        <f t="shared" si="17"/>
        <v>47</v>
      </c>
      <c r="I286" s="17"/>
      <c r="J286" s="25">
        <v>20030804</v>
      </c>
      <c r="K286" s="16">
        <f t="shared" si="18"/>
        <v>37837</v>
      </c>
      <c r="L286" s="2">
        <f t="shared" si="19"/>
        <v>18</v>
      </c>
      <c r="M286" s="25"/>
      <c r="N286" s="26"/>
      <c r="O286" s="27" t="s">
        <v>16</v>
      </c>
      <c r="P286" s="70">
        <v>40400</v>
      </c>
      <c r="Q286" s="70" t="s">
        <v>98</v>
      </c>
      <c r="R286" s="22">
        <v>0</v>
      </c>
      <c r="S286" s="22"/>
      <c r="T286" s="22">
        <v>2</v>
      </c>
    </row>
    <row r="287" spans="1:20">
      <c r="A287">
        <v>8</v>
      </c>
      <c r="B287" s="21">
        <v>5</v>
      </c>
      <c r="C287" s="22">
        <v>1291</v>
      </c>
      <c r="D287" s="22" t="s">
        <v>25</v>
      </c>
      <c r="E287" s="23" t="s">
        <v>15</v>
      </c>
      <c r="F287" s="24">
        <v>19671101</v>
      </c>
      <c r="G287" s="16">
        <f t="shared" si="16"/>
        <v>24777</v>
      </c>
      <c r="H287" s="2">
        <f t="shared" si="17"/>
        <v>53</v>
      </c>
      <c r="I287" s="17"/>
      <c r="J287" s="25">
        <v>19940322</v>
      </c>
      <c r="K287" s="16">
        <f t="shared" si="18"/>
        <v>34415</v>
      </c>
      <c r="L287" s="2">
        <f t="shared" si="19"/>
        <v>27</v>
      </c>
      <c r="M287" s="25"/>
      <c r="N287" s="26"/>
      <c r="O287" s="27" t="s">
        <v>16</v>
      </c>
      <c r="P287" s="70">
        <v>10000</v>
      </c>
      <c r="Q287" s="70" t="s">
        <v>26</v>
      </c>
      <c r="R287" s="22">
        <v>0</v>
      </c>
      <c r="S287" s="22"/>
      <c r="T287" s="22">
        <v>1</v>
      </c>
    </row>
    <row r="288" spans="1:20">
      <c r="A288">
        <v>188</v>
      </c>
      <c r="B288" s="21">
        <v>445</v>
      </c>
      <c r="C288" s="22">
        <v>5024</v>
      </c>
      <c r="D288" s="22" t="s">
        <v>468</v>
      </c>
      <c r="E288" s="23" t="s">
        <v>15</v>
      </c>
      <c r="F288" s="24">
        <v>19640628</v>
      </c>
      <c r="G288" s="16">
        <f t="shared" si="16"/>
        <v>23556</v>
      </c>
      <c r="H288" s="2">
        <f t="shared" si="17"/>
        <v>57</v>
      </c>
      <c r="I288" s="17"/>
      <c r="J288" s="25">
        <v>19810325</v>
      </c>
      <c r="K288" s="16">
        <f t="shared" si="18"/>
        <v>29670</v>
      </c>
      <c r="L288" s="2">
        <f t="shared" si="19"/>
        <v>40</v>
      </c>
      <c r="M288" s="25"/>
      <c r="N288" s="26"/>
      <c r="O288" s="27" t="s">
        <v>105</v>
      </c>
      <c r="P288" s="70">
        <v>67011</v>
      </c>
      <c r="Q288" s="70" t="s">
        <v>466</v>
      </c>
      <c r="R288" s="22">
        <v>1</v>
      </c>
      <c r="S288" s="22" t="s">
        <v>679</v>
      </c>
      <c r="T288" s="22">
        <v>2</v>
      </c>
    </row>
    <row r="289" spans="1:20">
      <c r="A289">
        <v>124</v>
      </c>
      <c r="B289" s="21">
        <v>232</v>
      </c>
      <c r="C289" s="22">
        <v>3305</v>
      </c>
      <c r="D289" s="22" t="s">
        <v>194</v>
      </c>
      <c r="E289" s="23" t="s">
        <v>15</v>
      </c>
      <c r="F289" s="24">
        <v>19860130</v>
      </c>
      <c r="G289" s="16">
        <f t="shared" si="16"/>
        <v>31442</v>
      </c>
      <c r="H289" s="2">
        <f t="shared" si="17"/>
        <v>35</v>
      </c>
      <c r="I289" s="17"/>
      <c r="J289" s="25">
        <v>20090323</v>
      </c>
      <c r="K289" s="16">
        <f t="shared" si="18"/>
        <v>39895</v>
      </c>
      <c r="L289" s="2">
        <f t="shared" si="19"/>
        <v>12</v>
      </c>
      <c r="M289" s="25"/>
      <c r="N289" s="26"/>
      <c r="O289" s="27" t="s">
        <v>16</v>
      </c>
      <c r="P289" s="70">
        <v>80000</v>
      </c>
      <c r="Q289" s="70" t="s">
        <v>172</v>
      </c>
      <c r="R289" s="22">
        <v>0</v>
      </c>
      <c r="S289" s="22"/>
      <c r="T289" s="22">
        <v>1</v>
      </c>
    </row>
    <row r="290" spans="1:20">
      <c r="A290">
        <v>9</v>
      </c>
      <c r="B290" s="21">
        <v>6</v>
      </c>
      <c r="C290" s="22">
        <v>1292</v>
      </c>
      <c r="D290" s="22" t="s">
        <v>54</v>
      </c>
      <c r="E290" s="23" t="s">
        <v>15</v>
      </c>
      <c r="F290" s="24">
        <v>19730829</v>
      </c>
      <c r="G290" s="16">
        <f t="shared" si="16"/>
        <v>26905</v>
      </c>
      <c r="H290" s="2">
        <f t="shared" si="17"/>
        <v>48</v>
      </c>
      <c r="I290" s="17"/>
      <c r="J290" s="25">
        <v>19940321</v>
      </c>
      <c r="K290" s="16">
        <f t="shared" si="18"/>
        <v>34414</v>
      </c>
      <c r="L290" s="2">
        <f t="shared" si="19"/>
        <v>27</v>
      </c>
      <c r="M290" s="25"/>
      <c r="N290" s="26"/>
      <c r="O290" s="27" t="s">
        <v>35</v>
      </c>
      <c r="P290" s="70">
        <v>30000</v>
      </c>
      <c r="Q290" s="70" t="s">
        <v>53</v>
      </c>
      <c r="R290" s="22">
        <v>0</v>
      </c>
      <c r="S290" s="22"/>
      <c r="T290" s="22">
        <v>1</v>
      </c>
    </row>
    <row r="291" spans="1:20">
      <c r="A291">
        <v>171</v>
      </c>
      <c r="B291" s="21">
        <v>250</v>
      </c>
      <c r="C291" s="22">
        <v>3340</v>
      </c>
      <c r="D291" s="22" t="s">
        <v>450</v>
      </c>
      <c r="E291" s="23" t="s">
        <v>15</v>
      </c>
      <c r="F291" s="24">
        <v>19920426</v>
      </c>
      <c r="G291" s="16">
        <f t="shared" si="16"/>
        <v>33720</v>
      </c>
      <c r="H291" s="2">
        <f t="shared" si="17"/>
        <v>29</v>
      </c>
      <c r="I291" s="17"/>
      <c r="J291" s="25">
        <v>20110321</v>
      </c>
      <c r="K291" s="16">
        <f t="shared" si="18"/>
        <v>40623</v>
      </c>
      <c r="L291" s="2">
        <f t="shared" si="19"/>
        <v>10</v>
      </c>
      <c r="M291" s="25"/>
      <c r="N291" s="26"/>
      <c r="O291" s="27" t="s">
        <v>35</v>
      </c>
      <c r="P291" s="70">
        <v>66011</v>
      </c>
      <c r="Q291" s="70" t="s">
        <v>449</v>
      </c>
      <c r="R291" s="22">
        <v>1</v>
      </c>
      <c r="S291" s="22" t="s">
        <v>679</v>
      </c>
      <c r="T291" s="22">
        <v>1</v>
      </c>
    </row>
    <row r="292" spans="1:20">
      <c r="A292">
        <v>49</v>
      </c>
      <c r="B292" s="21">
        <v>110</v>
      </c>
      <c r="C292" s="22">
        <v>2908</v>
      </c>
      <c r="D292" s="22" t="s">
        <v>310</v>
      </c>
      <c r="E292" s="23" t="s">
        <v>15</v>
      </c>
      <c r="F292" s="24">
        <v>19730404</v>
      </c>
      <c r="G292" s="16">
        <f t="shared" si="16"/>
        <v>26758</v>
      </c>
      <c r="H292" s="2">
        <f t="shared" si="17"/>
        <v>48</v>
      </c>
      <c r="I292" s="17"/>
      <c r="J292" s="25">
        <v>19920323</v>
      </c>
      <c r="K292" s="16">
        <f t="shared" si="18"/>
        <v>33686</v>
      </c>
      <c r="L292" s="2">
        <f t="shared" si="19"/>
        <v>29</v>
      </c>
      <c r="M292" s="25"/>
      <c r="N292" s="26"/>
      <c r="O292" s="27" t="s">
        <v>35</v>
      </c>
      <c r="P292" s="70">
        <v>42111</v>
      </c>
      <c r="Q292" s="70" t="s">
        <v>305</v>
      </c>
      <c r="R292" s="22">
        <v>1</v>
      </c>
      <c r="S292" s="22" t="s">
        <v>679</v>
      </c>
      <c r="T292" s="22">
        <v>2</v>
      </c>
    </row>
    <row r="293" spans="1:20">
      <c r="A293">
        <v>17</v>
      </c>
      <c r="B293" s="21">
        <v>284</v>
      </c>
      <c r="C293" s="22">
        <v>3399</v>
      </c>
      <c r="D293" s="22" t="s">
        <v>274</v>
      </c>
      <c r="E293" s="23" t="s">
        <v>15</v>
      </c>
      <c r="F293" s="24">
        <v>19950109</v>
      </c>
      <c r="G293" s="16">
        <f t="shared" si="16"/>
        <v>34708</v>
      </c>
      <c r="H293" s="2">
        <f t="shared" si="17"/>
        <v>26</v>
      </c>
      <c r="I293" s="17"/>
      <c r="J293" s="25">
        <v>20130321</v>
      </c>
      <c r="K293" s="16">
        <f t="shared" si="18"/>
        <v>41354</v>
      </c>
      <c r="L293" s="2">
        <f t="shared" si="19"/>
        <v>8</v>
      </c>
      <c r="M293" s="25"/>
      <c r="N293" s="26"/>
      <c r="O293" s="27" t="s">
        <v>35</v>
      </c>
      <c r="P293" s="70">
        <v>41011</v>
      </c>
      <c r="Q293" s="70" t="s">
        <v>258</v>
      </c>
      <c r="R293" s="22">
        <v>1</v>
      </c>
      <c r="S293" s="22" t="s">
        <v>679</v>
      </c>
      <c r="T293" s="22">
        <v>2</v>
      </c>
    </row>
    <row r="294" spans="1:20">
      <c r="A294">
        <v>191</v>
      </c>
      <c r="B294" s="21">
        <v>467</v>
      </c>
      <c r="C294" s="22">
        <v>5256</v>
      </c>
      <c r="D294" s="22" t="s">
        <v>471</v>
      </c>
      <c r="E294" s="23" t="s">
        <v>15</v>
      </c>
      <c r="F294" s="24">
        <v>19780605</v>
      </c>
      <c r="G294" s="16">
        <f t="shared" si="16"/>
        <v>28646</v>
      </c>
      <c r="H294" s="2">
        <f t="shared" si="17"/>
        <v>43</v>
      </c>
      <c r="I294" s="17"/>
      <c r="J294" s="25">
        <v>19940330</v>
      </c>
      <c r="K294" s="16">
        <f t="shared" si="18"/>
        <v>34423</v>
      </c>
      <c r="L294" s="2">
        <f t="shared" si="19"/>
        <v>27</v>
      </c>
      <c r="M294" s="25"/>
      <c r="N294" s="26"/>
      <c r="O294" s="27" t="s">
        <v>295</v>
      </c>
      <c r="P294" s="70">
        <v>67011</v>
      </c>
      <c r="Q294" s="70" t="s">
        <v>466</v>
      </c>
      <c r="R294" s="22">
        <v>1</v>
      </c>
      <c r="S294" s="22" t="s">
        <v>679</v>
      </c>
      <c r="T294" s="22">
        <v>2</v>
      </c>
    </row>
    <row r="295" spans="1:20">
      <c r="A295">
        <v>60</v>
      </c>
      <c r="B295" s="21">
        <v>50</v>
      </c>
      <c r="C295" s="22">
        <v>1395</v>
      </c>
      <c r="D295" s="22" t="s">
        <v>121</v>
      </c>
      <c r="E295" s="23" t="s">
        <v>15</v>
      </c>
      <c r="F295" s="24">
        <v>19651101</v>
      </c>
      <c r="G295" s="16">
        <f t="shared" si="16"/>
        <v>24047</v>
      </c>
      <c r="H295" s="2">
        <f t="shared" si="17"/>
        <v>55</v>
      </c>
      <c r="I295" s="17"/>
      <c r="J295" s="25">
        <v>20170201</v>
      </c>
      <c r="K295" s="16">
        <f t="shared" si="18"/>
        <v>42767</v>
      </c>
      <c r="L295" s="2">
        <f t="shared" si="19"/>
        <v>4</v>
      </c>
      <c r="M295" s="25"/>
      <c r="N295" s="26"/>
      <c r="O295" s="27">
        <v>6</v>
      </c>
      <c r="P295" s="70">
        <v>50000</v>
      </c>
      <c r="Q295" s="70" t="s">
        <v>120</v>
      </c>
      <c r="R295" s="22">
        <v>0</v>
      </c>
      <c r="S295" s="22"/>
      <c r="T295" s="22">
        <v>2</v>
      </c>
    </row>
    <row r="296" spans="1:20">
      <c r="A296">
        <v>186</v>
      </c>
      <c r="B296" s="21">
        <v>449</v>
      </c>
      <c r="C296" s="22">
        <v>5065</v>
      </c>
      <c r="D296" s="22" t="s">
        <v>465</v>
      </c>
      <c r="E296" s="23" t="s">
        <v>15</v>
      </c>
      <c r="F296" s="24">
        <v>19660707</v>
      </c>
      <c r="G296" s="16">
        <f t="shared" si="16"/>
        <v>24295</v>
      </c>
      <c r="H296" s="2">
        <f t="shared" si="17"/>
        <v>55</v>
      </c>
      <c r="I296" s="17"/>
      <c r="J296" s="25">
        <v>19820325</v>
      </c>
      <c r="K296" s="16">
        <f t="shared" si="18"/>
        <v>30035</v>
      </c>
      <c r="L296" s="2">
        <f t="shared" si="19"/>
        <v>39</v>
      </c>
      <c r="M296" s="25"/>
      <c r="N296" s="26"/>
      <c r="O296" s="27" t="s">
        <v>77</v>
      </c>
      <c r="P296" s="70">
        <v>67011</v>
      </c>
      <c r="Q296" s="70" t="s">
        <v>466</v>
      </c>
      <c r="R296" s="22">
        <v>1</v>
      </c>
      <c r="S296" s="22" t="s">
        <v>679</v>
      </c>
      <c r="T296" s="22">
        <v>2</v>
      </c>
    </row>
    <row r="297" spans="1:20">
      <c r="A297">
        <v>79</v>
      </c>
      <c r="B297" s="21">
        <v>438</v>
      </c>
      <c r="C297" s="22">
        <v>3994</v>
      </c>
      <c r="D297" s="22" t="s">
        <v>144</v>
      </c>
      <c r="E297" s="23" t="s">
        <v>15</v>
      </c>
      <c r="F297" s="24">
        <v>19750404</v>
      </c>
      <c r="G297" s="16">
        <f t="shared" si="16"/>
        <v>27488</v>
      </c>
      <c r="H297" s="2">
        <f t="shared" si="17"/>
        <v>46</v>
      </c>
      <c r="I297" s="17"/>
      <c r="J297" s="25">
        <v>20080121</v>
      </c>
      <c r="K297" s="16">
        <f t="shared" si="18"/>
        <v>39468</v>
      </c>
      <c r="L297" s="2">
        <f t="shared" si="19"/>
        <v>13</v>
      </c>
      <c r="M297" s="25"/>
      <c r="N297" s="26"/>
      <c r="O297" s="27" t="s">
        <v>35</v>
      </c>
      <c r="P297" s="70">
        <v>60300</v>
      </c>
      <c r="Q297" s="70" t="s">
        <v>138</v>
      </c>
      <c r="R297" s="22">
        <v>0</v>
      </c>
      <c r="S297" s="155"/>
      <c r="T297" s="22">
        <v>2</v>
      </c>
    </row>
    <row r="298" spans="1:20">
      <c r="A298">
        <v>39</v>
      </c>
      <c r="B298" s="21">
        <v>52</v>
      </c>
      <c r="C298" s="22">
        <v>1398</v>
      </c>
      <c r="D298" s="22" t="s">
        <v>95</v>
      </c>
      <c r="E298" s="23" t="s">
        <v>15</v>
      </c>
      <c r="F298" s="24">
        <v>19880831</v>
      </c>
      <c r="G298" s="16">
        <f t="shared" si="16"/>
        <v>32386</v>
      </c>
      <c r="H298" s="2">
        <f t="shared" si="17"/>
        <v>33</v>
      </c>
      <c r="I298" s="17"/>
      <c r="J298" s="25">
        <v>20190301</v>
      </c>
      <c r="K298" s="16">
        <f t="shared" si="18"/>
        <v>43525</v>
      </c>
      <c r="L298" s="2">
        <f t="shared" si="19"/>
        <v>2</v>
      </c>
      <c r="M298" s="25"/>
      <c r="N298" s="26"/>
      <c r="O298" s="27">
        <v>8</v>
      </c>
      <c r="P298" s="70">
        <v>40000</v>
      </c>
      <c r="Q298" s="70" t="s">
        <v>87</v>
      </c>
      <c r="R298" s="22">
        <v>0</v>
      </c>
      <c r="S298" s="22"/>
      <c r="T298" s="22">
        <v>2</v>
      </c>
    </row>
    <row r="299" spans="1:20">
      <c r="A299">
        <v>140</v>
      </c>
      <c r="B299" s="21">
        <v>300</v>
      </c>
      <c r="C299" s="22">
        <v>3430</v>
      </c>
      <c r="D299" s="22" t="s">
        <v>210</v>
      </c>
      <c r="E299" s="23" t="s">
        <v>15</v>
      </c>
      <c r="F299" s="24">
        <v>19930218</v>
      </c>
      <c r="G299" s="16">
        <f t="shared" si="16"/>
        <v>34018</v>
      </c>
      <c r="H299" s="2">
        <f t="shared" si="17"/>
        <v>28</v>
      </c>
      <c r="I299" s="17"/>
      <c r="J299" s="25">
        <v>20150401</v>
      </c>
      <c r="K299" s="16">
        <f t="shared" si="18"/>
        <v>42095</v>
      </c>
      <c r="L299" s="2">
        <f t="shared" si="19"/>
        <v>6</v>
      </c>
      <c r="M299" s="25"/>
      <c r="N299" s="26"/>
      <c r="O299" s="27" t="s">
        <v>16</v>
      </c>
      <c r="P299" s="70">
        <v>80000</v>
      </c>
      <c r="Q299" s="70" t="s">
        <v>172</v>
      </c>
      <c r="R299" s="22">
        <v>0</v>
      </c>
      <c r="S299" s="22"/>
      <c r="T299" s="22">
        <v>2</v>
      </c>
    </row>
    <row r="300" spans="1:20">
      <c r="A300">
        <v>134</v>
      </c>
      <c r="B300" s="21">
        <v>80</v>
      </c>
      <c r="C300" s="22">
        <v>2717</v>
      </c>
      <c r="D300" s="22" t="s">
        <v>204</v>
      </c>
      <c r="E300" s="23" t="s">
        <v>15</v>
      </c>
      <c r="F300" s="24">
        <v>19611210</v>
      </c>
      <c r="G300" s="16">
        <f t="shared" si="16"/>
        <v>22625</v>
      </c>
      <c r="H300" s="2">
        <f t="shared" si="17"/>
        <v>59</v>
      </c>
      <c r="I300" s="17"/>
      <c r="J300" s="25">
        <v>19850325</v>
      </c>
      <c r="K300" s="16">
        <f t="shared" si="18"/>
        <v>31131</v>
      </c>
      <c r="L300" s="2">
        <f t="shared" si="19"/>
        <v>36</v>
      </c>
      <c r="M300" s="25"/>
      <c r="N300" s="26"/>
      <c r="O300" s="27" t="s">
        <v>16</v>
      </c>
      <c r="P300" s="70">
        <v>80000</v>
      </c>
      <c r="Q300" s="70" t="s">
        <v>172</v>
      </c>
      <c r="R300" s="22">
        <v>0</v>
      </c>
      <c r="S300" s="22"/>
      <c r="T300" s="22">
        <v>2</v>
      </c>
    </row>
    <row r="301" spans="1:20">
      <c r="A301">
        <v>7</v>
      </c>
      <c r="B301" s="21">
        <v>262</v>
      </c>
      <c r="C301" s="22">
        <v>3361</v>
      </c>
      <c r="D301" s="22" t="s">
        <v>23</v>
      </c>
      <c r="E301" s="23" t="s">
        <v>15</v>
      </c>
      <c r="F301" s="24">
        <v>19891109</v>
      </c>
      <c r="G301" s="16">
        <f t="shared" si="16"/>
        <v>32821</v>
      </c>
      <c r="H301" s="2">
        <f t="shared" si="17"/>
        <v>31</v>
      </c>
      <c r="I301" s="17"/>
      <c r="J301" s="25">
        <v>20120321</v>
      </c>
      <c r="K301" s="16">
        <f t="shared" si="18"/>
        <v>40989</v>
      </c>
      <c r="L301" s="2">
        <f t="shared" si="19"/>
        <v>9</v>
      </c>
      <c r="M301" s="25"/>
      <c r="N301" s="26"/>
      <c r="O301" s="27" t="s">
        <v>16</v>
      </c>
      <c r="P301" s="70">
        <v>3000</v>
      </c>
      <c r="Q301" s="70" t="s">
        <v>24</v>
      </c>
      <c r="R301" s="22">
        <v>0</v>
      </c>
      <c r="S301" s="22"/>
      <c r="T301" s="22">
        <v>1</v>
      </c>
    </row>
    <row r="302" spans="1:20">
      <c r="A302">
        <v>105</v>
      </c>
      <c r="B302" s="21">
        <v>252</v>
      </c>
      <c r="C302" s="22">
        <v>3345</v>
      </c>
      <c r="D302" s="22" t="s">
        <v>372</v>
      </c>
      <c r="E302" s="23" t="s">
        <v>15</v>
      </c>
      <c r="F302" s="24">
        <v>19921003</v>
      </c>
      <c r="G302" s="16">
        <f t="shared" si="16"/>
        <v>33880</v>
      </c>
      <c r="H302" s="2">
        <f t="shared" si="17"/>
        <v>28</v>
      </c>
      <c r="I302" s="17"/>
      <c r="J302" s="25">
        <v>20110321</v>
      </c>
      <c r="K302" s="16">
        <f t="shared" si="18"/>
        <v>40623</v>
      </c>
      <c r="L302" s="2">
        <f t="shared" si="19"/>
        <v>10</v>
      </c>
      <c r="M302" s="25"/>
      <c r="N302" s="26"/>
      <c r="O302" s="27" t="s">
        <v>35</v>
      </c>
      <c r="P302" s="70">
        <v>43211</v>
      </c>
      <c r="Q302" s="70" t="s">
        <v>364</v>
      </c>
      <c r="R302" s="22">
        <v>1</v>
      </c>
      <c r="S302" s="22" t="s">
        <v>679</v>
      </c>
      <c r="T302" s="22">
        <v>2</v>
      </c>
    </row>
    <row r="303" spans="1:20">
      <c r="A303">
        <v>155</v>
      </c>
      <c r="B303" s="21">
        <v>203</v>
      </c>
      <c r="C303" s="22">
        <v>3231</v>
      </c>
      <c r="D303" s="22" t="s">
        <v>226</v>
      </c>
      <c r="E303" s="23" t="s">
        <v>15</v>
      </c>
      <c r="F303" s="24">
        <v>19821116</v>
      </c>
      <c r="G303" s="16">
        <f t="shared" si="16"/>
        <v>30271</v>
      </c>
      <c r="H303" s="2">
        <f t="shared" si="17"/>
        <v>38</v>
      </c>
      <c r="I303" s="17"/>
      <c r="J303" s="25">
        <v>20050321</v>
      </c>
      <c r="K303" s="16">
        <f t="shared" si="18"/>
        <v>38432</v>
      </c>
      <c r="L303" s="2">
        <f t="shared" si="19"/>
        <v>16</v>
      </c>
      <c r="M303" s="25"/>
      <c r="N303" s="26"/>
      <c r="O303" s="27" t="s">
        <v>16</v>
      </c>
      <c r="P303" s="70">
        <v>90000</v>
      </c>
      <c r="Q303" s="70" t="s">
        <v>218</v>
      </c>
      <c r="R303" s="22">
        <v>0</v>
      </c>
      <c r="S303" s="22"/>
      <c r="T303" s="22">
        <v>1</v>
      </c>
    </row>
    <row r="304" spans="1:20">
      <c r="A304">
        <v>53</v>
      </c>
      <c r="B304" s="21">
        <v>41</v>
      </c>
      <c r="C304" s="22">
        <v>1385</v>
      </c>
      <c r="D304" s="22" t="s">
        <v>112</v>
      </c>
      <c r="E304" s="23" t="s">
        <v>15</v>
      </c>
      <c r="F304" s="24">
        <v>19760412</v>
      </c>
      <c r="G304" s="16">
        <f t="shared" si="16"/>
        <v>27862</v>
      </c>
      <c r="H304" s="2">
        <f t="shared" si="17"/>
        <v>45</v>
      </c>
      <c r="I304" s="17"/>
      <c r="J304" s="25">
        <v>20130921</v>
      </c>
      <c r="K304" s="16">
        <f t="shared" si="18"/>
        <v>41538</v>
      </c>
      <c r="L304" s="2">
        <f t="shared" si="19"/>
        <v>7</v>
      </c>
      <c r="M304" s="25"/>
      <c r="N304" s="26"/>
      <c r="O304" s="27" t="s">
        <v>35</v>
      </c>
      <c r="P304" s="70">
        <v>41200</v>
      </c>
      <c r="Q304" s="70" t="s">
        <v>103</v>
      </c>
      <c r="R304" s="22">
        <v>0</v>
      </c>
      <c r="S304" s="22"/>
      <c r="T304" s="22">
        <v>2</v>
      </c>
    </row>
    <row r="305" spans="1:20">
      <c r="A305">
        <v>25</v>
      </c>
      <c r="B305" s="21">
        <v>378</v>
      </c>
      <c r="C305" s="22">
        <v>3849</v>
      </c>
      <c r="D305" s="22" t="s">
        <v>76</v>
      </c>
      <c r="E305" s="23" t="s">
        <v>15</v>
      </c>
      <c r="F305" s="24">
        <v>19770824</v>
      </c>
      <c r="G305" s="16">
        <f t="shared" si="16"/>
        <v>28361</v>
      </c>
      <c r="H305" s="2">
        <f t="shared" si="17"/>
        <v>44</v>
      </c>
      <c r="I305" s="17"/>
      <c r="J305" s="25">
        <v>19941101</v>
      </c>
      <c r="K305" s="16">
        <f t="shared" si="18"/>
        <v>34639</v>
      </c>
      <c r="L305" s="2">
        <f t="shared" si="19"/>
        <v>26</v>
      </c>
      <c r="M305" s="25"/>
      <c r="N305" s="26"/>
      <c r="O305" s="27" t="s">
        <v>77</v>
      </c>
      <c r="P305" s="70">
        <v>31000</v>
      </c>
      <c r="Q305" s="70" t="s">
        <v>72</v>
      </c>
      <c r="R305" s="22">
        <v>0</v>
      </c>
      <c r="S305" s="22"/>
      <c r="T305" s="22">
        <v>2</v>
      </c>
    </row>
    <row r="306" spans="1:20">
      <c r="A306">
        <v>178</v>
      </c>
      <c r="B306" s="21">
        <v>25</v>
      </c>
      <c r="C306" s="22">
        <v>1352</v>
      </c>
      <c r="D306" s="22" t="s">
        <v>457</v>
      </c>
      <c r="E306" s="23" t="s">
        <v>15</v>
      </c>
      <c r="F306" s="24">
        <v>19731016</v>
      </c>
      <c r="G306" s="16">
        <f t="shared" si="16"/>
        <v>26953</v>
      </c>
      <c r="H306" s="2">
        <f t="shared" si="17"/>
        <v>47</v>
      </c>
      <c r="I306" s="17"/>
      <c r="J306" s="25">
        <v>20080421</v>
      </c>
      <c r="K306" s="16">
        <f t="shared" si="18"/>
        <v>39559</v>
      </c>
      <c r="L306" s="2">
        <f t="shared" si="19"/>
        <v>13</v>
      </c>
      <c r="M306" s="25"/>
      <c r="N306" s="26"/>
      <c r="O306" s="27" t="s">
        <v>19</v>
      </c>
      <c r="P306" s="70">
        <v>66011</v>
      </c>
      <c r="Q306" s="70" t="s">
        <v>449</v>
      </c>
      <c r="R306" s="22">
        <v>1</v>
      </c>
      <c r="S306" s="22" t="s">
        <v>679</v>
      </c>
      <c r="T306" s="22">
        <v>2</v>
      </c>
    </row>
    <row r="307" spans="1:20">
      <c r="A307">
        <v>213</v>
      </c>
      <c r="B307" s="21">
        <v>464</v>
      </c>
      <c r="C307" s="22">
        <v>5174</v>
      </c>
      <c r="D307" s="22" t="s">
        <v>496</v>
      </c>
      <c r="E307" s="23" t="s">
        <v>15</v>
      </c>
      <c r="F307" s="24">
        <v>19730929</v>
      </c>
      <c r="G307" s="16">
        <f t="shared" si="16"/>
        <v>26936</v>
      </c>
      <c r="H307" s="2">
        <f t="shared" si="17"/>
        <v>47</v>
      </c>
      <c r="I307" s="17"/>
      <c r="J307" s="25">
        <v>19890324</v>
      </c>
      <c r="K307" s="16">
        <f t="shared" si="18"/>
        <v>32591</v>
      </c>
      <c r="L307" s="2">
        <f t="shared" si="19"/>
        <v>32</v>
      </c>
      <c r="M307" s="25"/>
      <c r="N307" s="26"/>
      <c r="O307" s="27" t="s">
        <v>77</v>
      </c>
      <c r="P307" s="70">
        <v>69011</v>
      </c>
      <c r="Q307" s="70" t="s">
        <v>489</v>
      </c>
      <c r="R307" s="22">
        <v>1</v>
      </c>
      <c r="S307" s="22" t="s">
        <v>679</v>
      </c>
      <c r="T307" s="22">
        <v>2</v>
      </c>
    </row>
    <row r="308" spans="1:20">
      <c r="A308">
        <v>203</v>
      </c>
      <c r="B308" s="21">
        <v>77</v>
      </c>
      <c r="C308" s="22">
        <v>2698</v>
      </c>
      <c r="D308" s="22" t="s">
        <v>484</v>
      </c>
      <c r="E308" s="23" t="s">
        <v>15</v>
      </c>
      <c r="F308" s="24">
        <v>19651001</v>
      </c>
      <c r="G308" s="16">
        <f t="shared" si="16"/>
        <v>24016</v>
      </c>
      <c r="H308" s="2">
        <f t="shared" si="17"/>
        <v>55</v>
      </c>
      <c r="I308" s="17"/>
      <c r="J308" s="25">
        <v>19840321</v>
      </c>
      <c r="K308" s="16">
        <f t="shared" si="18"/>
        <v>30762</v>
      </c>
      <c r="L308" s="2">
        <f t="shared" si="19"/>
        <v>37</v>
      </c>
      <c r="M308" s="25"/>
      <c r="N308" s="26"/>
      <c r="O308" s="27" t="s">
        <v>35</v>
      </c>
      <c r="P308" s="70">
        <v>68111</v>
      </c>
      <c r="Q308" s="70" t="s">
        <v>485</v>
      </c>
      <c r="R308" s="22">
        <v>1</v>
      </c>
      <c r="S308" s="22" t="s">
        <v>679</v>
      </c>
      <c r="T308" s="22">
        <v>1</v>
      </c>
    </row>
    <row r="309" spans="1:20">
      <c r="A309">
        <v>48</v>
      </c>
      <c r="B309" s="21">
        <v>108</v>
      </c>
      <c r="C309" s="22">
        <v>2893</v>
      </c>
      <c r="D309" s="22" t="s">
        <v>309</v>
      </c>
      <c r="E309" s="23" t="s">
        <v>15</v>
      </c>
      <c r="F309" s="24">
        <v>19730323</v>
      </c>
      <c r="G309" s="16">
        <f t="shared" si="16"/>
        <v>26746</v>
      </c>
      <c r="H309" s="2">
        <f t="shared" si="17"/>
        <v>48</v>
      </c>
      <c r="I309" s="17"/>
      <c r="J309" s="25">
        <v>19910325</v>
      </c>
      <c r="K309" s="16">
        <f t="shared" si="18"/>
        <v>33322</v>
      </c>
      <c r="L309" s="2">
        <f t="shared" si="19"/>
        <v>30</v>
      </c>
      <c r="M309" s="25"/>
      <c r="N309" s="26"/>
      <c r="O309" s="27" t="s">
        <v>35</v>
      </c>
      <c r="P309" s="70">
        <v>42111</v>
      </c>
      <c r="Q309" s="70" t="s">
        <v>305</v>
      </c>
      <c r="R309" s="22">
        <v>1</v>
      </c>
      <c r="S309" s="22" t="s">
        <v>679</v>
      </c>
      <c r="T309" s="22">
        <v>2</v>
      </c>
    </row>
    <row r="310" spans="1:20">
      <c r="A310">
        <v>145</v>
      </c>
      <c r="B310" s="21">
        <v>353</v>
      </c>
      <c r="C310" s="22">
        <v>3502</v>
      </c>
      <c r="D310" s="22" t="s">
        <v>215</v>
      </c>
      <c r="E310" s="23" t="s">
        <v>15</v>
      </c>
      <c r="F310" s="24">
        <v>19951027</v>
      </c>
      <c r="G310" s="16">
        <f t="shared" si="16"/>
        <v>34999</v>
      </c>
      <c r="H310" s="2">
        <f t="shared" si="17"/>
        <v>25</v>
      </c>
      <c r="I310" s="17"/>
      <c r="J310" s="25">
        <v>20190401</v>
      </c>
      <c r="K310" s="16">
        <f t="shared" si="18"/>
        <v>43556</v>
      </c>
      <c r="L310" s="2">
        <f t="shared" si="19"/>
        <v>2</v>
      </c>
      <c r="M310" s="25"/>
      <c r="N310" s="26"/>
      <c r="O310" s="27">
        <v>8</v>
      </c>
      <c r="P310" s="70">
        <v>80000</v>
      </c>
      <c r="Q310" s="70" t="s">
        <v>172</v>
      </c>
      <c r="R310" s="22">
        <v>0</v>
      </c>
      <c r="S310" s="22"/>
      <c r="T310" s="22">
        <v>2</v>
      </c>
    </row>
    <row r="311" spans="1:20">
      <c r="A311">
        <v>150</v>
      </c>
      <c r="B311" s="21">
        <v>461</v>
      </c>
      <c r="C311" s="22">
        <v>5162</v>
      </c>
      <c r="D311" s="22" t="s">
        <v>425</v>
      </c>
      <c r="E311" s="23" t="s">
        <v>15</v>
      </c>
      <c r="F311" s="24">
        <v>19720119</v>
      </c>
      <c r="G311" s="16">
        <f t="shared" si="16"/>
        <v>26317</v>
      </c>
      <c r="H311" s="2">
        <f t="shared" si="17"/>
        <v>49</v>
      </c>
      <c r="I311" s="17"/>
      <c r="J311" s="25">
        <v>19880325</v>
      </c>
      <c r="K311" s="16">
        <f t="shared" si="18"/>
        <v>32227</v>
      </c>
      <c r="L311" s="2">
        <f t="shared" si="19"/>
        <v>33</v>
      </c>
      <c r="M311" s="25"/>
      <c r="N311" s="26"/>
      <c r="O311" s="27" t="s">
        <v>105</v>
      </c>
      <c r="P311" s="70">
        <v>64111</v>
      </c>
      <c r="Q311" s="70" t="s">
        <v>422</v>
      </c>
      <c r="R311" s="22">
        <v>1</v>
      </c>
      <c r="S311" s="22" t="s">
        <v>679</v>
      </c>
      <c r="T311" s="22">
        <v>2</v>
      </c>
    </row>
    <row r="312" spans="1:20">
      <c r="A312">
        <v>214</v>
      </c>
      <c r="B312" s="21">
        <v>430</v>
      </c>
      <c r="C312" s="22">
        <v>3985</v>
      </c>
      <c r="D312" s="22" t="s">
        <v>497</v>
      </c>
      <c r="E312" s="23" t="s">
        <v>15</v>
      </c>
      <c r="F312" s="24">
        <v>19680208</v>
      </c>
      <c r="G312" s="16">
        <f t="shared" si="16"/>
        <v>24876</v>
      </c>
      <c r="H312" s="2">
        <f t="shared" si="17"/>
        <v>53</v>
      </c>
      <c r="I312" s="17"/>
      <c r="J312" s="25">
        <v>20071021</v>
      </c>
      <c r="K312" s="16">
        <f t="shared" si="18"/>
        <v>39376</v>
      </c>
      <c r="L312" s="2">
        <f t="shared" si="19"/>
        <v>13</v>
      </c>
      <c r="M312" s="25"/>
      <c r="N312" s="26"/>
      <c r="O312" s="27" t="s">
        <v>19</v>
      </c>
      <c r="P312" s="70">
        <v>69011</v>
      </c>
      <c r="Q312" s="70" t="s">
        <v>489</v>
      </c>
      <c r="R312" s="22">
        <v>1</v>
      </c>
      <c r="S312" s="22" t="s">
        <v>679</v>
      </c>
      <c r="T312" s="22">
        <v>2</v>
      </c>
    </row>
    <row r="313" spans="1:20">
      <c r="A313">
        <v>21</v>
      </c>
      <c r="B313" s="21">
        <v>362</v>
      </c>
      <c r="C313" s="22">
        <v>3515</v>
      </c>
      <c r="D313" s="22" t="s">
        <v>68</v>
      </c>
      <c r="E313" s="23" t="s">
        <v>678</v>
      </c>
      <c r="F313" s="24">
        <v>19970618</v>
      </c>
      <c r="G313" s="16">
        <f t="shared" si="16"/>
        <v>35599</v>
      </c>
      <c r="H313" s="2">
        <f t="shared" si="17"/>
        <v>24</v>
      </c>
      <c r="I313" s="17"/>
      <c r="J313" s="25">
        <v>20200401</v>
      </c>
      <c r="K313" s="16">
        <f t="shared" si="18"/>
        <v>43922</v>
      </c>
      <c r="L313" s="2">
        <f t="shared" si="19"/>
        <v>1</v>
      </c>
      <c r="M313" s="25"/>
      <c r="N313" s="26"/>
      <c r="O313" s="27">
        <v>8</v>
      </c>
      <c r="P313" s="70">
        <v>30000</v>
      </c>
      <c r="Q313" s="70" t="s">
        <v>53</v>
      </c>
      <c r="R313" s="22">
        <v>1</v>
      </c>
      <c r="S313" s="22" t="s">
        <v>679</v>
      </c>
      <c r="T313" s="22">
        <v>2</v>
      </c>
    </row>
    <row r="314" spans="1:20">
      <c r="A314">
        <v>102</v>
      </c>
      <c r="B314" s="21">
        <v>411</v>
      </c>
      <c r="C314" s="22">
        <v>3948</v>
      </c>
      <c r="D314" s="22" t="s">
        <v>369</v>
      </c>
      <c r="E314" s="23" t="s">
        <v>15</v>
      </c>
      <c r="F314" s="24">
        <v>19671015</v>
      </c>
      <c r="G314" s="16">
        <f t="shared" si="16"/>
        <v>24760</v>
      </c>
      <c r="H314" s="2">
        <f t="shared" si="17"/>
        <v>53</v>
      </c>
      <c r="I314" s="17"/>
      <c r="J314" s="25">
        <v>20061221</v>
      </c>
      <c r="K314" s="16">
        <f t="shared" si="18"/>
        <v>39072</v>
      </c>
      <c r="L314" s="2">
        <f t="shared" si="19"/>
        <v>14</v>
      </c>
      <c r="M314" s="25"/>
      <c r="N314" s="26"/>
      <c r="O314" s="27" t="s">
        <v>35</v>
      </c>
      <c r="P314" s="70">
        <v>43211</v>
      </c>
      <c r="Q314" s="70" t="s">
        <v>364</v>
      </c>
      <c r="R314" s="22">
        <v>1</v>
      </c>
      <c r="S314" s="22" t="s">
        <v>679</v>
      </c>
      <c r="T314" s="22">
        <v>2</v>
      </c>
    </row>
    <row r="315" spans="1:20">
      <c r="A315">
        <v>153</v>
      </c>
      <c r="B315" s="21">
        <v>298</v>
      </c>
      <c r="C315" s="22">
        <v>3426</v>
      </c>
      <c r="D315" s="22" t="s">
        <v>428</v>
      </c>
      <c r="E315" s="23" t="s">
        <v>15</v>
      </c>
      <c r="F315" s="24">
        <v>19960316</v>
      </c>
      <c r="G315" s="16">
        <f t="shared" si="16"/>
        <v>35140</v>
      </c>
      <c r="H315" s="2">
        <f t="shared" si="17"/>
        <v>25</v>
      </c>
      <c r="I315" s="17"/>
      <c r="J315" s="25">
        <v>20140321</v>
      </c>
      <c r="K315" s="16">
        <f t="shared" si="18"/>
        <v>41719</v>
      </c>
      <c r="L315" s="2">
        <f t="shared" si="19"/>
        <v>7</v>
      </c>
      <c r="M315" s="25"/>
      <c r="N315" s="26"/>
      <c r="O315" s="27" t="s">
        <v>35</v>
      </c>
      <c r="P315" s="70">
        <v>64211</v>
      </c>
      <c r="Q315" s="70" t="s">
        <v>429</v>
      </c>
      <c r="R315" s="22">
        <v>1</v>
      </c>
      <c r="S315" s="22" t="s">
        <v>679</v>
      </c>
      <c r="T315" s="22">
        <v>1</v>
      </c>
    </row>
    <row r="316" spans="1:20">
      <c r="A316">
        <v>69</v>
      </c>
      <c r="B316" s="21">
        <v>374</v>
      </c>
      <c r="C316" s="22">
        <v>3805</v>
      </c>
      <c r="D316" s="22" t="s">
        <v>332</v>
      </c>
      <c r="E316" s="23" t="s">
        <v>15</v>
      </c>
      <c r="F316" s="24">
        <v>19690803</v>
      </c>
      <c r="G316" s="16">
        <f t="shared" si="16"/>
        <v>25418</v>
      </c>
      <c r="H316" s="2">
        <f t="shared" si="17"/>
        <v>52</v>
      </c>
      <c r="I316" s="17"/>
      <c r="J316" s="25">
        <v>19900710</v>
      </c>
      <c r="K316" s="16">
        <f t="shared" si="18"/>
        <v>33064</v>
      </c>
      <c r="L316" s="2">
        <f t="shared" si="19"/>
        <v>31</v>
      </c>
      <c r="M316" s="25"/>
      <c r="N316" s="26"/>
      <c r="O316" s="27" t="s">
        <v>35</v>
      </c>
      <c r="P316" s="70">
        <v>42311</v>
      </c>
      <c r="Q316" s="70" t="s">
        <v>331</v>
      </c>
      <c r="R316" s="22">
        <v>1</v>
      </c>
      <c r="S316" s="22" t="s">
        <v>679</v>
      </c>
      <c r="T316" s="22">
        <v>1</v>
      </c>
    </row>
    <row r="317" spans="1:20">
      <c r="A317">
        <v>105</v>
      </c>
      <c r="B317" s="21">
        <v>7</v>
      </c>
      <c r="C317" s="22">
        <v>1298</v>
      </c>
      <c r="D317" s="22" t="s">
        <v>175</v>
      </c>
      <c r="E317" s="23" t="s">
        <v>15</v>
      </c>
      <c r="F317" s="24">
        <v>19660716</v>
      </c>
      <c r="G317" s="16">
        <f t="shared" si="16"/>
        <v>24304</v>
      </c>
      <c r="H317" s="2">
        <f t="shared" si="17"/>
        <v>55</v>
      </c>
      <c r="I317" s="17"/>
      <c r="J317" s="25">
        <v>19950121</v>
      </c>
      <c r="K317" s="16">
        <f t="shared" si="18"/>
        <v>34720</v>
      </c>
      <c r="L317" s="2">
        <f t="shared" si="19"/>
        <v>26</v>
      </c>
      <c r="M317" s="25"/>
      <c r="N317" s="26"/>
      <c r="O317" s="27" t="s">
        <v>16</v>
      </c>
      <c r="P317" s="70">
        <v>80000</v>
      </c>
      <c r="Q317" s="70" t="s">
        <v>172</v>
      </c>
      <c r="R317" s="22">
        <v>0</v>
      </c>
      <c r="S317" s="22"/>
      <c r="T317" s="22">
        <v>1</v>
      </c>
    </row>
    <row r="318" spans="1:20">
      <c r="A318">
        <v>99</v>
      </c>
      <c r="B318" s="21">
        <v>240</v>
      </c>
      <c r="C318" s="22">
        <v>3320</v>
      </c>
      <c r="D318" s="22" t="s">
        <v>168</v>
      </c>
      <c r="E318" s="23" t="s">
        <v>15</v>
      </c>
      <c r="F318" s="24">
        <v>19870429</v>
      </c>
      <c r="G318" s="16">
        <f t="shared" si="16"/>
        <v>31896</v>
      </c>
      <c r="H318" s="2">
        <f t="shared" si="17"/>
        <v>34</v>
      </c>
      <c r="I318" s="17"/>
      <c r="J318" s="25">
        <v>20100321</v>
      </c>
      <c r="K318" s="16">
        <f t="shared" si="18"/>
        <v>40258</v>
      </c>
      <c r="L318" s="2">
        <f t="shared" si="19"/>
        <v>11</v>
      </c>
      <c r="M318" s="25"/>
      <c r="N318" s="26"/>
      <c r="O318" s="27" t="s">
        <v>16</v>
      </c>
      <c r="P318" s="70">
        <v>63000</v>
      </c>
      <c r="Q318" s="70" t="s">
        <v>165</v>
      </c>
      <c r="R318" s="22">
        <v>0</v>
      </c>
      <c r="S318" s="22"/>
      <c r="T318" s="22">
        <v>1</v>
      </c>
    </row>
    <row r="319" spans="1:20">
      <c r="A319">
        <v>16</v>
      </c>
      <c r="B319" s="21">
        <v>246</v>
      </c>
      <c r="C319" s="22">
        <v>3333</v>
      </c>
      <c r="D319" s="22" t="s">
        <v>63</v>
      </c>
      <c r="E319" s="23" t="s">
        <v>15</v>
      </c>
      <c r="F319" s="24">
        <v>19880527</v>
      </c>
      <c r="G319" s="16">
        <f t="shared" si="16"/>
        <v>32290</v>
      </c>
      <c r="H319" s="2">
        <f t="shared" si="17"/>
        <v>33</v>
      </c>
      <c r="I319" s="17"/>
      <c r="J319" s="25">
        <v>20110321</v>
      </c>
      <c r="K319" s="16">
        <f t="shared" si="18"/>
        <v>40623</v>
      </c>
      <c r="L319" s="2">
        <f t="shared" si="19"/>
        <v>10</v>
      </c>
      <c r="M319" s="25"/>
      <c r="N319" s="26"/>
      <c r="O319" s="27" t="s">
        <v>16</v>
      </c>
      <c r="P319" s="70">
        <v>30000</v>
      </c>
      <c r="Q319" s="70" t="s">
        <v>53</v>
      </c>
      <c r="R319" s="22">
        <v>0</v>
      </c>
      <c r="S319" s="22"/>
      <c r="T319" s="22">
        <v>1</v>
      </c>
    </row>
    <row r="320" spans="1:20">
      <c r="A320">
        <v>99</v>
      </c>
      <c r="B320" s="21">
        <v>27</v>
      </c>
      <c r="C320" s="22">
        <v>1357</v>
      </c>
      <c r="D320" s="22" t="s">
        <v>366</v>
      </c>
      <c r="E320" s="23" t="s">
        <v>15</v>
      </c>
      <c r="F320" s="24">
        <v>19750405</v>
      </c>
      <c r="G320" s="16">
        <f t="shared" si="16"/>
        <v>27489</v>
      </c>
      <c r="H320" s="2">
        <f t="shared" si="17"/>
        <v>46</v>
      </c>
      <c r="I320" s="17"/>
      <c r="J320" s="25">
        <v>20080903</v>
      </c>
      <c r="K320" s="16">
        <f t="shared" si="18"/>
        <v>39694</v>
      </c>
      <c r="L320" s="2">
        <f t="shared" si="19"/>
        <v>12</v>
      </c>
      <c r="M320" s="25"/>
      <c r="N320" s="26"/>
      <c r="O320" s="27" t="s">
        <v>16</v>
      </c>
      <c r="P320" s="70">
        <v>43211</v>
      </c>
      <c r="Q320" s="70" t="s">
        <v>364</v>
      </c>
      <c r="R320" s="22">
        <v>1</v>
      </c>
      <c r="S320" s="22" t="s">
        <v>679</v>
      </c>
      <c r="T320" s="22">
        <v>1</v>
      </c>
    </row>
    <row r="321" spans="1:20">
      <c r="A321">
        <v>30</v>
      </c>
      <c r="B321" s="21">
        <v>366</v>
      </c>
      <c r="C321" s="22">
        <v>3519</v>
      </c>
      <c r="D321" s="22" t="s">
        <v>288</v>
      </c>
      <c r="E321" s="23" t="s">
        <v>678</v>
      </c>
      <c r="F321" s="24">
        <v>20011128</v>
      </c>
      <c r="G321" s="16">
        <f t="shared" si="16"/>
        <v>37223</v>
      </c>
      <c r="H321" s="2">
        <f t="shared" si="17"/>
        <v>19</v>
      </c>
      <c r="I321" s="17"/>
      <c r="J321" s="25">
        <v>20200401</v>
      </c>
      <c r="K321" s="16">
        <f t="shared" si="18"/>
        <v>43922</v>
      </c>
      <c r="L321" s="2">
        <f t="shared" si="19"/>
        <v>1</v>
      </c>
      <c r="M321" s="25"/>
      <c r="N321" s="26"/>
      <c r="O321" s="27">
        <v>6</v>
      </c>
      <c r="P321" s="70">
        <v>41111</v>
      </c>
      <c r="Q321" s="70" t="s">
        <v>280</v>
      </c>
      <c r="R321" s="22">
        <v>1</v>
      </c>
      <c r="S321" s="22" t="s">
        <v>679</v>
      </c>
      <c r="T321" s="22">
        <v>2</v>
      </c>
    </row>
    <row r="322" spans="1:20">
      <c r="A322">
        <v>4</v>
      </c>
      <c r="B322" s="21">
        <v>208</v>
      </c>
      <c r="C322" s="22">
        <v>3248</v>
      </c>
      <c r="D322" s="22" t="s">
        <v>47</v>
      </c>
      <c r="E322" s="23" t="s">
        <v>15</v>
      </c>
      <c r="F322" s="24">
        <v>19840203</v>
      </c>
      <c r="G322" s="16">
        <f t="shared" si="16"/>
        <v>30715</v>
      </c>
      <c r="H322" s="2">
        <f t="shared" si="17"/>
        <v>37</v>
      </c>
      <c r="I322" s="17"/>
      <c r="J322" s="25">
        <v>20060321</v>
      </c>
      <c r="K322" s="16">
        <f t="shared" si="18"/>
        <v>38797</v>
      </c>
      <c r="L322" s="2">
        <f t="shared" si="19"/>
        <v>15</v>
      </c>
      <c r="M322" s="25"/>
      <c r="N322" s="26"/>
      <c r="O322" s="27" t="s">
        <v>16</v>
      </c>
      <c r="P322" s="70">
        <v>20000</v>
      </c>
      <c r="Q322" s="70" t="s">
        <v>45</v>
      </c>
      <c r="R322" s="22">
        <v>0</v>
      </c>
      <c r="S322" s="22"/>
      <c r="T322" s="22">
        <v>1</v>
      </c>
    </row>
    <row r="323" spans="1:20">
      <c r="A323">
        <v>56</v>
      </c>
      <c r="B323" s="21">
        <v>182</v>
      </c>
      <c r="C323" s="22">
        <v>3184</v>
      </c>
      <c r="D323" s="22" t="s">
        <v>317</v>
      </c>
      <c r="E323" s="23" t="s">
        <v>15</v>
      </c>
      <c r="F323" s="24">
        <v>19840311</v>
      </c>
      <c r="G323" s="16">
        <f t="shared" si="16"/>
        <v>30752</v>
      </c>
      <c r="H323" s="2">
        <f t="shared" si="17"/>
        <v>37</v>
      </c>
      <c r="I323" s="17"/>
      <c r="J323" s="25">
        <v>20020322</v>
      </c>
      <c r="K323" s="16">
        <f t="shared" si="18"/>
        <v>37337</v>
      </c>
      <c r="L323" s="2">
        <f t="shared" si="19"/>
        <v>19</v>
      </c>
      <c r="M323" s="25"/>
      <c r="N323" s="26"/>
      <c r="O323" s="27" t="s">
        <v>35</v>
      </c>
      <c r="P323" s="70">
        <v>42211</v>
      </c>
      <c r="Q323" s="70" t="s">
        <v>318</v>
      </c>
      <c r="R323" s="22">
        <v>1</v>
      </c>
      <c r="S323" s="22" t="s">
        <v>679</v>
      </c>
      <c r="T323" s="22">
        <v>1</v>
      </c>
    </row>
    <row r="324" spans="1:20">
      <c r="A324">
        <v>36</v>
      </c>
      <c r="B324" s="21">
        <v>92</v>
      </c>
      <c r="C324" s="22">
        <v>2776</v>
      </c>
      <c r="D324" s="22" t="s">
        <v>296</v>
      </c>
      <c r="E324" s="23" t="s">
        <v>15</v>
      </c>
      <c r="F324" s="24">
        <v>19680217</v>
      </c>
      <c r="G324" s="16">
        <f t="shared" si="16"/>
        <v>24885</v>
      </c>
      <c r="H324" s="2">
        <f t="shared" si="17"/>
        <v>53</v>
      </c>
      <c r="I324" s="17"/>
      <c r="J324" s="25">
        <v>19860326</v>
      </c>
      <c r="K324" s="16">
        <f t="shared" si="18"/>
        <v>31497</v>
      </c>
      <c r="L324" s="2">
        <f t="shared" si="19"/>
        <v>35</v>
      </c>
      <c r="M324" s="25"/>
      <c r="N324" s="26"/>
      <c r="O324" s="27" t="s">
        <v>35</v>
      </c>
      <c r="P324" s="70">
        <v>42011</v>
      </c>
      <c r="Q324" s="70" t="s">
        <v>290</v>
      </c>
      <c r="R324" s="22">
        <v>1</v>
      </c>
      <c r="S324" s="22" t="s">
        <v>679</v>
      </c>
      <c r="T324" s="22">
        <v>2</v>
      </c>
    </row>
    <row r="325" spans="1:20">
      <c r="A325">
        <v>126</v>
      </c>
      <c r="B325" s="21">
        <v>238</v>
      </c>
      <c r="C325" s="22">
        <v>3318</v>
      </c>
      <c r="D325" s="22" t="s">
        <v>196</v>
      </c>
      <c r="E325" s="23" t="s">
        <v>15</v>
      </c>
      <c r="F325" s="24">
        <v>19880213</v>
      </c>
      <c r="G325" s="16">
        <f t="shared" ref="G325:G388" si="20">DATE(INT(F325/10000),INT(MOD(F325,10000)/100),MOD(F325,100))</f>
        <v>32186</v>
      </c>
      <c r="H325" s="2">
        <f t="shared" ref="H325:H388" si="21">DATEDIF(G325,$G$4,"Y")</f>
        <v>33</v>
      </c>
      <c r="I325" s="17"/>
      <c r="J325" s="25">
        <v>20100321</v>
      </c>
      <c r="K325" s="16">
        <f t="shared" ref="K325:K388" si="22">DATE(INT(J325/10000),INT(MOD(J325,10000)/100),MOD(J325,100))</f>
        <v>40258</v>
      </c>
      <c r="L325" s="2">
        <f t="shared" ref="L325:L388" si="23">DATEDIF(K325,$G$4,"Y")</f>
        <v>11</v>
      </c>
      <c r="M325" s="25"/>
      <c r="N325" s="26"/>
      <c r="O325" s="27" t="s">
        <v>16</v>
      </c>
      <c r="P325" s="70">
        <v>80000</v>
      </c>
      <c r="Q325" s="70" t="s">
        <v>172</v>
      </c>
      <c r="R325" s="22">
        <v>0</v>
      </c>
      <c r="S325" s="22"/>
      <c r="T325" s="22">
        <v>1</v>
      </c>
    </row>
    <row r="326" spans="1:20">
      <c r="A326">
        <v>3</v>
      </c>
      <c r="B326" s="21">
        <v>173</v>
      </c>
      <c r="C326" s="22">
        <v>3163</v>
      </c>
      <c r="D326" s="22" t="s">
        <v>260</v>
      </c>
      <c r="E326" s="23" t="s">
        <v>15</v>
      </c>
      <c r="F326" s="24">
        <v>19820302</v>
      </c>
      <c r="G326" s="16">
        <f t="shared" si="20"/>
        <v>30012</v>
      </c>
      <c r="H326" s="2">
        <f t="shared" si="21"/>
        <v>39</v>
      </c>
      <c r="I326" s="17"/>
      <c r="J326" s="25">
        <v>20000321</v>
      </c>
      <c r="K326" s="16">
        <f t="shared" si="22"/>
        <v>36606</v>
      </c>
      <c r="L326" s="2">
        <f t="shared" si="23"/>
        <v>21</v>
      </c>
      <c r="M326" s="25"/>
      <c r="N326" s="26"/>
      <c r="O326" s="27" t="s">
        <v>35</v>
      </c>
      <c r="P326" s="70">
        <v>41011</v>
      </c>
      <c r="Q326" s="70" t="s">
        <v>258</v>
      </c>
      <c r="R326" s="22">
        <v>1</v>
      </c>
      <c r="S326" s="22" t="s">
        <v>679</v>
      </c>
      <c r="T326" s="22">
        <v>1</v>
      </c>
    </row>
    <row r="327" spans="1:20">
      <c r="A327">
        <v>180</v>
      </c>
      <c r="B327" s="21">
        <v>421</v>
      </c>
      <c r="C327" s="22">
        <v>3965</v>
      </c>
      <c r="D327" s="22" t="s">
        <v>459</v>
      </c>
      <c r="E327" s="23" t="s">
        <v>15</v>
      </c>
      <c r="F327" s="24">
        <v>19670404</v>
      </c>
      <c r="G327" s="16">
        <f t="shared" si="20"/>
        <v>24566</v>
      </c>
      <c r="H327" s="2">
        <f t="shared" si="21"/>
        <v>54</v>
      </c>
      <c r="I327" s="17"/>
      <c r="J327" s="25">
        <v>20070716</v>
      </c>
      <c r="K327" s="16">
        <f t="shared" si="22"/>
        <v>39279</v>
      </c>
      <c r="L327" s="2">
        <f t="shared" si="23"/>
        <v>14</v>
      </c>
      <c r="M327" s="25"/>
      <c r="N327" s="26"/>
      <c r="O327" s="27" t="s">
        <v>16</v>
      </c>
      <c r="P327" s="70">
        <v>66011</v>
      </c>
      <c r="Q327" s="70" t="s">
        <v>449</v>
      </c>
      <c r="R327" s="22">
        <v>1</v>
      </c>
      <c r="S327" s="22" t="s">
        <v>679</v>
      </c>
      <c r="T327" s="22">
        <v>2</v>
      </c>
    </row>
    <row r="328" spans="1:20">
      <c r="A328">
        <v>14</v>
      </c>
      <c r="B328" s="21">
        <v>344</v>
      </c>
      <c r="C328" s="22">
        <v>3491</v>
      </c>
      <c r="D328" s="22" t="s">
        <v>32</v>
      </c>
      <c r="E328" s="23" t="s">
        <v>15</v>
      </c>
      <c r="F328" s="24">
        <v>19950424</v>
      </c>
      <c r="G328" s="16">
        <f t="shared" si="20"/>
        <v>34813</v>
      </c>
      <c r="H328" s="2">
        <f t="shared" si="21"/>
        <v>26</v>
      </c>
      <c r="I328" s="17"/>
      <c r="J328" s="25">
        <v>20180402</v>
      </c>
      <c r="K328" s="16">
        <f t="shared" si="22"/>
        <v>43192</v>
      </c>
      <c r="L328" s="2">
        <f t="shared" si="23"/>
        <v>3</v>
      </c>
      <c r="M328" s="25"/>
      <c r="N328" s="26"/>
      <c r="O328" s="27">
        <v>8</v>
      </c>
      <c r="P328" s="70">
        <v>10000</v>
      </c>
      <c r="Q328" s="70" t="s">
        <v>26</v>
      </c>
      <c r="R328" s="22">
        <v>0</v>
      </c>
      <c r="S328" s="22"/>
      <c r="T328" s="22">
        <v>2</v>
      </c>
    </row>
    <row r="329" spans="1:20">
      <c r="A329">
        <v>137</v>
      </c>
      <c r="B329" s="21">
        <v>288</v>
      </c>
      <c r="C329" s="22">
        <v>3409</v>
      </c>
      <c r="D329" s="22" t="s">
        <v>207</v>
      </c>
      <c r="E329" s="23" t="s">
        <v>15</v>
      </c>
      <c r="F329" s="24">
        <v>19890511</v>
      </c>
      <c r="G329" s="16">
        <f t="shared" si="20"/>
        <v>32639</v>
      </c>
      <c r="H329" s="2">
        <f t="shared" si="21"/>
        <v>32</v>
      </c>
      <c r="I329" s="17"/>
      <c r="J329" s="25">
        <v>20140321</v>
      </c>
      <c r="K329" s="16">
        <f t="shared" si="22"/>
        <v>41719</v>
      </c>
      <c r="L329" s="2">
        <f t="shared" si="23"/>
        <v>7</v>
      </c>
      <c r="M329" s="25"/>
      <c r="N329" s="26"/>
      <c r="O329" s="27" t="s">
        <v>60</v>
      </c>
      <c r="P329" s="70">
        <v>80000</v>
      </c>
      <c r="Q329" s="70" t="s">
        <v>172</v>
      </c>
      <c r="R329" s="22">
        <v>0</v>
      </c>
      <c r="S329" s="22"/>
      <c r="T329" s="22">
        <v>2</v>
      </c>
    </row>
    <row r="330" spans="1:20">
      <c r="A330">
        <v>30</v>
      </c>
      <c r="B330" s="21">
        <v>114</v>
      </c>
      <c r="C330" s="22">
        <v>2932</v>
      </c>
      <c r="D330" s="22" t="s">
        <v>83</v>
      </c>
      <c r="E330" s="23" t="s">
        <v>15</v>
      </c>
      <c r="F330" s="24">
        <v>19750211</v>
      </c>
      <c r="G330" s="16">
        <f t="shared" si="20"/>
        <v>27436</v>
      </c>
      <c r="H330" s="2">
        <f t="shared" si="21"/>
        <v>46</v>
      </c>
      <c r="I330" s="17"/>
      <c r="J330" s="25">
        <v>19930322</v>
      </c>
      <c r="K330" s="16">
        <f t="shared" si="22"/>
        <v>34050</v>
      </c>
      <c r="L330" s="2">
        <f t="shared" si="23"/>
        <v>28</v>
      </c>
      <c r="M330" s="25"/>
      <c r="N330" s="26"/>
      <c r="O330" s="27" t="s">
        <v>35</v>
      </c>
      <c r="P330" s="70">
        <v>33000</v>
      </c>
      <c r="Q330" s="70" t="s">
        <v>84</v>
      </c>
      <c r="R330" s="22">
        <v>0</v>
      </c>
      <c r="S330" s="22"/>
      <c r="T330" s="22">
        <v>1</v>
      </c>
    </row>
    <row r="331" spans="1:20">
      <c r="A331">
        <v>88</v>
      </c>
      <c r="B331" s="21">
        <v>136</v>
      </c>
      <c r="C331" s="22">
        <v>3022</v>
      </c>
      <c r="D331" s="22" t="s">
        <v>154</v>
      </c>
      <c r="E331" s="23" t="s">
        <v>15</v>
      </c>
      <c r="F331" s="24">
        <v>19720416</v>
      </c>
      <c r="G331" s="16">
        <f t="shared" si="20"/>
        <v>26405</v>
      </c>
      <c r="H331" s="2">
        <f t="shared" si="21"/>
        <v>49</v>
      </c>
      <c r="I331" s="17"/>
      <c r="J331" s="25">
        <v>19950322</v>
      </c>
      <c r="K331" s="16">
        <f t="shared" si="22"/>
        <v>34780</v>
      </c>
      <c r="L331" s="2">
        <f t="shared" si="23"/>
        <v>26</v>
      </c>
      <c r="M331" s="25"/>
      <c r="N331" s="26"/>
      <c r="O331" s="27" t="s">
        <v>16</v>
      </c>
      <c r="P331" s="70">
        <v>61000</v>
      </c>
      <c r="Q331" s="70" t="s">
        <v>147</v>
      </c>
      <c r="R331" s="22">
        <v>0</v>
      </c>
      <c r="S331" s="22"/>
      <c r="T331" s="22">
        <v>2</v>
      </c>
    </row>
    <row r="332" spans="1:20">
      <c r="A332">
        <v>86</v>
      </c>
      <c r="B332" s="21">
        <v>293</v>
      </c>
      <c r="C332" s="22">
        <v>3414</v>
      </c>
      <c r="D332" s="22" t="s">
        <v>152</v>
      </c>
      <c r="E332" s="23" t="s">
        <v>15</v>
      </c>
      <c r="F332" s="24">
        <v>19910608</v>
      </c>
      <c r="G332" s="16">
        <f t="shared" si="20"/>
        <v>33397</v>
      </c>
      <c r="H332" s="2">
        <f t="shared" si="21"/>
        <v>30</v>
      </c>
      <c r="I332" s="17"/>
      <c r="J332" s="25">
        <v>20140321</v>
      </c>
      <c r="K332" s="16">
        <f t="shared" si="22"/>
        <v>41719</v>
      </c>
      <c r="L332" s="2">
        <f t="shared" si="23"/>
        <v>7</v>
      </c>
      <c r="M332" s="25"/>
      <c r="N332" s="26"/>
      <c r="O332" s="27" t="s">
        <v>16</v>
      </c>
      <c r="P332" s="70">
        <v>61000</v>
      </c>
      <c r="Q332" s="70" t="s">
        <v>147</v>
      </c>
      <c r="R332" s="22">
        <v>0</v>
      </c>
      <c r="S332" s="22"/>
      <c r="T332" s="22">
        <v>1</v>
      </c>
    </row>
    <row r="333" spans="1:20">
      <c r="A333">
        <v>199</v>
      </c>
      <c r="B333" s="21">
        <v>341</v>
      </c>
      <c r="C333" s="22">
        <v>3487</v>
      </c>
      <c r="D333" s="22" t="s">
        <v>480</v>
      </c>
      <c r="E333" s="23" t="s">
        <v>15</v>
      </c>
      <c r="F333" s="24">
        <v>19980430</v>
      </c>
      <c r="G333" s="16">
        <f t="shared" si="20"/>
        <v>35915</v>
      </c>
      <c r="H333" s="2">
        <f t="shared" si="21"/>
        <v>23</v>
      </c>
      <c r="I333" s="17"/>
      <c r="J333" s="25">
        <v>20170403</v>
      </c>
      <c r="K333" s="16">
        <f t="shared" si="22"/>
        <v>42828</v>
      </c>
      <c r="L333" s="2">
        <f t="shared" si="23"/>
        <v>4</v>
      </c>
      <c r="M333" s="25"/>
      <c r="N333" s="26"/>
      <c r="O333" s="27">
        <v>6</v>
      </c>
      <c r="P333" s="70">
        <v>67211</v>
      </c>
      <c r="Q333" s="70" t="s">
        <v>476</v>
      </c>
      <c r="R333" s="22">
        <v>1</v>
      </c>
      <c r="S333" s="22" t="s">
        <v>679</v>
      </c>
      <c r="T333" s="22">
        <v>2</v>
      </c>
    </row>
    <row r="334" spans="1:20">
      <c r="A334">
        <v>79</v>
      </c>
      <c r="B334" s="21">
        <v>462</v>
      </c>
      <c r="C334" s="22">
        <v>5164</v>
      </c>
      <c r="D334" s="22" t="s">
        <v>343</v>
      </c>
      <c r="E334" s="23" t="s">
        <v>15</v>
      </c>
      <c r="F334" s="24">
        <v>19710821</v>
      </c>
      <c r="G334" s="16">
        <f t="shared" si="20"/>
        <v>26166</v>
      </c>
      <c r="H334" s="2">
        <f t="shared" si="21"/>
        <v>50</v>
      </c>
      <c r="I334" s="17"/>
      <c r="J334" s="25">
        <v>19880325</v>
      </c>
      <c r="K334" s="16">
        <f t="shared" si="22"/>
        <v>32227</v>
      </c>
      <c r="L334" s="2">
        <f t="shared" si="23"/>
        <v>33</v>
      </c>
      <c r="M334" s="25"/>
      <c r="N334" s="26"/>
      <c r="O334" s="27" t="s">
        <v>105</v>
      </c>
      <c r="P334" s="70">
        <v>42411</v>
      </c>
      <c r="Q334" s="70" t="s">
        <v>339</v>
      </c>
      <c r="R334" s="22">
        <v>1</v>
      </c>
      <c r="S334" s="22" t="s">
        <v>679</v>
      </c>
      <c r="T334" s="22">
        <v>2</v>
      </c>
    </row>
    <row r="335" spans="1:20">
      <c r="A335">
        <v>166</v>
      </c>
      <c r="B335" s="21">
        <v>432</v>
      </c>
      <c r="C335" s="22">
        <v>3987</v>
      </c>
      <c r="D335" s="22" t="s">
        <v>444</v>
      </c>
      <c r="E335" s="23" t="s">
        <v>15</v>
      </c>
      <c r="F335" s="24">
        <v>19691229</v>
      </c>
      <c r="G335" s="16">
        <f t="shared" si="20"/>
        <v>25566</v>
      </c>
      <c r="H335" s="2">
        <f t="shared" si="21"/>
        <v>51</v>
      </c>
      <c r="I335" s="17"/>
      <c r="J335" s="25">
        <v>20071021</v>
      </c>
      <c r="K335" s="16">
        <f t="shared" si="22"/>
        <v>39376</v>
      </c>
      <c r="L335" s="2">
        <f t="shared" si="23"/>
        <v>13</v>
      </c>
      <c r="M335" s="25"/>
      <c r="N335" s="26"/>
      <c r="O335" s="27" t="s">
        <v>35</v>
      </c>
      <c r="P335" s="70">
        <v>65011</v>
      </c>
      <c r="Q335" s="70" t="s">
        <v>433</v>
      </c>
      <c r="R335" s="22">
        <v>1</v>
      </c>
      <c r="S335" s="22" t="s">
        <v>679</v>
      </c>
      <c r="T335" s="22">
        <v>2</v>
      </c>
    </row>
    <row r="336" spans="1:20">
      <c r="A336">
        <v>154</v>
      </c>
      <c r="B336" s="21">
        <v>33</v>
      </c>
      <c r="C336" s="22">
        <v>1369</v>
      </c>
      <c r="D336" s="22" t="s">
        <v>430</v>
      </c>
      <c r="E336" s="23" t="s">
        <v>15</v>
      </c>
      <c r="F336" s="24">
        <v>19800728</v>
      </c>
      <c r="G336" s="16">
        <f t="shared" si="20"/>
        <v>29430</v>
      </c>
      <c r="H336" s="2">
        <f t="shared" si="21"/>
        <v>41</v>
      </c>
      <c r="I336" s="17"/>
      <c r="J336" s="25">
        <v>20110121</v>
      </c>
      <c r="K336" s="16">
        <f t="shared" si="22"/>
        <v>40564</v>
      </c>
      <c r="L336" s="2">
        <f t="shared" si="23"/>
        <v>10</v>
      </c>
      <c r="M336" s="25"/>
      <c r="N336" s="26"/>
      <c r="O336" s="27" t="s">
        <v>35</v>
      </c>
      <c r="P336" s="70">
        <v>64311</v>
      </c>
      <c r="Q336" s="70" t="s">
        <v>431</v>
      </c>
      <c r="R336" s="22">
        <v>1</v>
      </c>
      <c r="S336" s="22" t="s">
        <v>679</v>
      </c>
      <c r="T336" s="22">
        <v>2</v>
      </c>
    </row>
    <row r="337" spans="1:20">
      <c r="A337">
        <v>6</v>
      </c>
      <c r="B337" s="21">
        <v>128</v>
      </c>
      <c r="C337" s="22">
        <v>2984</v>
      </c>
      <c r="D337" s="22" t="s">
        <v>50</v>
      </c>
      <c r="E337" s="23" t="s">
        <v>15</v>
      </c>
      <c r="F337" s="24">
        <v>19740128</v>
      </c>
      <c r="G337" s="16">
        <f t="shared" si="20"/>
        <v>27057</v>
      </c>
      <c r="H337" s="2">
        <f t="shared" si="21"/>
        <v>47</v>
      </c>
      <c r="I337" s="17"/>
      <c r="J337" s="25">
        <v>19940322</v>
      </c>
      <c r="K337" s="16">
        <f t="shared" si="22"/>
        <v>34415</v>
      </c>
      <c r="L337" s="2">
        <f t="shared" si="23"/>
        <v>27</v>
      </c>
      <c r="M337" s="25"/>
      <c r="N337" s="26"/>
      <c r="O337" s="27" t="s">
        <v>19</v>
      </c>
      <c r="P337" s="70">
        <v>22000</v>
      </c>
      <c r="Q337" s="70" t="s">
        <v>49</v>
      </c>
      <c r="R337" s="22">
        <v>0</v>
      </c>
      <c r="S337" s="22"/>
      <c r="T337" s="22">
        <v>1</v>
      </c>
    </row>
    <row r="338" spans="1:20">
      <c r="A338">
        <v>37</v>
      </c>
      <c r="B338" s="21">
        <v>107</v>
      </c>
      <c r="C338" s="22">
        <v>2892</v>
      </c>
      <c r="D338" s="22" t="s">
        <v>93</v>
      </c>
      <c r="E338" s="23" t="s">
        <v>15</v>
      </c>
      <c r="F338" s="24">
        <v>19720804</v>
      </c>
      <c r="G338" s="16">
        <f t="shared" si="20"/>
        <v>26515</v>
      </c>
      <c r="H338" s="2">
        <f t="shared" si="21"/>
        <v>49</v>
      </c>
      <c r="I338" s="17"/>
      <c r="J338" s="25">
        <v>19910325</v>
      </c>
      <c r="K338" s="16">
        <f t="shared" si="22"/>
        <v>33322</v>
      </c>
      <c r="L338" s="2">
        <f t="shared" si="23"/>
        <v>30</v>
      </c>
      <c r="M338" s="25"/>
      <c r="N338" s="26"/>
      <c r="O338" s="27" t="s">
        <v>35</v>
      </c>
      <c r="P338" s="70">
        <v>40000</v>
      </c>
      <c r="Q338" s="70" t="s">
        <v>87</v>
      </c>
      <c r="R338" s="22">
        <v>0</v>
      </c>
      <c r="S338" s="22"/>
      <c r="T338" s="22">
        <v>1</v>
      </c>
    </row>
    <row r="339" spans="1:20">
      <c r="A339">
        <v>206</v>
      </c>
      <c r="B339" s="21">
        <v>144</v>
      </c>
      <c r="C339" s="22">
        <v>3047</v>
      </c>
      <c r="D339" s="22" t="s">
        <v>488</v>
      </c>
      <c r="E339" s="23" t="s">
        <v>15</v>
      </c>
      <c r="F339" s="24">
        <v>19761208</v>
      </c>
      <c r="G339" s="16">
        <f t="shared" si="20"/>
        <v>28102</v>
      </c>
      <c r="H339" s="2">
        <f t="shared" si="21"/>
        <v>44</v>
      </c>
      <c r="I339" s="17"/>
      <c r="J339" s="25">
        <v>19950322</v>
      </c>
      <c r="K339" s="16">
        <f t="shared" si="22"/>
        <v>34780</v>
      </c>
      <c r="L339" s="2">
        <f t="shared" si="23"/>
        <v>26</v>
      </c>
      <c r="M339" s="25"/>
      <c r="N339" s="26"/>
      <c r="O339" s="27" t="s">
        <v>35</v>
      </c>
      <c r="P339" s="70">
        <v>69011</v>
      </c>
      <c r="Q339" s="70" t="s">
        <v>489</v>
      </c>
      <c r="R339" s="22">
        <v>1</v>
      </c>
      <c r="S339" s="22" t="s">
        <v>679</v>
      </c>
      <c r="T339" s="22">
        <v>1</v>
      </c>
    </row>
    <row r="340" spans="1:20">
      <c r="A340">
        <v>103</v>
      </c>
      <c r="B340" s="21">
        <v>148</v>
      </c>
      <c r="C340" s="22">
        <v>3055</v>
      </c>
      <c r="D340" s="22" t="s">
        <v>370</v>
      </c>
      <c r="E340" s="23" t="s">
        <v>15</v>
      </c>
      <c r="F340" s="24">
        <v>19761225</v>
      </c>
      <c r="G340" s="16">
        <f t="shared" si="20"/>
        <v>28119</v>
      </c>
      <c r="H340" s="2">
        <f t="shared" si="21"/>
        <v>44</v>
      </c>
      <c r="I340" s="17"/>
      <c r="J340" s="25">
        <v>19950322</v>
      </c>
      <c r="K340" s="16">
        <f t="shared" si="22"/>
        <v>34780</v>
      </c>
      <c r="L340" s="2">
        <f t="shared" si="23"/>
        <v>26</v>
      </c>
      <c r="M340" s="25"/>
      <c r="N340" s="26"/>
      <c r="O340" s="27" t="s">
        <v>35</v>
      </c>
      <c r="P340" s="70">
        <v>43211</v>
      </c>
      <c r="Q340" s="70" t="s">
        <v>364</v>
      </c>
      <c r="R340" s="22">
        <v>1</v>
      </c>
      <c r="S340" s="22" t="s">
        <v>679</v>
      </c>
      <c r="T340" s="22">
        <v>2</v>
      </c>
    </row>
    <row r="341" spans="1:20">
      <c r="A341">
        <v>80</v>
      </c>
      <c r="B341" s="21">
        <v>465</v>
      </c>
      <c r="C341" s="22">
        <v>5175</v>
      </c>
      <c r="D341" s="22" t="s">
        <v>344</v>
      </c>
      <c r="E341" s="23" t="s">
        <v>15</v>
      </c>
      <c r="F341" s="24">
        <v>19721126</v>
      </c>
      <c r="G341" s="16">
        <f t="shared" si="20"/>
        <v>26629</v>
      </c>
      <c r="H341" s="2">
        <f t="shared" si="21"/>
        <v>48</v>
      </c>
      <c r="I341" s="17"/>
      <c r="J341" s="25">
        <v>19900322</v>
      </c>
      <c r="K341" s="16">
        <f t="shared" si="22"/>
        <v>32954</v>
      </c>
      <c r="L341" s="2">
        <f t="shared" si="23"/>
        <v>31</v>
      </c>
      <c r="M341" s="25"/>
      <c r="N341" s="26"/>
      <c r="O341" s="27" t="s">
        <v>345</v>
      </c>
      <c r="P341" s="70">
        <v>42411</v>
      </c>
      <c r="Q341" s="70" t="s">
        <v>339</v>
      </c>
      <c r="R341" s="22">
        <v>1</v>
      </c>
      <c r="S341" s="22" t="s">
        <v>679</v>
      </c>
      <c r="T341" s="22">
        <v>2</v>
      </c>
    </row>
    <row r="342" spans="1:20">
      <c r="A342">
        <v>220</v>
      </c>
      <c r="B342" s="21">
        <v>349</v>
      </c>
      <c r="C342" s="22">
        <v>3497</v>
      </c>
      <c r="D342" s="22" t="s">
        <v>503</v>
      </c>
      <c r="E342" s="23" t="s">
        <v>15</v>
      </c>
      <c r="F342" s="24">
        <v>19991112</v>
      </c>
      <c r="G342" s="16">
        <f t="shared" si="20"/>
        <v>36476</v>
      </c>
      <c r="H342" s="2">
        <f t="shared" si="21"/>
        <v>21</v>
      </c>
      <c r="I342" s="17"/>
      <c r="J342" s="25">
        <v>20180402</v>
      </c>
      <c r="K342" s="16">
        <f t="shared" si="22"/>
        <v>43192</v>
      </c>
      <c r="L342" s="2">
        <f t="shared" si="23"/>
        <v>3</v>
      </c>
      <c r="M342" s="25"/>
      <c r="N342" s="26"/>
      <c r="O342" s="27">
        <v>6</v>
      </c>
      <c r="P342" s="70">
        <v>69011</v>
      </c>
      <c r="Q342" s="70" t="s">
        <v>489</v>
      </c>
      <c r="R342" s="22">
        <v>1</v>
      </c>
      <c r="S342" s="22" t="s">
        <v>679</v>
      </c>
      <c r="T342" s="22">
        <v>2</v>
      </c>
    </row>
    <row r="343" spans="1:20">
      <c r="A343">
        <v>146</v>
      </c>
      <c r="B343" s="21">
        <v>361</v>
      </c>
      <c r="C343" s="22">
        <v>3514</v>
      </c>
      <c r="D343" s="22" t="s">
        <v>420</v>
      </c>
      <c r="E343" s="23" t="s">
        <v>15</v>
      </c>
      <c r="F343" s="24">
        <v>20000829</v>
      </c>
      <c r="G343" s="16">
        <f t="shared" si="20"/>
        <v>36767</v>
      </c>
      <c r="H343" s="2">
        <f t="shared" si="21"/>
        <v>21</v>
      </c>
      <c r="I343" s="17"/>
      <c r="J343" s="25">
        <v>20190401</v>
      </c>
      <c r="K343" s="16">
        <f t="shared" si="22"/>
        <v>43556</v>
      </c>
      <c r="L343" s="2">
        <f t="shared" si="23"/>
        <v>2</v>
      </c>
      <c r="M343" s="25"/>
      <c r="N343" s="26"/>
      <c r="O343" s="27">
        <v>6</v>
      </c>
      <c r="P343" s="70">
        <v>64011</v>
      </c>
      <c r="Q343" s="70" t="s">
        <v>416</v>
      </c>
      <c r="R343" s="22">
        <v>1</v>
      </c>
      <c r="S343" s="22" t="s">
        <v>679</v>
      </c>
      <c r="T343" s="22">
        <v>2</v>
      </c>
    </row>
    <row r="344" spans="1:20">
      <c r="A344">
        <v>47</v>
      </c>
      <c r="B344" s="21"/>
      <c r="C344" s="32">
        <v>1413</v>
      </c>
      <c r="D344" s="22" t="s">
        <v>578</v>
      </c>
      <c r="E344" s="33" t="s">
        <v>678</v>
      </c>
      <c r="F344" s="34">
        <v>19780308</v>
      </c>
      <c r="G344" s="16">
        <f t="shared" si="20"/>
        <v>28557</v>
      </c>
      <c r="H344" s="2">
        <f t="shared" si="21"/>
        <v>43</v>
      </c>
      <c r="J344" s="30">
        <v>20210901</v>
      </c>
      <c r="K344" s="16">
        <f t="shared" si="22"/>
        <v>44440</v>
      </c>
      <c r="L344" s="2">
        <f t="shared" si="23"/>
        <v>0</v>
      </c>
      <c r="M344" s="30"/>
      <c r="N344" s="35"/>
      <c r="O344" s="36"/>
      <c r="P344" s="70">
        <v>61200</v>
      </c>
      <c r="Q344" s="70" t="s">
        <v>158</v>
      </c>
      <c r="R344" s="22"/>
      <c r="S344" s="22"/>
      <c r="T344" s="22"/>
    </row>
    <row r="345" spans="1:20">
      <c r="A345">
        <v>197</v>
      </c>
      <c r="B345" s="21">
        <v>416</v>
      </c>
      <c r="C345" s="22">
        <v>3954</v>
      </c>
      <c r="D345" s="22" t="s">
        <v>478</v>
      </c>
      <c r="E345" s="23" t="s">
        <v>15</v>
      </c>
      <c r="F345" s="24">
        <v>19840610</v>
      </c>
      <c r="G345" s="16">
        <f t="shared" si="20"/>
        <v>30843</v>
      </c>
      <c r="H345" s="2">
        <f t="shared" si="21"/>
        <v>37</v>
      </c>
      <c r="I345" s="17"/>
      <c r="J345" s="25">
        <v>20070613</v>
      </c>
      <c r="K345" s="16">
        <f t="shared" si="22"/>
        <v>39246</v>
      </c>
      <c r="L345" s="2">
        <f t="shared" si="23"/>
        <v>14</v>
      </c>
      <c r="M345" s="25"/>
      <c r="N345" s="26"/>
      <c r="O345" s="27" t="s">
        <v>35</v>
      </c>
      <c r="P345" s="70">
        <v>67211</v>
      </c>
      <c r="Q345" s="70" t="s">
        <v>476</v>
      </c>
      <c r="R345" s="22">
        <v>1</v>
      </c>
      <c r="S345" s="22" t="s">
        <v>679</v>
      </c>
      <c r="T345" s="22">
        <v>1</v>
      </c>
    </row>
    <row r="346" spans="1:20">
      <c r="A346">
        <v>68</v>
      </c>
      <c r="B346" s="21">
        <v>1</v>
      </c>
      <c r="C346" s="22">
        <v>1242</v>
      </c>
      <c r="D346" s="22" t="s">
        <v>130</v>
      </c>
      <c r="E346" s="23" t="s">
        <v>15</v>
      </c>
      <c r="F346" s="24">
        <v>19620113</v>
      </c>
      <c r="G346" s="16">
        <f t="shared" si="20"/>
        <v>22659</v>
      </c>
      <c r="H346" s="2">
        <f t="shared" si="21"/>
        <v>59</v>
      </c>
      <c r="I346" s="17"/>
      <c r="J346" s="25">
        <v>19881221</v>
      </c>
      <c r="K346" s="16">
        <f t="shared" si="22"/>
        <v>32498</v>
      </c>
      <c r="L346" s="2">
        <f t="shared" si="23"/>
        <v>32</v>
      </c>
      <c r="M346" s="25"/>
      <c r="N346" s="26"/>
      <c r="O346" s="27" t="s">
        <v>16</v>
      </c>
      <c r="P346" s="70">
        <v>60000</v>
      </c>
      <c r="Q346" s="70" t="s">
        <v>131</v>
      </c>
      <c r="R346" s="22">
        <v>0</v>
      </c>
      <c r="S346" s="22"/>
      <c r="T346" s="22">
        <v>1</v>
      </c>
    </row>
    <row r="347" spans="1:20">
      <c r="A347">
        <v>35</v>
      </c>
      <c r="B347" s="21">
        <v>446</v>
      </c>
      <c r="C347" s="22">
        <v>5050</v>
      </c>
      <c r="D347" s="22" t="s">
        <v>294</v>
      </c>
      <c r="E347" s="23" t="s">
        <v>15</v>
      </c>
      <c r="F347" s="24">
        <v>19660726</v>
      </c>
      <c r="G347" s="16">
        <f t="shared" si="20"/>
        <v>24314</v>
      </c>
      <c r="H347" s="2">
        <f t="shared" si="21"/>
        <v>55</v>
      </c>
      <c r="I347" s="17"/>
      <c r="J347" s="25">
        <v>19820325</v>
      </c>
      <c r="K347" s="16">
        <f t="shared" si="22"/>
        <v>30035</v>
      </c>
      <c r="L347" s="2">
        <f t="shared" si="23"/>
        <v>39</v>
      </c>
      <c r="M347" s="25"/>
      <c r="N347" s="26"/>
      <c r="O347" s="27" t="s">
        <v>295</v>
      </c>
      <c r="P347" s="70">
        <v>42011</v>
      </c>
      <c r="Q347" s="70" t="s">
        <v>290</v>
      </c>
      <c r="R347" s="22">
        <v>1</v>
      </c>
      <c r="S347" s="22" t="s">
        <v>679</v>
      </c>
      <c r="T347" s="22">
        <v>2</v>
      </c>
    </row>
    <row r="348" spans="1:20">
      <c r="A348">
        <v>69</v>
      </c>
      <c r="B348" s="21">
        <v>14</v>
      </c>
      <c r="C348" s="22">
        <v>1338</v>
      </c>
      <c r="D348" s="22" t="s">
        <v>132</v>
      </c>
      <c r="E348" s="23" t="s">
        <v>15</v>
      </c>
      <c r="F348" s="24">
        <v>19700525</v>
      </c>
      <c r="G348" s="16">
        <f t="shared" si="20"/>
        <v>25713</v>
      </c>
      <c r="H348" s="2">
        <f t="shared" si="21"/>
        <v>51</v>
      </c>
      <c r="I348" s="17"/>
      <c r="J348" s="25">
        <v>20050901</v>
      </c>
      <c r="K348" s="16">
        <f t="shared" si="22"/>
        <v>38596</v>
      </c>
      <c r="L348" s="2">
        <f t="shared" si="23"/>
        <v>16</v>
      </c>
      <c r="M348" s="25"/>
      <c r="N348" s="26"/>
      <c r="O348" s="27" t="s">
        <v>35</v>
      </c>
      <c r="P348" s="70">
        <v>60000</v>
      </c>
      <c r="Q348" s="70" t="s">
        <v>131</v>
      </c>
      <c r="R348" s="22">
        <v>0</v>
      </c>
      <c r="S348" s="22"/>
      <c r="T348" s="22">
        <v>1</v>
      </c>
    </row>
    <row r="349" spans="1:20">
      <c r="A349">
        <v>121</v>
      </c>
      <c r="B349" s="21">
        <v>207</v>
      </c>
      <c r="C349" s="22">
        <v>3246</v>
      </c>
      <c r="D349" s="22" t="s">
        <v>191</v>
      </c>
      <c r="E349" s="23" t="s">
        <v>15</v>
      </c>
      <c r="F349" s="24">
        <v>19830430</v>
      </c>
      <c r="G349" s="16">
        <f t="shared" si="20"/>
        <v>30436</v>
      </c>
      <c r="H349" s="2">
        <f t="shared" si="21"/>
        <v>38</v>
      </c>
      <c r="I349" s="17"/>
      <c r="J349" s="25">
        <v>20060321</v>
      </c>
      <c r="K349" s="16">
        <f t="shared" si="22"/>
        <v>38797</v>
      </c>
      <c r="L349" s="2">
        <f t="shared" si="23"/>
        <v>15</v>
      </c>
      <c r="M349" s="25"/>
      <c r="N349" s="26"/>
      <c r="O349" s="27" t="s">
        <v>16</v>
      </c>
      <c r="P349" s="70">
        <v>61000</v>
      </c>
      <c r="Q349" s="70" t="s">
        <v>147</v>
      </c>
      <c r="R349" s="22">
        <v>0</v>
      </c>
      <c r="S349" s="22"/>
      <c r="T349" s="22">
        <v>1</v>
      </c>
    </row>
    <row r="350" spans="1:20">
      <c r="A350">
        <v>4</v>
      </c>
      <c r="B350" s="21">
        <v>198</v>
      </c>
      <c r="C350" s="22">
        <v>3218</v>
      </c>
      <c r="D350" s="22" t="s">
        <v>261</v>
      </c>
      <c r="E350" s="23" t="s">
        <v>15</v>
      </c>
      <c r="F350" s="24">
        <v>19850804</v>
      </c>
      <c r="G350" s="16">
        <f t="shared" si="20"/>
        <v>31263</v>
      </c>
      <c r="H350" s="2">
        <f t="shared" si="21"/>
        <v>36</v>
      </c>
      <c r="I350" s="17"/>
      <c r="J350" s="25">
        <v>20040322</v>
      </c>
      <c r="K350" s="16">
        <f t="shared" si="22"/>
        <v>38068</v>
      </c>
      <c r="L350" s="2">
        <f t="shared" si="23"/>
        <v>17</v>
      </c>
      <c r="M350" s="25"/>
      <c r="N350" s="26"/>
      <c r="O350" s="27" t="s">
        <v>35</v>
      </c>
      <c r="P350" s="70">
        <v>41011</v>
      </c>
      <c r="Q350" s="70" t="s">
        <v>258</v>
      </c>
      <c r="R350" s="22">
        <v>1</v>
      </c>
      <c r="S350" s="22" t="s">
        <v>679</v>
      </c>
      <c r="T350" s="22">
        <v>1</v>
      </c>
    </row>
    <row r="351" spans="1:20">
      <c r="A351">
        <v>174</v>
      </c>
      <c r="B351" s="21">
        <v>83</v>
      </c>
      <c r="C351" s="22">
        <v>2722</v>
      </c>
      <c r="D351" s="22" t="s">
        <v>453</v>
      </c>
      <c r="E351" s="23" t="s">
        <v>15</v>
      </c>
      <c r="F351" s="24">
        <v>19640503</v>
      </c>
      <c r="G351" s="16">
        <f t="shared" si="20"/>
        <v>23500</v>
      </c>
      <c r="H351" s="2">
        <f t="shared" si="21"/>
        <v>57</v>
      </c>
      <c r="I351" s="17"/>
      <c r="J351" s="25">
        <v>19850325</v>
      </c>
      <c r="K351" s="16">
        <f t="shared" si="22"/>
        <v>31131</v>
      </c>
      <c r="L351" s="2">
        <f t="shared" si="23"/>
        <v>36</v>
      </c>
      <c r="M351" s="25"/>
      <c r="N351" s="26"/>
      <c r="O351" s="27" t="s">
        <v>19</v>
      </c>
      <c r="P351" s="70">
        <v>66011</v>
      </c>
      <c r="Q351" s="70" t="s">
        <v>449</v>
      </c>
      <c r="R351" s="22">
        <v>1</v>
      </c>
      <c r="S351" s="22" t="s">
        <v>679</v>
      </c>
      <c r="T351" s="22">
        <v>2</v>
      </c>
    </row>
    <row r="352" spans="1:20">
      <c r="A352">
        <v>133</v>
      </c>
      <c r="B352" s="21">
        <v>279</v>
      </c>
      <c r="C352" s="22">
        <v>3391</v>
      </c>
      <c r="D352" s="22" t="s">
        <v>203</v>
      </c>
      <c r="E352" s="23" t="s">
        <v>15</v>
      </c>
      <c r="F352" s="24">
        <v>19900828</v>
      </c>
      <c r="G352" s="16">
        <f t="shared" si="20"/>
        <v>33113</v>
      </c>
      <c r="H352" s="2">
        <f t="shared" si="21"/>
        <v>31</v>
      </c>
      <c r="I352" s="17"/>
      <c r="J352" s="25">
        <v>20130321</v>
      </c>
      <c r="K352" s="16">
        <f t="shared" si="22"/>
        <v>41354</v>
      </c>
      <c r="L352" s="2">
        <f t="shared" si="23"/>
        <v>8</v>
      </c>
      <c r="M352" s="25"/>
      <c r="N352" s="26"/>
      <c r="O352" s="27" t="s">
        <v>16</v>
      </c>
      <c r="P352" s="70">
        <v>80000</v>
      </c>
      <c r="Q352" s="70" t="s">
        <v>172</v>
      </c>
      <c r="R352" s="22">
        <v>0</v>
      </c>
      <c r="S352" s="22"/>
      <c r="T352" s="22">
        <v>1</v>
      </c>
    </row>
    <row r="353" spans="1:20">
      <c r="A353">
        <v>3</v>
      </c>
      <c r="B353" s="21">
        <v>16</v>
      </c>
      <c r="C353" s="22">
        <v>1340</v>
      </c>
      <c r="D353" s="22" t="s">
        <v>46</v>
      </c>
      <c r="E353" s="23" t="s">
        <v>15</v>
      </c>
      <c r="F353" s="24">
        <v>19750827</v>
      </c>
      <c r="G353" s="16">
        <f t="shared" si="20"/>
        <v>27633</v>
      </c>
      <c r="H353" s="2">
        <f t="shared" si="21"/>
        <v>46</v>
      </c>
      <c r="I353" s="17"/>
      <c r="J353" s="25">
        <v>20060306</v>
      </c>
      <c r="K353" s="16">
        <f t="shared" si="22"/>
        <v>38782</v>
      </c>
      <c r="L353" s="2">
        <f t="shared" si="23"/>
        <v>15</v>
      </c>
      <c r="M353" s="25"/>
      <c r="N353" s="26"/>
      <c r="O353" s="27" t="s">
        <v>16</v>
      </c>
      <c r="P353" s="70">
        <v>20000</v>
      </c>
      <c r="Q353" s="70" t="s">
        <v>45</v>
      </c>
      <c r="R353" s="22">
        <v>0</v>
      </c>
      <c r="S353" s="22"/>
      <c r="T353" s="22">
        <v>1</v>
      </c>
    </row>
    <row r="354" spans="1:20">
      <c r="A354">
        <v>10</v>
      </c>
      <c r="B354" s="21">
        <v>375</v>
      </c>
      <c r="C354" s="22">
        <v>3831</v>
      </c>
      <c r="D354" s="22" t="s">
        <v>267</v>
      </c>
      <c r="E354" s="23" t="s">
        <v>15</v>
      </c>
      <c r="F354" s="24">
        <v>19690301</v>
      </c>
      <c r="G354" s="16">
        <f t="shared" si="20"/>
        <v>25263</v>
      </c>
      <c r="H354" s="2">
        <f t="shared" si="21"/>
        <v>52</v>
      </c>
      <c r="I354" s="17"/>
      <c r="J354" s="25">
        <v>19910902</v>
      </c>
      <c r="K354" s="16">
        <f t="shared" si="22"/>
        <v>33483</v>
      </c>
      <c r="L354" s="2">
        <f t="shared" si="23"/>
        <v>29</v>
      </c>
      <c r="M354" s="25"/>
      <c r="N354" s="26"/>
      <c r="O354" s="27">
        <v>0</v>
      </c>
      <c r="P354" s="70">
        <v>41011</v>
      </c>
      <c r="Q354" s="70" t="s">
        <v>258</v>
      </c>
      <c r="R354" s="22">
        <v>1</v>
      </c>
      <c r="S354" s="22" t="s">
        <v>679</v>
      </c>
      <c r="T354" s="22">
        <v>2</v>
      </c>
    </row>
    <row r="355" spans="1:20">
      <c r="A355">
        <v>22</v>
      </c>
      <c r="B355" s="21">
        <v>87</v>
      </c>
      <c r="C355" s="22">
        <v>2759</v>
      </c>
      <c r="D355" s="22" t="s">
        <v>71</v>
      </c>
      <c r="E355" s="23" t="s">
        <v>15</v>
      </c>
      <c r="F355" s="24">
        <v>19630116</v>
      </c>
      <c r="G355" s="16">
        <f t="shared" si="20"/>
        <v>23027</v>
      </c>
      <c r="H355" s="2">
        <f t="shared" si="21"/>
        <v>58</v>
      </c>
      <c r="I355" s="17"/>
      <c r="J355" s="25">
        <v>19860326</v>
      </c>
      <c r="K355" s="16">
        <f t="shared" si="22"/>
        <v>31497</v>
      </c>
      <c r="L355" s="2">
        <f t="shared" si="23"/>
        <v>35</v>
      </c>
      <c r="M355" s="25"/>
      <c r="N355" s="26"/>
      <c r="O355" s="27" t="s">
        <v>16</v>
      </c>
      <c r="P355" s="70">
        <v>31000</v>
      </c>
      <c r="Q355" s="70" t="s">
        <v>72</v>
      </c>
      <c r="R355" s="22">
        <v>0</v>
      </c>
      <c r="S355" s="22"/>
      <c r="T355" s="22">
        <v>1</v>
      </c>
    </row>
    <row r="356" spans="1:20">
      <c r="A356">
        <v>63</v>
      </c>
      <c r="B356" s="21">
        <v>179</v>
      </c>
      <c r="C356" s="22">
        <v>3178</v>
      </c>
      <c r="D356" s="22" t="s">
        <v>125</v>
      </c>
      <c r="E356" s="23" t="s">
        <v>15</v>
      </c>
      <c r="F356" s="24">
        <v>19791022</v>
      </c>
      <c r="G356" s="16">
        <f t="shared" si="20"/>
        <v>29150</v>
      </c>
      <c r="H356" s="2">
        <f t="shared" si="21"/>
        <v>41</v>
      </c>
      <c r="I356" s="17"/>
      <c r="J356" s="25">
        <v>20020322</v>
      </c>
      <c r="K356" s="16">
        <f t="shared" si="22"/>
        <v>37337</v>
      </c>
      <c r="L356" s="2">
        <f t="shared" si="23"/>
        <v>19</v>
      </c>
      <c r="M356" s="25"/>
      <c r="N356" s="26"/>
      <c r="O356" s="27" t="s">
        <v>16</v>
      </c>
      <c r="P356" s="70">
        <v>51000</v>
      </c>
      <c r="Q356" s="70" t="s">
        <v>124</v>
      </c>
      <c r="R356" s="22">
        <v>0</v>
      </c>
      <c r="S356" s="22"/>
      <c r="T356" s="22">
        <v>1</v>
      </c>
    </row>
    <row r="357" spans="1:20">
      <c r="A357">
        <v>104</v>
      </c>
      <c r="B357" s="21">
        <v>395</v>
      </c>
      <c r="C357" s="22">
        <v>3891</v>
      </c>
      <c r="D357" s="22" t="s">
        <v>371</v>
      </c>
      <c r="E357" s="23" t="s">
        <v>15</v>
      </c>
      <c r="F357" s="24">
        <v>19771101</v>
      </c>
      <c r="G357" s="16">
        <f t="shared" si="20"/>
        <v>28430</v>
      </c>
      <c r="H357" s="2">
        <f t="shared" si="21"/>
        <v>43</v>
      </c>
      <c r="I357" s="17"/>
      <c r="J357" s="25">
        <v>19960321</v>
      </c>
      <c r="K357" s="16">
        <f t="shared" si="22"/>
        <v>35145</v>
      </c>
      <c r="L357" s="2">
        <f t="shared" si="23"/>
        <v>25</v>
      </c>
      <c r="M357" s="25"/>
      <c r="N357" s="26"/>
      <c r="O357" s="27" t="s">
        <v>35</v>
      </c>
      <c r="P357" s="70">
        <v>43211</v>
      </c>
      <c r="Q357" s="70" t="s">
        <v>364</v>
      </c>
      <c r="R357" s="22">
        <v>1</v>
      </c>
      <c r="S357" s="22" t="s">
        <v>679</v>
      </c>
      <c r="T357" s="22">
        <v>2</v>
      </c>
    </row>
    <row r="358" spans="1:20">
      <c r="A358">
        <v>103</v>
      </c>
      <c r="B358" s="21">
        <v>135</v>
      </c>
      <c r="C358" s="22">
        <v>3021</v>
      </c>
      <c r="D358" s="22" t="s">
        <v>173</v>
      </c>
      <c r="E358" s="23" t="s">
        <v>15</v>
      </c>
      <c r="F358" s="24">
        <v>19720119</v>
      </c>
      <c r="G358" s="16">
        <f t="shared" si="20"/>
        <v>26317</v>
      </c>
      <c r="H358" s="2">
        <f t="shared" si="21"/>
        <v>49</v>
      </c>
      <c r="I358" s="17"/>
      <c r="J358" s="25">
        <v>19950322</v>
      </c>
      <c r="K358" s="16">
        <f t="shared" si="22"/>
        <v>34780</v>
      </c>
      <c r="L358" s="2">
        <f t="shared" si="23"/>
        <v>26</v>
      </c>
      <c r="M358" s="25"/>
      <c r="N358" s="26"/>
      <c r="O358" s="27" t="s">
        <v>16</v>
      </c>
      <c r="P358" s="70">
        <v>80000</v>
      </c>
      <c r="Q358" s="70" t="s">
        <v>172</v>
      </c>
      <c r="R358" s="22">
        <v>0</v>
      </c>
      <c r="S358" s="22"/>
      <c r="T358" s="22">
        <v>1</v>
      </c>
    </row>
    <row r="359" spans="1:20">
      <c r="A359">
        <v>193</v>
      </c>
      <c r="B359" s="21">
        <v>425</v>
      </c>
      <c r="C359" s="22">
        <v>3969</v>
      </c>
      <c r="D359" s="22" t="s">
        <v>473</v>
      </c>
      <c r="E359" s="23" t="s">
        <v>15</v>
      </c>
      <c r="F359" s="24">
        <v>19830829</v>
      </c>
      <c r="G359" s="16">
        <f t="shared" si="20"/>
        <v>30557</v>
      </c>
      <c r="H359" s="2">
        <f t="shared" si="21"/>
        <v>38</v>
      </c>
      <c r="I359" s="17"/>
      <c r="J359" s="25">
        <v>20070903</v>
      </c>
      <c r="K359" s="16">
        <f t="shared" si="22"/>
        <v>39328</v>
      </c>
      <c r="L359" s="2">
        <f t="shared" si="23"/>
        <v>13</v>
      </c>
      <c r="M359" s="25"/>
      <c r="N359" s="26"/>
      <c r="O359" s="27" t="s">
        <v>19</v>
      </c>
      <c r="P359" s="70">
        <v>67011</v>
      </c>
      <c r="Q359" s="70" t="s">
        <v>466</v>
      </c>
      <c r="R359" s="22">
        <v>1</v>
      </c>
      <c r="S359" s="22" t="s">
        <v>679</v>
      </c>
      <c r="T359" s="22">
        <v>2</v>
      </c>
    </row>
    <row r="360" spans="1:20">
      <c r="A360">
        <v>57</v>
      </c>
      <c r="B360" s="21">
        <v>255</v>
      </c>
      <c r="C360" s="22">
        <v>3350</v>
      </c>
      <c r="D360" s="22" t="s">
        <v>319</v>
      </c>
      <c r="E360" s="23" t="s">
        <v>15</v>
      </c>
      <c r="F360" s="24">
        <v>19910903</v>
      </c>
      <c r="G360" s="16">
        <f t="shared" si="20"/>
        <v>33484</v>
      </c>
      <c r="H360" s="2">
        <f t="shared" si="21"/>
        <v>29</v>
      </c>
      <c r="I360" s="17"/>
      <c r="J360" s="25">
        <v>20110321</v>
      </c>
      <c r="K360" s="16">
        <f t="shared" si="22"/>
        <v>40623</v>
      </c>
      <c r="L360" s="2">
        <f t="shared" si="23"/>
        <v>10</v>
      </c>
      <c r="M360" s="25"/>
      <c r="N360" s="26"/>
      <c r="O360" s="27" t="s">
        <v>35</v>
      </c>
      <c r="P360" s="70">
        <v>42211</v>
      </c>
      <c r="Q360" s="70" t="s">
        <v>318</v>
      </c>
      <c r="R360" s="22">
        <v>1</v>
      </c>
      <c r="S360" s="22" t="s">
        <v>679</v>
      </c>
      <c r="T360" s="22">
        <v>1</v>
      </c>
    </row>
    <row r="361" spans="1:20">
      <c r="A361">
        <v>80</v>
      </c>
      <c r="B361" s="21">
        <v>118</v>
      </c>
      <c r="C361" s="22">
        <v>2953</v>
      </c>
      <c r="D361" s="22" t="s">
        <v>145</v>
      </c>
      <c r="E361" s="23" t="s">
        <v>15</v>
      </c>
      <c r="F361" s="24">
        <v>19741026</v>
      </c>
      <c r="G361" s="16">
        <f t="shared" si="20"/>
        <v>27328</v>
      </c>
      <c r="H361" s="2">
        <f t="shared" si="21"/>
        <v>46</v>
      </c>
      <c r="I361" s="17"/>
      <c r="J361" s="25">
        <v>19930322</v>
      </c>
      <c r="K361" s="16">
        <f t="shared" si="22"/>
        <v>34050</v>
      </c>
      <c r="L361" s="2">
        <f t="shared" si="23"/>
        <v>28</v>
      </c>
      <c r="M361" s="25"/>
      <c r="N361" s="26"/>
      <c r="O361" s="27" t="s">
        <v>35</v>
      </c>
      <c r="P361" s="70">
        <v>60300</v>
      </c>
      <c r="Q361" s="70" t="s">
        <v>138</v>
      </c>
      <c r="R361" s="22">
        <v>0</v>
      </c>
      <c r="S361" s="155"/>
      <c r="T361" s="22">
        <v>2</v>
      </c>
    </row>
    <row r="362" spans="1:20">
      <c r="A362">
        <v>138</v>
      </c>
      <c r="B362" s="21">
        <v>440</v>
      </c>
      <c r="C362" s="22">
        <v>4950</v>
      </c>
      <c r="D362" s="22" t="s">
        <v>410</v>
      </c>
      <c r="E362" s="23" t="s">
        <v>15</v>
      </c>
      <c r="F362" s="24">
        <v>19610904</v>
      </c>
      <c r="G362" s="16">
        <f t="shared" si="20"/>
        <v>22528</v>
      </c>
      <c r="H362" s="2">
        <f t="shared" si="21"/>
        <v>59</v>
      </c>
      <c r="I362" s="17"/>
      <c r="J362" s="25">
        <v>19770323</v>
      </c>
      <c r="K362" s="16">
        <f t="shared" si="22"/>
        <v>28207</v>
      </c>
      <c r="L362" s="2">
        <f t="shared" si="23"/>
        <v>44</v>
      </c>
      <c r="M362" s="25"/>
      <c r="N362" s="26"/>
      <c r="O362" s="27" t="s">
        <v>77</v>
      </c>
      <c r="P362" s="70">
        <v>66011</v>
      </c>
      <c r="Q362" s="70" t="s">
        <v>449</v>
      </c>
      <c r="R362" s="22">
        <v>0</v>
      </c>
      <c r="S362" s="155"/>
      <c r="T362" s="22">
        <v>1</v>
      </c>
    </row>
    <row r="363" spans="1:20">
      <c r="A363">
        <v>179</v>
      </c>
      <c r="B363" s="21">
        <v>469</v>
      </c>
      <c r="C363" s="22">
        <v>5270</v>
      </c>
      <c r="D363" s="22" t="s">
        <v>458</v>
      </c>
      <c r="E363" s="23" t="s">
        <v>15</v>
      </c>
      <c r="F363" s="24">
        <v>19810916</v>
      </c>
      <c r="G363" s="16">
        <f t="shared" si="20"/>
        <v>29845</v>
      </c>
      <c r="H363" s="2">
        <f t="shared" si="21"/>
        <v>39</v>
      </c>
      <c r="I363" s="17"/>
      <c r="J363" s="25">
        <v>19970331</v>
      </c>
      <c r="K363" s="16">
        <f t="shared" si="22"/>
        <v>35520</v>
      </c>
      <c r="L363" s="2">
        <f t="shared" si="23"/>
        <v>24</v>
      </c>
      <c r="M363" s="25"/>
      <c r="N363" s="26"/>
      <c r="O363" s="27" t="s">
        <v>295</v>
      </c>
      <c r="P363" s="70">
        <v>66011</v>
      </c>
      <c r="Q363" s="70" t="s">
        <v>449</v>
      </c>
      <c r="R363" s="22">
        <v>1</v>
      </c>
      <c r="S363" s="22" t="s">
        <v>679</v>
      </c>
      <c r="T363" s="22">
        <v>2</v>
      </c>
    </row>
    <row r="364" spans="1:20">
      <c r="A364">
        <v>155</v>
      </c>
      <c r="B364" s="21">
        <v>91</v>
      </c>
      <c r="C364" s="22">
        <v>2772</v>
      </c>
      <c r="D364" s="22" t="s">
        <v>432</v>
      </c>
      <c r="E364" s="23" t="s">
        <v>15</v>
      </c>
      <c r="F364" s="24">
        <v>19680106</v>
      </c>
      <c r="G364" s="16">
        <f t="shared" si="20"/>
        <v>24843</v>
      </c>
      <c r="H364" s="2">
        <f t="shared" si="21"/>
        <v>53</v>
      </c>
      <c r="I364" s="17"/>
      <c r="J364" s="25">
        <v>19860326</v>
      </c>
      <c r="K364" s="16">
        <f t="shared" si="22"/>
        <v>31497</v>
      </c>
      <c r="L364" s="2">
        <f t="shared" si="23"/>
        <v>35</v>
      </c>
      <c r="M364" s="25"/>
      <c r="N364" s="26"/>
      <c r="O364" s="27" t="s">
        <v>35</v>
      </c>
      <c r="P364" s="70">
        <v>61300</v>
      </c>
      <c r="Q364" s="70" t="s">
        <v>162</v>
      </c>
      <c r="R364" s="22">
        <v>0</v>
      </c>
      <c r="S364" s="22"/>
      <c r="T364" s="22">
        <v>1</v>
      </c>
    </row>
    <row r="365" spans="1:20">
      <c r="A365">
        <v>152</v>
      </c>
      <c r="B365" s="21">
        <v>8</v>
      </c>
      <c r="C365" s="22">
        <v>1308</v>
      </c>
      <c r="D365" s="22" t="s">
        <v>223</v>
      </c>
      <c r="E365" s="23" t="s">
        <v>15</v>
      </c>
      <c r="F365" s="24">
        <v>19730727</v>
      </c>
      <c r="G365" s="16">
        <f t="shared" si="20"/>
        <v>26872</v>
      </c>
      <c r="H365" s="2">
        <f t="shared" si="21"/>
        <v>48</v>
      </c>
      <c r="I365" s="17"/>
      <c r="J365" s="25">
        <v>20000321</v>
      </c>
      <c r="K365" s="16">
        <f t="shared" si="22"/>
        <v>36606</v>
      </c>
      <c r="L365" s="2">
        <f t="shared" si="23"/>
        <v>21</v>
      </c>
      <c r="M365" s="25"/>
      <c r="N365" s="26"/>
      <c r="O365" s="27" t="s">
        <v>16</v>
      </c>
      <c r="P365" s="70">
        <v>90000</v>
      </c>
      <c r="Q365" s="70" t="s">
        <v>218</v>
      </c>
      <c r="R365" s="22">
        <v>0</v>
      </c>
      <c r="S365" s="22"/>
      <c r="T365" s="22">
        <v>1</v>
      </c>
    </row>
    <row r="366" spans="1:20">
      <c r="A366">
        <v>11</v>
      </c>
      <c r="B366" s="21">
        <v>134</v>
      </c>
      <c r="C366" s="22">
        <v>3020</v>
      </c>
      <c r="D366" s="22" t="s">
        <v>56</v>
      </c>
      <c r="E366" s="23" t="s">
        <v>15</v>
      </c>
      <c r="F366" s="24">
        <v>19710909</v>
      </c>
      <c r="G366" s="16">
        <f t="shared" si="20"/>
        <v>26185</v>
      </c>
      <c r="H366" s="2">
        <f t="shared" si="21"/>
        <v>49</v>
      </c>
      <c r="I366" s="17"/>
      <c r="J366" s="25">
        <v>19950322</v>
      </c>
      <c r="K366" s="16">
        <f t="shared" si="22"/>
        <v>34780</v>
      </c>
      <c r="L366" s="2">
        <f t="shared" si="23"/>
        <v>26</v>
      </c>
      <c r="M366" s="25"/>
      <c r="N366" s="26"/>
      <c r="O366" s="27" t="s">
        <v>16</v>
      </c>
      <c r="P366" s="70">
        <v>30000</v>
      </c>
      <c r="Q366" s="70" t="s">
        <v>53</v>
      </c>
      <c r="R366" s="22">
        <v>0</v>
      </c>
      <c r="S366" s="22"/>
      <c r="T366" s="22">
        <v>1</v>
      </c>
    </row>
    <row r="367" spans="1:20">
      <c r="A367">
        <v>15</v>
      </c>
      <c r="B367" s="21">
        <v>266</v>
      </c>
      <c r="C367" s="22">
        <v>3367</v>
      </c>
      <c r="D367" s="22" t="s">
        <v>272</v>
      </c>
      <c r="E367" s="23" t="s">
        <v>15</v>
      </c>
      <c r="F367" s="24">
        <v>19931113</v>
      </c>
      <c r="G367" s="16">
        <f t="shared" si="20"/>
        <v>34286</v>
      </c>
      <c r="H367" s="2">
        <f t="shared" si="21"/>
        <v>27</v>
      </c>
      <c r="I367" s="17"/>
      <c r="J367" s="25">
        <v>20120321</v>
      </c>
      <c r="K367" s="16">
        <f t="shared" si="22"/>
        <v>40989</v>
      </c>
      <c r="L367" s="2">
        <f t="shared" si="23"/>
        <v>9</v>
      </c>
      <c r="M367" s="25"/>
      <c r="N367" s="26"/>
      <c r="O367" s="27" t="s">
        <v>35</v>
      </c>
      <c r="P367" s="70">
        <v>41011</v>
      </c>
      <c r="Q367" s="70" t="s">
        <v>258</v>
      </c>
      <c r="R367" s="22">
        <v>1</v>
      </c>
      <c r="S367" s="22" t="s">
        <v>679</v>
      </c>
      <c r="T367" s="22">
        <v>2</v>
      </c>
    </row>
    <row r="368" spans="1:20">
      <c r="A368">
        <v>112</v>
      </c>
      <c r="B368" s="21">
        <v>234</v>
      </c>
      <c r="C368" s="22">
        <v>3307</v>
      </c>
      <c r="D368" s="22" t="s">
        <v>380</v>
      </c>
      <c r="E368" s="23" t="s">
        <v>15</v>
      </c>
      <c r="F368" s="24">
        <v>19901023</v>
      </c>
      <c r="G368" s="16">
        <f t="shared" si="20"/>
        <v>33169</v>
      </c>
      <c r="H368" s="2">
        <f t="shared" si="21"/>
        <v>30</v>
      </c>
      <c r="I368" s="17"/>
      <c r="J368" s="25">
        <v>20090323</v>
      </c>
      <c r="K368" s="16">
        <f t="shared" si="22"/>
        <v>39895</v>
      </c>
      <c r="L368" s="2">
        <f t="shared" si="23"/>
        <v>12</v>
      </c>
      <c r="M368" s="25"/>
      <c r="N368" s="26"/>
      <c r="O368" s="27" t="s">
        <v>35</v>
      </c>
      <c r="P368" s="70">
        <v>44011</v>
      </c>
      <c r="Q368" s="70" t="s">
        <v>381</v>
      </c>
      <c r="R368" s="22">
        <v>1</v>
      </c>
      <c r="S368" s="22" t="s">
        <v>679</v>
      </c>
      <c r="T368" s="22">
        <v>1</v>
      </c>
    </row>
    <row r="369" spans="1:20">
      <c r="A369">
        <v>74</v>
      </c>
      <c r="B369" s="21">
        <v>333</v>
      </c>
      <c r="C369" s="22">
        <v>3477</v>
      </c>
      <c r="D369" s="22" t="s">
        <v>337</v>
      </c>
      <c r="E369" s="23" t="s">
        <v>15</v>
      </c>
      <c r="F369" s="24">
        <v>19990326</v>
      </c>
      <c r="G369" s="16">
        <f t="shared" si="20"/>
        <v>36245</v>
      </c>
      <c r="H369" s="2">
        <f t="shared" si="21"/>
        <v>22</v>
      </c>
      <c r="I369" s="17"/>
      <c r="J369" s="25">
        <v>20170403</v>
      </c>
      <c r="K369" s="16">
        <f t="shared" si="22"/>
        <v>42828</v>
      </c>
      <c r="L369" s="2">
        <f t="shared" si="23"/>
        <v>4</v>
      </c>
      <c r="M369" s="25"/>
      <c r="N369" s="26"/>
      <c r="O369" s="27">
        <v>6</v>
      </c>
      <c r="P369" s="70">
        <v>42311</v>
      </c>
      <c r="Q369" s="70" t="s">
        <v>331</v>
      </c>
      <c r="R369" s="22">
        <v>1</v>
      </c>
      <c r="S369" s="22" t="s">
        <v>679</v>
      </c>
      <c r="T369" s="22">
        <v>2</v>
      </c>
    </row>
    <row r="370" spans="1:20">
      <c r="A370">
        <v>116</v>
      </c>
      <c r="B370" s="21">
        <v>391</v>
      </c>
      <c r="C370" s="22">
        <v>3887</v>
      </c>
      <c r="D370" s="22" t="s">
        <v>386</v>
      </c>
      <c r="E370" s="23" t="s">
        <v>15</v>
      </c>
      <c r="F370" s="24">
        <v>19721013</v>
      </c>
      <c r="G370" s="16">
        <f t="shared" si="20"/>
        <v>26585</v>
      </c>
      <c r="H370" s="2">
        <f t="shared" si="21"/>
        <v>48</v>
      </c>
      <c r="I370" s="17"/>
      <c r="J370" s="25">
        <v>19890325</v>
      </c>
      <c r="K370" s="16">
        <f t="shared" si="22"/>
        <v>32592</v>
      </c>
      <c r="L370" s="2">
        <f t="shared" si="23"/>
        <v>32</v>
      </c>
      <c r="M370" s="25"/>
      <c r="N370" s="26"/>
      <c r="O370" s="27" t="s">
        <v>345</v>
      </c>
      <c r="P370" s="70">
        <v>44111</v>
      </c>
      <c r="Q370" s="70" t="s">
        <v>383</v>
      </c>
      <c r="R370" s="22">
        <v>1</v>
      </c>
      <c r="S370" s="22" t="s">
        <v>679</v>
      </c>
      <c r="T370" s="22">
        <v>2</v>
      </c>
    </row>
    <row r="371" spans="1:20">
      <c r="A371">
        <v>76</v>
      </c>
      <c r="B371" s="21">
        <v>217</v>
      </c>
      <c r="C371" s="22">
        <v>3263</v>
      </c>
      <c r="D371" s="22" t="s">
        <v>340</v>
      </c>
      <c r="E371" s="23" t="s">
        <v>15</v>
      </c>
      <c r="F371" s="24">
        <v>19881025</v>
      </c>
      <c r="G371" s="16">
        <f t="shared" si="20"/>
        <v>32441</v>
      </c>
      <c r="H371" s="2">
        <f t="shared" si="21"/>
        <v>32</v>
      </c>
      <c r="I371" s="17"/>
      <c r="J371" s="25">
        <v>20070321</v>
      </c>
      <c r="K371" s="16">
        <f t="shared" si="22"/>
        <v>39162</v>
      </c>
      <c r="L371" s="2">
        <f t="shared" si="23"/>
        <v>14</v>
      </c>
      <c r="M371" s="25"/>
      <c r="N371" s="26"/>
      <c r="O371" s="27" t="s">
        <v>35</v>
      </c>
      <c r="P371" s="70">
        <v>42411</v>
      </c>
      <c r="Q371" s="70" t="s">
        <v>339</v>
      </c>
      <c r="R371" s="22">
        <v>1</v>
      </c>
      <c r="S371" s="22" t="s">
        <v>679</v>
      </c>
      <c r="T371" s="22">
        <v>1</v>
      </c>
    </row>
    <row r="372" spans="1:20">
      <c r="A372">
        <v>164</v>
      </c>
      <c r="B372" s="21">
        <v>166</v>
      </c>
      <c r="C372" s="22">
        <v>3140</v>
      </c>
      <c r="D372" s="22" t="s">
        <v>442</v>
      </c>
      <c r="E372" s="23" t="s">
        <v>15</v>
      </c>
      <c r="F372" s="24">
        <v>19770317</v>
      </c>
      <c r="G372" s="16">
        <f t="shared" si="20"/>
        <v>28201</v>
      </c>
      <c r="H372" s="2">
        <f t="shared" si="21"/>
        <v>44</v>
      </c>
      <c r="I372" s="17"/>
      <c r="J372" s="25">
        <v>19970321</v>
      </c>
      <c r="K372" s="16">
        <f t="shared" si="22"/>
        <v>35510</v>
      </c>
      <c r="L372" s="2">
        <f t="shared" si="23"/>
        <v>24</v>
      </c>
      <c r="M372" s="25"/>
      <c r="N372" s="26"/>
      <c r="O372" s="27" t="s">
        <v>19</v>
      </c>
      <c r="P372" s="70">
        <v>65011</v>
      </c>
      <c r="Q372" s="70" t="s">
        <v>433</v>
      </c>
      <c r="R372" s="22">
        <v>1</v>
      </c>
      <c r="S372" s="22" t="s">
        <v>679</v>
      </c>
      <c r="T372" s="22">
        <v>2</v>
      </c>
    </row>
    <row r="373" spans="1:20">
      <c r="A373">
        <v>54</v>
      </c>
      <c r="B373" s="21">
        <v>11</v>
      </c>
      <c r="C373" s="22">
        <v>1322</v>
      </c>
      <c r="D373" s="22" t="s">
        <v>113</v>
      </c>
      <c r="E373" s="23" t="s">
        <v>15</v>
      </c>
      <c r="F373" s="24">
        <v>19740628</v>
      </c>
      <c r="G373" s="16">
        <f t="shared" si="20"/>
        <v>27208</v>
      </c>
      <c r="H373" s="2">
        <f t="shared" si="21"/>
        <v>47</v>
      </c>
      <c r="I373" s="17"/>
      <c r="J373" s="25">
        <v>20020401</v>
      </c>
      <c r="K373" s="16">
        <f t="shared" si="22"/>
        <v>37347</v>
      </c>
      <c r="L373" s="2">
        <f t="shared" si="23"/>
        <v>19</v>
      </c>
      <c r="M373" s="25"/>
      <c r="N373" s="26"/>
      <c r="O373" s="27" t="s">
        <v>19</v>
      </c>
      <c r="P373" s="70">
        <v>44200</v>
      </c>
      <c r="Q373" s="70" t="s">
        <v>114</v>
      </c>
      <c r="R373" s="22">
        <v>0</v>
      </c>
      <c r="S373" s="22"/>
      <c r="T373" s="22">
        <v>1</v>
      </c>
    </row>
    <row r="374" spans="1:20">
      <c r="A374">
        <v>209</v>
      </c>
      <c r="B374" s="21">
        <v>74</v>
      </c>
      <c r="C374" s="22">
        <v>2686</v>
      </c>
      <c r="D374" s="22" t="s">
        <v>492</v>
      </c>
      <c r="E374" s="23" t="s">
        <v>15</v>
      </c>
      <c r="F374" s="24">
        <v>19660221</v>
      </c>
      <c r="G374" s="16">
        <f t="shared" si="20"/>
        <v>24159</v>
      </c>
      <c r="H374" s="2">
        <f t="shared" si="21"/>
        <v>55</v>
      </c>
      <c r="I374" s="17"/>
      <c r="J374" s="25">
        <v>19840321</v>
      </c>
      <c r="K374" s="16">
        <f t="shared" si="22"/>
        <v>30762</v>
      </c>
      <c r="L374" s="2">
        <f t="shared" si="23"/>
        <v>37</v>
      </c>
      <c r="M374" s="25"/>
      <c r="N374" s="26"/>
      <c r="O374" s="27" t="s">
        <v>35</v>
      </c>
      <c r="P374" s="70">
        <v>69011</v>
      </c>
      <c r="Q374" s="70" t="s">
        <v>489</v>
      </c>
      <c r="R374" s="22">
        <v>1</v>
      </c>
      <c r="S374" s="22" t="s">
        <v>679</v>
      </c>
      <c r="T374" s="22">
        <v>2</v>
      </c>
    </row>
    <row r="375" spans="1:20">
      <c r="A375">
        <v>78</v>
      </c>
      <c r="B375" s="21">
        <v>306</v>
      </c>
      <c r="C375" s="22">
        <v>3438</v>
      </c>
      <c r="D375" s="22" t="s">
        <v>342</v>
      </c>
      <c r="E375" s="23" t="s">
        <v>15</v>
      </c>
      <c r="F375" s="24">
        <v>19960702</v>
      </c>
      <c r="G375" s="16">
        <f t="shared" si="20"/>
        <v>35248</v>
      </c>
      <c r="H375" s="2">
        <f t="shared" si="21"/>
        <v>25</v>
      </c>
      <c r="I375" s="17"/>
      <c r="J375" s="25">
        <v>20150401</v>
      </c>
      <c r="K375" s="16">
        <f t="shared" si="22"/>
        <v>42095</v>
      </c>
      <c r="L375" s="2">
        <f t="shared" si="23"/>
        <v>6</v>
      </c>
      <c r="M375" s="25"/>
      <c r="N375" s="26"/>
      <c r="O375" s="27" t="s">
        <v>35</v>
      </c>
      <c r="P375" s="70">
        <v>42411</v>
      </c>
      <c r="Q375" s="70" t="s">
        <v>339</v>
      </c>
      <c r="R375" s="22">
        <v>1</v>
      </c>
      <c r="S375" s="22" t="s">
        <v>679</v>
      </c>
      <c r="T375" s="22">
        <v>1</v>
      </c>
    </row>
    <row r="376" spans="1:20">
      <c r="A376">
        <v>52</v>
      </c>
      <c r="B376" s="21">
        <v>320</v>
      </c>
      <c r="C376" s="22">
        <v>3456</v>
      </c>
      <c r="D376" s="22" t="s">
        <v>313</v>
      </c>
      <c r="E376" s="23" t="s">
        <v>15</v>
      </c>
      <c r="F376" s="24">
        <v>19971207</v>
      </c>
      <c r="G376" s="16">
        <f t="shared" si="20"/>
        <v>35771</v>
      </c>
      <c r="H376" s="2">
        <f t="shared" si="21"/>
        <v>23</v>
      </c>
      <c r="I376" s="17"/>
      <c r="J376" s="25">
        <v>20160401</v>
      </c>
      <c r="K376" s="16">
        <f t="shared" si="22"/>
        <v>42461</v>
      </c>
      <c r="L376" s="2">
        <f t="shared" si="23"/>
        <v>5</v>
      </c>
      <c r="M376" s="25"/>
      <c r="N376" s="26"/>
      <c r="O376" s="27" t="s">
        <v>35</v>
      </c>
      <c r="P376" s="70">
        <v>42111</v>
      </c>
      <c r="Q376" s="70" t="s">
        <v>305</v>
      </c>
      <c r="R376" s="22">
        <v>1</v>
      </c>
      <c r="S376" s="22" t="s">
        <v>679</v>
      </c>
      <c r="T376" s="22">
        <v>2</v>
      </c>
    </row>
    <row r="377" spans="1:20">
      <c r="A377">
        <v>158</v>
      </c>
      <c r="B377" s="21">
        <v>390</v>
      </c>
      <c r="C377" s="22">
        <v>3878</v>
      </c>
      <c r="D377" s="22" t="s">
        <v>436</v>
      </c>
      <c r="E377" s="23" t="s">
        <v>15</v>
      </c>
      <c r="F377" s="24">
        <v>19730215</v>
      </c>
      <c r="G377" s="16">
        <f t="shared" si="20"/>
        <v>26710</v>
      </c>
      <c r="H377" s="2">
        <f t="shared" si="21"/>
        <v>48</v>
      </c>
      <c r="I377" s="17"/>
      <c r="J377" s="25">
        <v>20000824</v>
      </c>
      <c r="K377" s="16">
        <f t="shared" si="22"/>
        <v>36762</v>
      </c>
      <c r="L377" s="2">
        <f t="shared" si="23"/>
        <v>21</v>
      </c>
      <c r="M377" s="25"/>
      <c r="N377" s="26"/>
      <c r="O377" s="27" t="s">
        <v>35</v>
      </c>
      <c r="P377" s="70">
        <v>65011</v>
      </c>
      <c r="Q377" s="70" t="s">
        <v>433</v>
      </c>
      <c r="R377" s="22">
        <v>1</v>
      </c>
      <c r="S377" s="22" t="s">
        <v>679</v>
      </c>
      <c r="T377" s="22">
        <v>1</v>
      </c>
    </row>
    <row r="378" spans="1:20">
      <c r="A378">
        <v>71</v>
      </c>
      <c r="B378" s="21">
        <v>29</v>
      </c>
      <c r="C378" s="22">
        <v>1361</v>
      </c>
      <c r="D378" s="22" t="s">
        <v>135</v>
      </c>
      <c r="E378" s="23" t="s">
        <v>15</v>
      </c>
      <c r="F378" s="24">
        <v>19800918</v>
      </c>
      <c r="G378" s="16">
        <f t="shared" si="20"/>
        <v>29482</v>
      </c>
      <c r="H378" s="2">
        <f t="shared" si="21"/>
        <v>40</v>
      </c>
      <c r="I378" s="17"/>
      <c r="J378" s="25">
        <v>20100401</v>
      </c>
      <c r="K378" s="16">
        <f t="shared" si="22"/>
        <v>40269</v>
      </c>
      <c r="L378" s="2">
        <f t="shared" si="23"/>
        <v>11</v>
      </c>
      <c r="M378" s="25"/>
      <c r="N378" s="26"/>
      <c r="O378" s="27" t="s">
        <v>16</v>
      </c>
      <c r="P378" s="70">
        <v>60200</v>
      </c>
      <c r="Q378" s="70" t="s">
        <v>134</v>
      </c>
      <c r="R378" s="22">
        <v>0</v>
      </c>
      <c r="S378" s="22"/>
      <c r="T378" s="22">
        <v>1</v>
      </c>
    </row>
    <row r="379" spans="1:20">
      <c r="A379">
        <v>184</v>
      </c>
      <c r="B379" s="21">
        <v>57</v>
      </c>
      <c r="C379" s="22">
        <v>1403</v>
      </c>
      <c r="D379" s="22" t="s">
        <v>463</v>
      </c>
      <c r="E379" s="23" t="s">
        <v>15</v>
      </c>
      <c r="F379" s="24">
        <v>19960923</v>
      </c>
      <c r="G379" s="16">
        <f t="shared" si="20"/>
        <v>35331</v>
      </c>
      <c r="H379" s="2">
        <f t="shared" si="21"/>
        <v>24</v>
      </c>
      <c r="I379" s="17"/>
      <c r="J379" s="25">
        <v>20190610</v>
      </c>
      <c r="K379" s="16">
        <f t="shared" si="22"/>
        <v>43626</v>
      </c>
      <c r="L379" s="2">
        <f t="shared" si="23"/>
        <v>2</v>
      </c>
      <c r="M379" s="25"/>
      <c r="N379" s="26"/>
      <c r="O379" s="27">
        <v>6</v>
      </c>
      <c r="P379" s="70">
        <v>66011</v>
      </c>
      <c r="Q379" s="70" t="s">
        <v>449</v>
      </c>
      <c r="R379" s="22">
        <v>1</v>
      </c>
      <c r="S379" s="22" t="s">
        <v>679</v>
      </c>
      <c r="T379" s="22">
        <v>2</v>
      </c>
    </row>
    <row r="380" spans="1:20">
      <c r="A380">
        <v>204</v>
      </c>
      <c r="B380" s="21">
        <v>168</v>
      </c>
      <c r="C380" s="22">
        <v>3144</v>
      </c>
      <c r="D380" s="22" t="s">
        <v>486</v>
      </c>
      <c r="E380" s="23" t="s">
        <v>15</v>
      </c>
      <c r="F380" s="24">
        <v>19790322</v>
      </c>
      <c r="G380" s="16">
        <f t="shared" si="20"/>
        <v>28936</v>
      </c>
      <c r="H380" s="2">
        <f t="shared" si="21"/>
        <v>42</v>
      </c>
      <c r="I380" s="17"/>
      <c r="J380" s="25">
        <v>19970321</v>
      </c>
      <c r="K380" s="16">
        <f t="shared" si="22"/>
        <v>35510</v>
      </c>
      <c r="L380" s="2">
        <f t="shared" si="23"/>
        <v>24</v>
      </c>
      <c r="M380" s="25"/>
      <c r="N380" s="26"/>
      <c r="O380" s="27" t="s">
        <v>35</v>
      </c>
      <c r="P380" s="70">
        <v>68111</v>
      </c>
      <c r="Q380" s="70" t="s">
        <v>485</v>
      </c>
      <c r="R380" s="22">
        <v>1</v>
      </c>
      <c r="S380" s="22" t="s">
        <v>679</v>
      </c>
      <c r="T380" s="22">
        <v>2</v>
      </c>
    </row>
    <row r="381" spans="1:20">
      <c r="A381">
        <v>156</v>
      </c>
      <c r="B381" s="21">
        <v>157</v>
      </c>
      <c r="C381" s="22">
        <v>3101</v>
      </c>
      <c r="D381" s="22" t="s">
        <v>434</v>
      </c>
      <c r="E381" s="23" t="s">
        <v>15</v>
      </c>
      <c r="F381" s="24">
        <v>19760223</v>
      </c>
      <c r="G381" s="16">
        <f t="shared" si="20"/>
        <v>27813</v>
      </c>
      <c r="H381" s="2">
        <f t="shared" si="21"/>
        <v>45</v>
      </c>
      <c r="I381" s="17"/>
      <c r="J381" s="25">
        <v>19960321</v>
      </c>
      <c r="K381" s="16">
        <f t="shared" si="22"/>
        <v>35145</v>
      </c>
      <c r="L381" s="2">
        <f t="shared" si="23"/>
        <v>25</v>
      </c>
      <c r="M381" s="25"/>
      <c r="N381" s="26"/>
      <c r="O381" s="27" t="s">
        <v>19</v>
      </c>
      <c r="P381" s="70">
        <v>65011</v>
      </c>
      <c r="Q381" s="70" t="s">
        <v>433</v>
      </c>
      <c r="R381" s="22">
        <v>1</v>
      </c>
      <c r="S381" s="22" t="s">
        <v>679</v>
      </c>
      <c r="T381" s="22">
        <v>1</v>
      </c>
    </row>
    <row r="382" spans="1:20">
      <c r="A382">
        <v>149</v>
      </c>
      <c r="B382" s="21">
        <v>97</v>
      </c>
      <c r="C382" s="22">
        <v>2809</v>
      </c>
      <c r="D382" s="22" t="s">
        <v>220</v>
      </c>
      <c r="E382" s="23" t="s">
        <v>15</v>
      </c>
      <c r="F382" s="24">
        <v>19680902</v>
      </c>
      <c r="G382" s="16">
        <f t="shared" si="20"/>
        <v>25083</v>
      </c>
      <c r="H382" s="2">
        <f t="shared" si="21"/>
        <v>52</v>
      </c>
      <c r="I382" s="17"/>
      <c r="J382" s="25">
        <v>19870326</v>
      </c>
      <c r="K382" s="16">
        <f t="shared" si="22"/>
        <v>31862</v>
      </c>
      <c r="L382" s="2">
        <f t="shared" si="23"/>
        <v>34</v>
      </c>
      <c r="M382" s="25"/>
      <c r="N382" s="26"/>
      <c r="O382" s="27" t="s">
        <v>35</v>
      </c>
      <c r="P382" s="70">
        <v>21000</v>
      </c>
      <c r="Q382" s="70" t="s">
        <v>638</v>
      </c>
      <c r="R382" s="22">
        <v>0</v>
      </c>
      <c r="S382" s="22"/>
      <c r="T382" s="22">
        <v>1</v>
      </c>
    </row>
    <row r="383" spans="1:20">
      <c r="A383">
        <v>5</v>
      </c>
      <c r="B383" s="21">
        <v>131</v>
      </c>
      <c r="C383" s="22">
        <v>3007</v>
      </c>
      <c r="D383" s="22" t="s">
        <v>48</v>
      </c>
      <c r="E383" s="23" t="s">
        <v>15</v>
      </c>
      <c r="F383" s="24">
        <v>19730203</v>
      </c>
      <c r="G383" s="16">
        <f t="shared" si="20"/>
        <v>26698</v>
      </c>
      <c r="H383" s="2">
        <f t="shared" si="21"/>
        <v>48</v>
      </c>
      <c r="I383" s="17"/>
      <c r="J383" s="25">
        <v>19950322</v>
      </c>
      <c r="K383" s="16">
        <f t="shared" si="22"/>
        <v>34780</v>
      </c>
      <c r="L383" s="2">
        <f t="shared" si="23"/>
        <v>26</v>
      </c>
      <c r="M383" s="25"/>
      <c r="N383" s="26"/>
      <c r="O383" s="27" t="s">
        <v>16</v>
      </c>
      <c r="P383" s="70">
        <v>22000</v>
      </c>
      <c r="Q383" s="70" t="s">
        <v>49</v>
      </c>
      <c r="R383" s="22">
        <v>0</v>
      </c>
      <c r="S383" s="22"/>
      <c r="T383" s="22">
        <v>1</v>
      </c>
    </row>
    <row r="384" spans="1:20">
      <c r="A384">
        <v>91</v>
      </c>
      <c r="B384" s="21">
        <v>184</v>
      </c>
      <c r="C384" s="22">
        <v>3190</v>
      </c>
      <c r="D384" s="22" t="s">
        <v>157</v>
      </c>
      <c r="E384" s="23" t="s">
        <v>15</v>
      </c>
      <c r="F384" s="24">
        <v>19830917</v>
      </c>
      <c r="G384" s="16">
        <f t="shared" si="20"/>
        <v>30576</v>
      </c>
      <c r="H384" s="2">
        <f t="shared" si="21"/>
        <v>37</v>
      </c>
      <c r="I384" s="17"/>
      <c r="J384" s="25">
        <v>20020322</v>
      </c>
      <c r="K384" s="16">
        <f t="shared" si="22"/>
        <v>37337</v>
      </c>
      <c r="L384" s="2">
        <f t="shared" si="23"/>
        <v>19</v>
      </c>
      <c r="M384" s="25"/>
      <c r="N384" s="26"/>
      <c r="O384" s="27" t="s">
        <v>35</v>
      </c>
      <c r="P384" s="70">
        <v>61200</v>
      </c>
      <c r="Q384" s="70" t="s">
        <v>158</v>
      </c>
      <c r="R384" s="22">
        <v>0</v>
      </c>
      <c r="S384" s="22"/>
      <c r="T384" s="22">
        <v>1</v>
      </c>
    </row>
    <row r="385" spans="1:20">
      <c r="A385">
        <v>16</v>
      </c>
      <c r="B385" s="21">
        <v>268</v>
      </c>
      <c r="C385" s="22">
        <v>3369</v>
      </c>
      <c r="D385" s="22" t="s">
        <v>273</v>
      </c>
      <c r="E385" s="23" t="s">
        <v>15</v>
      </c>
      <c r="F385" s="24">
        <v>19930510</v>
      </c>
      <c r="G385" s="16">
        <f t="shared" si="20"/>
        <v>34099</v>
      </c>
      <c r="H385" s="2">
        <f t="shared" si="21"/>
        <v>28</v>
      </c>
      <c r="I385" s="17"/>
      <c r="J385" s="25">
        <v>20120321</v>
      </c>
      <c r="K385" s="16">
        <f t="shared" si="22"/>
        <v>40989</v>
      </c>
      <c r="L385" s="2">
        <f t="shared" si="23"/>
        <v>9</v>
      </c>
      <c r="M385" s="25"/>
      <c r="N385" s="26"/>
      <c r="O385" s="27" t="s">
        <v>35</v>
      </c>
      <c r="P385" s="70">
        <v>41011</v>
      </c>
      <c r="Q385" s="70" t="s">
        <v>258</v>
      </c>
      <c r="R385" s="22">
        <v>1</v>
      </c>
      <c r="S385" s="22" t="s">
        <v>679</v>
      </c>
      <c r="T385" s="22">
        <v>2</v>
      </c>
    </row>
    <row r="386" spans="1:20">
      <c r="A386">
        <v>111</v>
      </c>
      <c r="B386" s="21">
        <v>180</v>
      </c>
      <c r="C386" s="22">
        <v>3181</v>
      </c>
      <c r="D386" s="22" t="s">
        <v>181</v>
      </c>
      <c r="E386" s="23" t="s">
        <v>15</v>
      </c>
      <c r="F386" s="24">
        <v>19790703</v>
      </c>
      <c r="G386" s="16">
        <f t="shared" si="20"/>
        <v>29039</v>
      </c>
      <c r="H386" s="2">
        <f t="shared" si="21"/>
        <v>42</v>
      </c>
      <c r="I386" s="17"/>
      <c r="J386" s="25">
        <v>20020322</v>
      </c>
      <c r="K386" s="16">
        <f t="shared" si="22"/>
        <v>37337</v>
      </c>
      <c r="L386" s="2">
        <f t="shared" si="23"/>
        <v>19</v>
      </c>
      <c r="M386" s="25"/>
      <c r="N386" s="26"/>
      <c r="O386" s="27" t="s">
        <v>16</v>
      </c>
      <c r="P386" s="70">
        <v>80000</v>
      </c>
      <c r="Q386" s="70" t="s">
        <v>172</v>
      </c>
      <c r="R386" s="22">
        <v>0</v>
      </c>
      <c r="S386" s="22"/>
      <c r="T386" s="22">
        <v>1</v>
      </c>
    </row>
    <row r="387" spans="1:20">
      <c r="A387">
        <v>208</v>
      </c>
      <c r="B387" s="21">
        <v>54</v>
      </c>
      <c r="C387" s="22">
        <v>1400</v>
      </c>
      <c r="D387" s="22" t="s">
        <v>491</v>
      </c>
      <c r="E387" s="23" t="s">
        <v>15</v>
      </c>
      <c r="F387" s="24">
        <v>19910623</v>
      </c>
      <c r="G387" s="16">
        <f t="shared" si="20"/>
        <v>33412</v>
      </c>
      <c r="H387" s="2">
        <f t="shared" si="21"/>
        <v>30</v>
      </c>
      <c r="I387" s="17"/>
      <c r="J387" s="25">
        <v>20190121</v>
      </c>
      <c r="K387" s="16">
        <f t="shared" si="22"/>
        <v>43486</v>
      </c>
      <c r="L387" s="2">
        <f t="shared" si="23"/>
        <v>2</v>
      </c>
      <c r="M387" s="25"/>
      <c r="N387" s="26"/>
      <c r="O387" s="27">
        <v>6</v>
      </c>
      <c r="P387" s="70">
        <v>69011</v>
      </c>
      <c r="Q387" s="70" t="s">
        <v>489</v>
      </c>
      <c r="R387" s="22">
        <v>1</v>
      </c>
      <c r="S387" s="22" t="s">
        <v>679</v>
      </c>
      <c r="T387" s="22">
        <v>1</v>
      </c>
    </row>
    <row r="388" spans="1:20">
      <c r="A388">
        <v>73</v>
      </c>
      <c r="B388" s="21">
        <v>269</v>
      </c>
      <c r="C388" s="22">
        <v>3372</v>
      </c>
      <c r="D388" s="22" t="s">
        <v>336</v>
      </c>
      <c r="E388" s="23" t="s">
        <v>15</v>
      </c>
      <c r="F388" s="24">
        <v>19930911</v>
      </c>
      <c r="G388" s="16">
        <f t="shared" si="20"/>
        <v>34223</v>
      </c>
      <c r="H388" s="2">
        <f t="shared" si="21"/>
        <v>27</v>
      </c>
      <c r="I388" s="17"/>
      <c r="J388" s="25">
        <v>20120321</v>
      </c>
      <c r="K388" s="16">
        <f t="shared" si="22"/>
        <v>40989</v>
      </c>
      <c r="L388" s="2">
        <f t="shared" si="23"/>
        <v>9</v>
      </c>
      <c r="M388" s="25"/>
      <c r="N388" s="26"/>
      <c r="O388" s="27" t="s">
        <v>35</v>
      </c>
      <c r="P388" s="70">
        <v>42311</v>
      </c>
      <c r="Q388" s="70" t="s">
        <v>331</v>
      </c>
      <c r="R388" s="22">
        <v>1</v>
      </c>
      <c r="S388" s="22" t="s">
        <v>679</v>
      </c>
      <c r="T388" s="22">
        <v>2</v>
      </c>
    </row>
    <row r="389" spans="1:20">
      <c r="A389">
        <v>72</v>
      </c>
      <c r="B389" s="21">
        <v>122</v>
      </c>
      <c r="C389" s="22">
        <v>2971</v>
      </c>
      <c r="D389" s="22" t="s">
        <v>335</v>
      </c>
      <c r="E389" s="23" t="s">
        <v>15</v>
      </c>
      <c r="F389" s="24">
        <v>19730504</v>
      </c>
      <c r="G389" s="16">
        <f t="shared" ref="G389:G452" si="24">DATE(INT(F389/10000),INT(MOD(F389,10000)/100),MOD(F389,100))</f>
        <v>26788</v>
      </c>
      <c r="H389" s="2">
        <f t="shared" ref="H389:H452" si="25">DATEDIF(G389,$G$4,"Y")</f>
        <v>48</v>
      </c>
      <c r="I389" s="17"/>
      <c r="J389" s="25">
        <v>19940322</v>
      </c>
      <c r="K389" s="16">
        <f t="shared" ref="K389:K452" si="26">DATE(INT(J389/10000),INT(MOD(J389,10000)/100),MOD(J389,100))</f>
        <v>34415</v>
      </c>
      <c r="L389" s="2">
        <f t="shared" ref="L389:L452" si="27">DATEDIF(K389,$G$4,"Y")</f>
        <v>27</v>
      </c>
      <c r="M389" s="25"/>
      <c r="N389" s="26"/>
      <c r="O389" s="27" t="s">
        <v>19</v>
      </c>
      <c r="P389" s="70">
        <v>42311</v>
      </c>
      <c r="Q389" s="70" t="s">
        <v>331</v>
      </c>
      <c r="R389" s="22">
        <v>1</v>
      </c>
      <c r="S389" s="22" t="s">
        <v>679</v>
      </c>
      <c r="T389" s="22">
        <v>2</v>
      </c>
    </row>
    <row r="390" spans="1:20">
      <c r="A390">
        <v>126</v>
      </c>
      <c r="B390" s="21">
        <v>427</v>
      </c>
      <c r="C390" s="22">
        <v>3978</v>
      </c>
      <c r="D390" s="22" t="s">
        <v>398</v>
      </c>
      <c r="E390" s="23" t="s">
        <v>15</v>
      </c>
      <c r="F390" s="24">
        <v>19780520</v>
      </c>
      <c r="G390" s="16">
        <f t="shared" si="24"/>
        <v>28630</v>
      </c>
      <c r="H390" s="2">
        <f t="shared" si="25"/>
        <v>43</v>
      </c>
      <c r="I390" s="17"/>
      <c r="J390" s="25">
        <v>20070921</v>
      </c>
      <c r="K390" s="16">
        <f t="shared" si="26"/>
        <v>39346</v>
      </c>
      <c r="L390" s="2">
        <f t="shared" si="27"/>
        <v>13</v>
      </c>
      <c r="M390" s="25"/>
      <c r="N390" s="26"/>
      <c r="O390" s="27" t="s">
        <v>35</v>
      </c>
      <c r="P390" s="70">
        <v>45111</v>
      </c>
      <c r="Q390" s="70" t="s">
        <v>396</v>
      </c>
      <c r="R390" s="22">
        <v>1</v>
      </c>
      <c r="S390" s="22" t="s">
        <v>679</v>
      </c>
      <c r="T390" s="22">
        <v>1</v>
      </c>
    </row>
    <row r="391" spans="1:20">
      <c r="A391">
        <v>127</v>
      </c>
      <c r="B391" s="21">
        <v>428</v>
      </c>
      <c r="C391" s="22">
        <v>3979</v>
      </c>
      <c r="D391" s="22" t="s">
        <v>399</v>
      </c>
      <c r="E391" s="23" t="s">
        <v>15</v>
      </c>
      <c r="F391" s="24">
        <v>19800125</v>
      </c>
      <c r="G391" s="16">
        <f t="shared" si="24"/>
        <v>29245</v>
      </c>
      <c r="H391" s="2">
        <f t="shared" si="25"/>
        <v>41</v>
      </c>
      <c r="I391" s="17"/>
      <c r="J391" s="25">
        <v>20070921</v>
      </c>
      <c r="K391" s="16">
        <f t="shared" si="26"/>
        <v>39346</v>
      </c>
      <c r="L391" s="2">
        <f t="shared" si="27"/>
        <v>13</v>
      </c>
      <c r="M391" s="25"/>
      <c r="N391" s="26"/>
      <c r="O391" s="27" t="s">
        <v>295</v>
      </c>
      <c r="P391" s="70">
        <v>45111</v>
      </c>
      <c r="Q391" s="70" t="s">
        <v>396</v>
      </c>
      <c r="R391" s="22">
        <v>1</v>
      </c>
      <c r="S391" s="22" t="s">
        <v>679</v>
      </c>
      <c r="T391" s="22">
        <v>1</v>
      </c>
    </row>
    <row r="392" spans="1:20">
      <c r="A392">
        <v>13</v>
      </c>
      <c r="B392" s="21">
        <v>188</v>
      </c>
      <c r="C392" s="22">
        <v>3195</v>
      </c>
      <c r="D392" s="22" t="s">
        <v>59</v>
      </c>
      <c r="E392" s="23" t="s">
        <v>15</v>
      </c>
      <c r="F392" s="24">
        <v>19710710</v>
      </c>
      <c r="G392" s="16">
        <f t="shared" si="24"/>
        <v>26124</v>
      </c>
      <c r="H392" s="2">
        <f t="shared" si="25"/>
        <v>50</v>
      </c>
      <c r="I392" s="17"/>
      <c r="J392" s="25">
        <v>20030321</v>
      </c>
      <c r="K392" s="16">
        <f t="shared" si="26"/>
        <v>37701</v>
      </c>
      <c r="L392" s="2">
        <f t="shared" si="27"/>
        <v>18</v>
      </c>
      <c r="M392" s="25"/>
      <c r="N392" s="26"/>
      <c r="O392" s="27" t="s">
        <v>60</v>
      </c>
      <c r="P392" s="70">
        <v>30000</v>
      </c>
      <c r="Q392" s="70" t="s">
        <v>53</v>
      </c>
      <c r="R392" s="22">
        <v>0</v>
      </c>
      <c r="S392" s="22"/>
      <c r="T392" s="22">
        <v>1</v>
      </c>
    </row>
    <row r="393" spans="1:20">
      <c r="A393">
        <v>1</v>
      </c>
      <c r="B393" s="21">
        <v>436</v>
      </c>
      <c r="C393" s="22">
        <v>3992</v>
      </c>
      <c r="D393" s="22" t="s">
        <v>43</v>
      </c>
      <c r="E393" s="23" t="s">
        <v>15</v>
      </c>
      <c r="F393" s="24">
        <v>19750708</v>
      </c>
      <c r="G393" s="16">
        <f t="shared" si="24"/>
        <v>27583</v>
      </c>
      <c r="H393" s="2">
        <f t="shared" si="25"/>
        <v>46</v>
      </c>
      <c r="I393" s="17"/>
      <c r="J393" s="25">
        <v>20071211</v>
      </c>
      <c r="K393" s="16">
        <f t="shared" si="26"/>
        <v>39427</v>
      </c>
      <c r="L393" s="2">
        <f t="shared" si="27"/>
        <v>13</v>
      </c>
      <c r="M393" s="25"/>
      <c r="N393" s="26"/>
      <c r="O393" s="27" t="s">
        <v>16</v>
      </c>
      <c r="P393" s="70">
        <v>80000</v>
      </c>
      <c r="Q393" s="70" t="s">
        <v>172</v>
      </c>
      <c r="R393" s="22">
        <v>0</v>
      </c>
      <c r="S393" s="22"/>
      <c r="T393" s="22">
        <v>1</v>
      </c>
    </row>
    <row r="394" spans="1:20">
      <c r="A394">
        <v>212</v>
      </c>
      <c r="B394" s="21">
        <v>463</v>
      </c>
      <c r="C394" s="22">
        <v>5165</v>
      </c>
      <c r="D394" s="22" t="s">
        <v>495</v>
      </c>
      <c r="E394" s="23" t="s">
        <v>15</v>
      </c>
      <c r="F394" s="24">
        <v>19710823</v>
      </c>
      <c r="G394" s="16">
        <f t="shared" si="24"/>
        <v>26168</v>
      </c>
      <c r="H394" s="2">
        <f t="shared" si="25"/>
        <v>50</v>
      </c>
      <c r="I394" s="17"/>
      <c r="J394" s="25">
        <v>19880325</v>
      </c>
      <c r="K394" s="16">
        <f t="shared" si="26"/>
        <v>32227</v>
      </c>
      <c r="L394" s="2">
        <f t="shared" si="27"/>
        <v>33</v>
      </c>
      <c r="M394" s="25"/>
      <c r="N394" s="26"/>
      <c r="O394" s="27" t="s">
        <v>105</v>
      </c>
      <c r="P394" s="70">
        <v>69011</v>
      </c>
      <c r="Q394" s="70" t="s">
        <v>489</v>
      </c>
      <c r="R394" s="22">
        <v>1</v>
      </c>
      <c r="S394" s="22" t="s">
        <v>679</v>
      </c>
      <c r="T394" s="22">
        <v>2</v>
      </c>
    </row>
    <row r="395" spans="1:20">
      <c r="A395">
        <v>84</v>
      </c>
      <c r="B395" s="21">
        <v>220</v>
      </c>
      <c r="C395" s="22">
        <v>3273</v>
      </c>
      <c r="D395" s="22" t="s">
        <v>350</v>
      </c>
      <c r="E395" s="23" t="s">
        <v>15</v>
      </c>
      <c r="F395" s="24">
        <v>19850326</v>
      </c>
      <c r="G395" s="16">
        <f t="shared" si="24"/>
        <v>31132</v>
      </c>
      <c r="H395" s="2">
        <f t="shared" si="25"/>
        <v>36</v>
      </c>
      <c r="I395" s="17"/>
      <c r="J395" s="25">
        <v>20071021</v>
      </c>
      <c r="K395" s="16">
        <f t="shared" si="26"/>
        <v>39376</v>
      </c>
      <c r="L395" s="2">
        <f t="shared" si="27"/>
        <v>13</v>
      </c>
      <c r="M395" s="25"/>
      <c r="N395" s="26"/>
      <c r="O395" s="27" t="s">
        <v>16</v>
      </c>
      <c r="P395" s="70">
        <v>43011</v>
      </c>
      <c r="Q395" s="70" t="s">
        <v>349</v>
      </c>
      <c r="R395" s="22">
        <v>1</v>
      </c>
      <c r="S395" s="22" t="s">
        <v>679</v>
      </c>
      <c r="T395" s="22">
        <v>1</v>
      </c>
    </row>
    <row r="396" spans="1:20">
      <c r="A396">
        <v>124</v>
      </c>
      <c r="B396" s="21">
        <v>398</v>
      </c>
      <c r="C396" s="22">
        <v>3900</v>
      </c>
      <c r="D396" s="22" t="s">
        <v>395</v>
      </c>
      <c r="E396" s="23" t="s">
        <v>15</v>
      </c>
      <c r="F396" s="24">
        <v>19640207</v>
      </c>
      <c r="G396" s="16">
        <f t="shared" si="24"/>
        <v>23414</v>
      </c>
      <c r="H396" s="2">
        <f t="shared" si="25"/>
        <v>57</v>
      </c>
      <c r="I396" s="17"/>
      <c r="J396" s="25">
        <v>20011210</v>
      </c>
      <c r="K396" s="16">
        <f t="shared" si="26"/>
        <v>37235</v>
      </c>
      <c r="L396" s="2">
        <f t="shared" si="27"/>
        <v>19</v>
      </c>
      <c r="M396" s="25"/>
      <c r="N396" s="26"/>
      <c r="O396" s="27" t="s">
        <v>35</v>
      </c>
      <c r="P396" s="70">
        <v>45111</v>
      </c>
      <c r="Q396" s="70" t="s">
        <v>396</v>
      </c>
      <c r="R396" s="22">
        <v>0</v>
      </c>
      <c r="S396" s="22"/>
      <c r="T396" s="22">
        <v>1</v>
      </c>
    </row>
    <row r="397" spans="1:20">
      <c r="A397">
        <v>97</v>
      </c>
      <c r="B397" s="21">
        <v>385</v>
      </c>
      <c r="C397" s="22">
        <v>3869</v>
      </c>
      <c r="D397" s="22" t="s">
        <v>166</v>
      </c>
      <c r="E397" s="23" t="s">
        <v>15</v>
      </c>
      <c r="F397" s="24">
        <v>19670329</v>
      </c>
      <c r="G397" s="16">
        <f t="shared" si="24"/>
        <v>24560</v>
      </c>
      <c r="H397" s="2">
        <f t="shared" si="25"/>
        <v>54</v>
      </c>
      <c r="I397" s="17"/>
      <c r="J397" s="25">
        <v>19970321</v>
      </c>
      <c r="K397" s="16">
        <f t="shared" si="26"/>
        <v>35510</v>
      </c>
      <c r="L397" s="2">
        <f t="shared" si="27"/>
        <v>24</v>
      </c>
      <c r="M397" s="25"/>
      <c r="N397" s="26"/>
      <c r="O397" s="27" t="s">
        <v>16</v>
      </c>
      <c r="P397" s="70">
        <v>63000</v>
      </c>
      <c r="Q397" s="70" t="s">
        <v>165</v>
      </c>
      <c r="R397" s="22">
        <v>0</v>
      </c>
      <c r="S397" s="22"/>
      <c r="T397" s="22">
        <v>1</v>
      </c>
    </row>
    <row r="398" spans="1:20">
      <c r="A398">
        <v>75</v>
      </c>
      <c r="B398" s="21">
        <v>401</v>
      </c>
      <c r="C398" s="22">
        <v>3910</v>
      </c>
      <c r="D398" s="22" t="s">
        <v>338</v>
      </c>
      <c r="E398" s="23" t="s">
        <v>15</v>
      </c>
      <c r="F398" s="24">
        <v>19750327</v>
      </c>
      <c r="G398" s="16">
        <f t="shared" si="24"/>
        <v>27480</v>
      </c>
      <c r="H398" s="2">
        <f t="shared" si="25"/>
        <v>46</v>
      </c>
      <c r="I398" s="17"/>
      <c r="J398" s="25">
        <v>20030921</v>
      </c>
      <c r="K398" s="16">
        <f t="shared" si="26"/>
        <v>37885</v>
      </c>
      <c r="L398" s="2">
        <f t="shared" si="27"/>
        <v>17</v>
      </c>
      <c r="M398" s="25"/>
      <c r="N398" s="26"/>
      <c r="O398" s="27" t="s">
        <v>16</v>
      </c>
      <c r="P398" s="70">
        <v>42411</v>
      </c>
      <c r="Q398" s="70" t="s">
        <v>339</v>
      </c>
      <c r="R398" s="22">
        <v>1</v>
      </c>
      <c r="S398" s="22" t="s">
        <v>679</v>
      </c>
      <c r="T398" s="22">
        <v>1</v>
      </c>
    </row>
    <row r="399" spans="1:20">
      <c r="A399">
        <v>41</v>
      </c>
      <c r="B399" s="21">
        <v>145</v>
      </c>
      <c r="C399" s="22">
        <v>3048</v>
      </c>
      <c r="D399" s="22" t="s">
        <v>97</v>
      </c>
      <c r="E399" s="23" t="s">
        <v>15</v>
      </c>
      <c r="F399" s="24">
        <v>19760820</v>
      </c>
      <c r="G399" s="16">
        <f t="shared" si="24"/>
        <v>27992</v>
      </c>
      <c r="H399" s="2">
        <f t="shared" si="25"/>
        <v>45</v>
      </c>
      <c r="I399" s="17"/>
      <c r="J399" s="25">
        <v>19950322</v>
      </c>
      <c r="K399" s="16">
        <f t="shared" si="26"/>
        <v>34780</v>
      </c>
      <c r="L399" s="2">
        <f t="shared" si="27"/>
        <v>26</v>
      </c>
      <c r="M399" s="25"/>
      <c r="N399" s="26"/>
      <c r="O399" s="27" t="s">
        <v>35</v>
      </c>
      <c r="P399" s="70">
        <v>40400</v>
      </c>
      <c r="Q399" s="70" t="s">
        <v>98</v>
      </c>
      <c r="R399" s="22">
        <v>0</v>
      </c>
      <c r="S399" s="22"/>
      <c r="T399" s="22">
        <v>1</v>
      </c>
    </row>
    <row r="400" spans="1:20">
      <c r="A400">
        <v>65</v>
      </c>
      <c r="B400" s="21">
        <v>283</v>
      </c>
      <c r="C400" s="22">
        <v>3398</v>
      </c>
      <c r="D400" s="22" t="s">
        <v>327</v>
      </c>
      <c r="E400" s="23" t="s">
        <v>15</v>
      </c>
      <c r="F400" s="24">
        <v>19950211</v>
      </c>
      <c r="G400" s="16">
        <f t="shared" si="24"/>
        <v>34741</v>
      </c>
      <c r="H400" s="2">
        <f t="shared" si="25"/>
        <v>26</v>
      </c>
      <c r="I400" s="17"/>
      <c r="J400" s="25">
        <v>20130321</v>
      </c>
      <c r="K400" s="16">
        <f t="shared" si="26"/>
        <v>41354</v>
      </c>
      <c r="L400" s="2">
        <f t="shared" si="27"/>
        <v>8</v>
      </c>
      <c r="M400" s="25"/>
      <c r="N400" s="26"/>
      <c r="O400" s="27" t="s">
        <v>35</v>
      </c>
      <c r="P400" s="70">
        <v>42211</v>
      </c>
      <c r="Q400" s="70" t="s">
        <v>318</v>
      </c>
      <c r="R400" s="22">
        <v>1</v>
      </c>
      <c r="S400" s="22" t="s">
        <v>679</v>
      </c>
      <c r="T400" s="22">
        <v>2</v>
      </c>
    </row>
    <row r="401" spans="1:20">
      <c r="A401">
        <v>163</v>
      </c>
      <c r="B401" s="21">
        <v>149</v>
      </c>
      <c r="C401" s="22">
        <v>3056</v>
      </c>
      <c r="D401" s="22" t="s">
        <v>441</v>
      </c>
      <c r="E401" s="23" t="s">
        <v>15</v>
      </c>
      <c r="F401" s="24">
        <v>19761114</v>
      </c>
      <c r="G401" s="16">
        <f t="shared" si="24"/>
        <v>28078</v>
      </c>
      <c r="H401" s="2">
        <f t="shared" si="25"/>
        <v>44</v>
      </c>
      <c r="I401" s="17"/>
      <c r="J401" s="25">
        <v>19950322</v>
      </c>
      <c r="K401" s="16">
        <f t="shared" si="26"/>
        <v>34780</v>
      </c>
      <c r="L401" s="2">
        <f t="shared" si="27"/>
        <v>26</v>
      </c>
      <c r="M401" s="25"/>
      <c r="N401" s="26"/>
      <c r="O401" s="27" t="s">
        <v>35</v>
      </c>
      <c r="P401" s="70">
        <v>65011</v>
      </c>
      <c r="Q401" s="70" t="s">
        <v>433</v>
      </c>
      <c r="R401" s="22">
        <v>1</v>
      </c>
      <c r="S401" s="22" t="s">
        <v>679</v>
      </c>
      <c r="T401" s="22">
        <v>2</v>
      </c>
    </row>
    <row r="402" spans="1:20">
      <c r="A402">
        <v>100</v>
      </c>
      <c r="B402" s="21">
        <v>444</v>
      </c>
      <c r="C402" s="22">
        <v>5010</v>
      </c>
      <c r="D402" s="22" t="s">
        <v>367</v>
      </c>
      <c r="E402" s="23" t="s">
        <v>15</v>
      </c>
      <c r="F402" s="24">
        <v>19640701</v>
      </c>
      <c r="G402" s="16">
        <f t="shared" si="24"/>
        <v>23559</v>
      </c>
      <c r="H402" s="2">
        <f t="shared" si="25"/>
        <v>57</v>
      </c>
      <c r="I402" s="17"/>
      <c r="J402" s="25">
        <v>19800325</v>
      </c>
      <c r="K402" s="16">
        <f t="shared" si="26"/>
        <v>29305</v>
      </c>
      <c r="L402" s="2">
        <f t="shared" si="27"/>
        <v>41</v>
      </c>
      <c r="M402" s="25"/>
      <c r="N402" s="26"/>
      <c r="O402" s="27" t="s">
        <v>77</v>
      </c>
      <c r="P402" s="70">
        <v>43211</v>
      </c>
      <c r="Q402" s="70" t="s">
        <v>364</v>
      </c>
      <c r="R402" s="22">
        <v>1</v>
      </c>
      <c r="S402" s="22" t="s">
        <v>679</v>
      </c>
      <c r="T402" s="22">
        <v>2</v>
      </c>
    </row>
    <row r="403" spans="1:20">
      <c r="A403">
        <v>107</v>
      </c>
      <c r="B403" s="21">
        <v>287</v>
      </c>
      <c r="C403" s="22">
        <v>3407</v>
      </c>
      <c r="D403" s="22" t="s">
        <v>374</v>
      </c>
      <c r="E403" s="23" t="s">
        <v>15</v>
      </c>
      <c r="F403" s="24">
        <v>19940818</v>
      </c>
      <c r="G403" s="16">
        <f t="shared" si="24"/>
        <v>34564</v>
      </c>
      <c r="H403" s="2">
        <f t="shared" si="25"/>
        <v>27</v>
      </c>
      <c r="I403" s="17"/>
      <c r="J403" s="25">
        <v>20130321</v>
      </c>
      <c r="K403" s="16">
        <f t="shared" si="26"/>
        <v>41354</v>
      </c>
      <c r="L403" s="2">
        <f t="shared" si="27"/>
        <v>8</v>
      </c>
      <c r="M403" s="25"/>
      <c r="N403" s="26"/>
      <c r="O403" s="27" t="s">
        <v>35</v>
      </c>
      <c r="P403" s="70">
        <v>43211</v>
      </c>
      <c r="Q403" s="70" t="s">
        <v>364</v>
      </c>
      <c r="R403" s="22">
        <v>1</v>
      </c>
      <c r="S403" s="22" t="s">
        <v>679</v>
      </c>
      <c r="T403" s="22">
        <v>2</v>
      </c>
    </row>
    <row r="404" spans="1:20">
      <c r="A404">
        <v>139</v>
      </c>
      <c r="B404" s="21">
        <v>299</v>
      </c>
      <c r="C404" s="22">
        <v>3429</v>
      </c>
      <c r="D404" s="22" t="s">
        <v>209</v>
      </c>
      <c r="E404" s="23" t="s">
        <v>15</v>
      </c>
      <c r="F404" s="24">
        <v>19921212</v>
      </c>
      <c r="G404" s="16">
        <f t="shared" si="24"/>
        <v>33950</v>
      </c>
      <c r="H404" s="2">
        <f t="shared" si="25"/>
        <v>28</v>
      </c>
      <c r="I404" s="17"/>
      <c r="J404" s="25">
        <v>20150401</v>
      </c>
      <c r="K404" s="16">
        <f t="shared" si="26"/>
        <v>42095</v>
      </c>
      <c r="L404" s="2">
        <f t="shared" si="27"/>
        <v>6</v>
      </c>
      <c r="M404" s="25"/>
      <c r="N404" s="26"/>
      <c r="O404" s="27" t="s">
        <v>16</v>
      </c>
      <c r="P404" s="70">
        <v>80000</v>
      </c>
      <c r="Q404" s="70" t="s">
        <v>172</v>
      </c>
      <c r="R404" s="22">
        <v>0</v>
      </c>
      <c r="S404" s="22"/>
      <c r="T404" s="22">
        <v>2</v>
      </c>
    </row>
    <row r="405" spans="1:20">
      <c r="A405">
        <v>144</v>
      </c>
      <c r="B405" s="21">
        <v>350</v>
      </c>
      <c r="C405" s="22">
        <v>3499</v>
      </c>
      <c r="D405" s="22" t="s">
        <v>214</v>
      </c>
      <c r="E405" s="23" t="s">
        <v>15</v>
      </c>
      <c r="F405" s="24">
        <v>19961008</v>
      </c>
      <c r="G405" s="16">
        <f t="shared" si="24"/>
        <v>35346</v>
      </c>
      <c r="H405" s="2">
        <f t="shared" si="25"/>
        <v>24</v>
      </c>
      <c r="I405" s="17"/>
      <c r="J405" s="25">
        <v>20190401</v>
      </c>
      <c r="K405" s="16">
        <f t="shared" si="26"/>
        <v>43556</v>
      </c>
      <c r="L405" s="2">
        <f t="shared" si="27"/>
        <v>2</v>
      </c>
      <c r="M405" s="25"/>
      <c r="N405" s="26"/>
      <c r="O405" s="27">
        <v>8</v>
      </c>
      <c r="P405" s="70">
        <v>80000</v>
      </c>
      <c r="Q405" s="70" t="s">
        <v>172</v>
      </c>
      <c r="R405" s="22">
        <v>0</v>
      </c>
      <c r="S405" s="22"/>
      <c r="T405" s="22">
        <v>2</v>
      </c>
    </row>
    <row r="406" spans="1:20">
      <c r="A406">
        <v>106</v>
      </c>
      <c r="B406" s="21">
        <v>267</v>
      </c>
      <c r="C406" s="22">
        <v>3368</v>
      </c>
      <c r="D406" s="22" t="s">
        <v>373</v>
      </c>
      <c r="E406" s="23" t="s">
        <v>15</v>
      </c>
      <c r="F406" s="24">
        <v>19931123</v>
      </c>
      <c r="G406" s="16">
        <f t="shared" si="24"/>
        <v>34296</v>
      </c>
      <c r="H406" s="2">
        <f t="shared" si="25"/>
        <v>27</v>
      </c>
      <c r="I406" s="17"/>
      <c r="J406" s="25">
        <v>20120321</v>
      </c>
      <c r="K406" s="16">
        <f t="shared" si="26"/>
        <v>40989</v>
      </c>
      <c r="L406" s="2">
        <f t="shared" si="27"/>
        <v>9</v>
      </c>
      <c r="M406" s="25"/>
      <c r="N406" s="26"/>
      <c r="O406" s="27" t="s">
        <v>35</v>
      </c>
      <c r="P406" s="70">
        <v>43211</v>
      </c>
      <c r="Q406" s="70" t="s">
        <v>364</v>
      </c>
      <c r="R406" s="22">
        <v>1</v>
      </c>
      <c r="S406" s="22" t="s">
        <v>679</v>
      </c>
      <c r="T406" s="22">
        <v>2</v>
      </c>
    </row>
    <row r="407" spans="1:20">
      <c r="A407">
        <v>160</v>
      </c>
      <c r="B407" s="21">
        <v>47</v>
      </c>
      <c r="C407" s="22">
        <v>1392</v>
      </c>
      <c r="D407" s="22" t="s">
        <v>438</v>
      </c>
      <c r="E407" s="23" t="s">
        <v>15</v>
      </c>
      <c r="F407" s="24">
        <v>19950922</v>
      </c>
      <c r="G407" s="16">
        <f t="shared" si="24"/>
        <v>34964</v>
      </c>
      <c r="H407" s="2">
        <f t="shared" si="25"/>
        <v>25</v>
      </c>
      <c r="I407" s="17"/>
      <c r="J407" s="25">
        <v>20141201</v>
      </c>
      <c r="K407" s="16">
        <f t="shared" si="26"/>
        <v>41974</v>
      </c>
      <c r="L407" s="2">
        <f t="shared" si="27"/>
        <v>6</v>
      </c>
      <c r="M407" s="25"/>
      <c r="N407" s="26"/>
      <c r="O407" s="27" t="s">
        <v>35</v>
      </c>
      <c r="P407" s="70">
        <v>65011</v>
      </c>
      <c r="Q407" s="70" t="s">
        <v>433</v>
      </c>
      <c r="R407" s="22">
        <v>1</v>
      </c>
      <c r="S407" s="22" t="s">
        <v>679</v>
      </c>
      <c r="T407" s="22">
        <v>1</v>
      </c>
    </row>
    <row r="408" spans="1:20">
      <c r="A408">
        <v>136</v>
      </c>
      <c r="B408" s="21">
        <v>322</v>
      </c>
      <c r="C408" s="22">
        <v>3459</v>
      </c>
      <c r="D408" s="22" t="s">
        <v>408</v>
      </c>
      <c r="E408" s="23" t="s">
        <v>15</v>
      </c>
      <c r="F408" s="24">
        <v>19970406</v>
      </c>
      <c r="G408" s="16">
        <f t="shared" si="24"/>
        <v>35526</v>
      </c>
      <c r="H408" s="2">
        <f t="shared" si="25"/>
        <v>24</v>
      </c>
      <c r="I408" s="17"/>
      <c r="J408" s="25">
        <v>20160401</v>
      </c>
      <c r="K408" s="16">
        <f t="shared" si="26"/>
        <v>42461</v>
      </c>
      <c r="L408" s="2">
        <f t="shared" si="27"/>
        <v>5</v>
      </c>
      <c r="M408" s="25"/>
      <c r="N408" s="26"/>
      <c r="O408" s="27" t="s">
        <v>35</v>
      </c>
      <c r="P408" s="70">
        <v>45111</v>
      </c>
      <c r="Q408" s="70" t="s">
        <v>396</v>
      </c>
      <c r="R408" s="22">
        <v>1</v>
      </c>
      <c r="S408" s="22" t="s">
        <v>679</v>
      </c>
      <c r="T408" s="22">
        <v>2</v>
      </c>
    </row>
    <row r="409" spans="1:20">
      <c r="A409">
        <v>192</v>
      </c>
      <c r="B409" s="21">
        <v>34</v>
      </c>
      <c r="C409" s="22">
        <v>1370</v>
      </c>
      <c r="D409" s="22" t="s">
        <v>472</v>
      </c>
      <c r="E409" s="23" t="s">
        <v>15</v>
      </c>
      <c r="F409" s="24">
        <v>19760105</v>
      </c>
      <c r="G409" s="16">
        <f t="shared" si="24"/>
        <v>27764</v>
      </c>
      <c r="H409" s="2">
        <f t="shared" si="25"/>
        <v>45</v>
      </c>
      <c r="I409" s="17"/>
      <c r="J409" s="25">
        <v>20110121</v>
      </c>
      <c r="K409" s="16">
        <f t="shared" si="26"/>
        <v>40564</v>
      </c>
      <c r="L409" s="2">
        <f t="shared" si="27"/>
        <v>10</v>
      </c>
      <c r="M409" s="25"/>
      <c r="N409" s="26"/>
      <c r="O409" s="27" t="s">
        <v>35</v>
      </c>
      <c r="P409" s="70">
        <v>67011</v>
      </c>
      <c r="Q409" s="70" t="s">
        <v>466</v>
      </c>
      <c r="R409" s="22">
        <v>1</v>
      </c>
      <c r="S409" s="22" t="s">
        <v>679</v>
      </c>
      <c r="T409" s="22">
        <v>2</v>
      </c>
    </row>
    <row r="410" spans="1:20">
      <c r="A410">
        <v>195</v>
      </c>
      <c r="B410" s="21">
        <v>158</v>
      </c>
      <c r="C410" s="22">
        <v>3102</v>
      </c>
      <c r="D410" s="22" t="s">
        <v>475</v>
      </c>
      <c r="E410" s="23" t="s">
        <v>15</v>
      </c>
      <c r="F410" s="24">
        <v>19760309</v>
      </c>
      <c r="G410" s="16">
        <f t="shared" si="24"/>
        <v>27828</v>
      </c>
      <c r="H410" s="2">
        <f t="shared" si="25"/>
        <v>45</v>
      </c>
      <c r="I410" s="17"/>
      <c r="J410" s="25">
        <v>19960321</v>
      </c>
      <c r="K410" s="16">
        <f t="shared" si="26"/>
        <v>35145</v>
      </c>
      <c r="L410" s="2">
        <f t="shared" si="27"/>
        <v>25</v>
      </c>
      <c r="M410" s="25"/>
      <c r="N410" s="26"/>
      <c r="O410" s="27" t="s">
        <v>19</v>
      </c>
      <c r="P410" s="70">
        <v>67211</v>
      </c>
      <c r="Q410" s="70" t="s">
        <v>476</v>
      </c>
      <c r="R410" s="22">
        <v>1</v>
      </c>
      <c r="S410" s="22" t="s">
        <v>679</v>
      </c>
      <c r="T410" s="22">
        <v>1</v>
      </c>
    </row>
    <row r="411" spans="1:20">
      <c r="A411">
        <v>8</v>
      </c>
      <c r="B411" s="21">
        <v>42</v>
      </c>
      <c r="C411" s="22">
        <v>1386</v>
      </c>
      <c r="D411" s="22" t="s">
        <v>52</v>
      </c>
      <c r="E411" s="23" t="s">
        <v>15</v>
      </c>
      <c r="F411" s="24">
        <v>19810623</v>
      </c>
      <c r="G411" s="16">
        <f t="shared" si="24"/>
        <v>29760</v>
      </c>
      <c r="H411" s="2">
        <f t="shared" si="25"/>
        <v>40</v>
      </c>
      <c r="I411" s="17"/>
      <c r="J411" s="25">
        <v>20131021</v>
      </c>
      <c r="K411" s="16">
        <f t="shared" si="26"/>
        <v>41568</v>
      </c>
      <c r="L411" s="2">
        <f t="shared" si="27"/>
        <v>7</v>
      </c>
      <c r="M411" s="25"/>
      <c r="N411" s="26"/>
      <c r="O411" s="27" t="s">
        <v>16</v>
      </c>
      <c r="P411" s="70">
        <v>30000</v>
      </c>
      <c r="Q411" s="70" t="s">
        <v>53</v>
      </c>
      <c r="R411" s="22">
        <v>0</v>
      </c>
      <c r="S411" s="22"/>
      <c r="T411" s="22">
        <v>1</v>
      </c>
    </row>
    <row r="412" spans="1:20">
      <c r="A412">
        <v>6</v>
      </c>
      <c r="B412" s="21">
        <v>294</v>
      </c>
      <c r="C412" s="22">
        <v>3415</v>
      </c>
      <c r="D412" s="22" t="s">
        <v>22</v>
      </c>
      <c r="E412" s="23" t="s">
        <v>15</v>
      </c>
      <c r="F412" s="24">
        <v>19890705</v>
      </c>
      <c r="G412" s="16">
        <f t="shared" si="24"/>
        <v>32694</v>
      </c>
      <c r="H412" s="2">
        <f t="shared" si="25"/>
        <v>32</v>
      </c>
      <c r="I412" s="17"/>
      <c r="J412" s="25">
        <v>20140321</v>
      </c>
      <c r="K412" s="16">
        <f t="shared" si="26"/>
        <v>41719</v>
      </c>
      <c r="L412" s="2">
        <f t="shared" si="27"/>
        <v>7</v>
      </c>
      <c r="M412" s="25"/>
      <c r="N412" s="26"/>
      <c r="O412" s="27" t="s">
        <v>16</v>
      </c>
      <c r="P412" s="70">
        <v>1100</v>
      </c>
      <c r="Q412" s="70" t="s">
        <v>13</v>
      </c>
      <c r="R412" s="22">
        <v>0</v>
      </c>
      <c r="S412" s="22"/>
      <c r="T412" s="22">
        <v>1</v>
      </c>
    </row>
    <row r="413" spans="1:20">
      <c r="A413">
        <v>183</v>
      </c>
      <c r="B413" s="21">
        <v>56</v>
      </c>
      <c r="C413" s="22">
        <v>1402</v>
      </c>
      <c r="D413" s="22" t="s">
        <v>462</v>
      </c>
      <c r="E413" s="23" t="s">
        <v>15</v>
      </c>
      <c r="F413" s="24">
        <v>19901031</v>
      </c>
      <c r="G413" s="16">
        <f t="shared" si="24"/>
        <v>33177</v>
      </c>
      <c r="H413" s="2">
        <f t="shared" si="25"/>
        <v>30</v>
      </c>
      <c r="I413" s="17"/>
      <c r="J413" s="25">
        <v>20190501</v>
      </c>
      <c r="K413" s="16">
        <f t="shared" si="26"/>
        <v>43586</v>
      </c>
      <c r="L413" s="2">
        <f t="shared" si="27"/>
        <v>2</v>
      </c>
      <c r="M413" s="25"/>
      <c r="N413" s="26"/>
      <c r="O413" s="27">
        <v>6</v>
      </c>
      <c r="P413" s="70">
        <v>66011</v>
      </c>
      <c r="Q413" s="70" t="s">
        <v>449</v>
      </c>
      <c r="R413" s="22">
        <v>1</v>
      </c>
      <c r="S413" s="22" t="s">
        <v>679</v>
      </c>
      <c r="T413" s="22">
        <v>2</v>
      </c>
    </row>
    <row r="414" spans="1:20">
      <c r="A414">
        <v>47</v>
      </c>
      <c r="B414" s="21">
        <v>139</v>
      </c>
      <c r="C414" s="22">
        <v>3027</v>
      </c>
      <c r="D414" s="22" t="s">
        <v>308</v>
      </c>
      <c r="E414" s="23" t="s">
        <v>15</v>
      </c>
      <c r="F414" s="24">
        <v>19730214</v>
      </c>
      <c r="G414" s="16">
        <f t="shared" si="24"/>
        <v>26709</v>
      </c>
      <c r="H414" s="2">
        <f t="shared" si="25"/>
        <v>48</v>
      </c>
      <c r="I414" s="17"/>
      <c r="J414" s="25">
        <v>19950322</v>
      </c>
      <c r="K414" s="16">
        <f t="shared" si="26"/>
        <v>34780</v>
      </c>
      <c r="L414" s="2">
        <f t="shared" si="27"/>
        <v>26</v>
      </c>
      <c r="M414" s="25"/>
      <c r="N414" s="26"/>
      <c r="O414" s="27" t="s">
        <v>16</v>
      </c>
      <c r="P414" s="70">
        <v>42111</v>
      </c>
      <c r="Q414" s="70" t="s">
        <v>305</v>
      </c>
      <c r="R414" s="22">
        <v>1</v>
      </c>
      <c r="S414" s="22" t="s">
        <v>679</v>
      </c>
      <c r="T414" s="22">
        <v>2</v>
      </c>
    </row>
    <row r="415" spans="1:20">
      <c r="A415">
        <v>56</v>
      </c>
      <c r="B415" s="21">
        <v>85</v>
      </c>
      <c r="C415" s="22">
        <v>2735</v>
      </c>
      <c r="D415" s="22" t="s">
        <v>116</v>
      </c>
      <c r="E415" s="23" t="s">
        <v>15</v>
      </c>
      <c r="F415" s="24">
        <v>19661003</v>
      </c>
      <c r="G415" s="16">
        <f t="shared" si="24"/>
        <v>24383</v>
      </c>
      <c r="H415" s="2">
        <f t="shared" si="25"/>
        <v>54</v>
      </c>
      <c r="I415" s="17"/>
      <c r="J415" s="25">
        <v>19850325</v>
      </c>
      <c r="K415" s="16">
        <f t="shared" si="26"/>
        <v>31131</v>
      </c>
      <c r="L415" s="2">
        <f t="shared" si="27"/>
        <v>36</v>
      </c>
      <c r="M415" s="25"/>
      <c r="N415" s="26"/>
      <c r="O415" s="27" t="s">
        <v>35</v>
      </c>
      <c r="P415" s="70">
        <v>44200</v>
      </c>
      <c r="Q415" s="70" t="s">
        <v>114</v>
      </c>
      <c r="R415" s="22">
        <v>0</v>
      </c>
      <c r="S415" s="22"/>
      <c r="T415" s="22">
        <v>2</v>
      </c>
    </row>
    <row r="416" spans="1:20">
      <c r="A416">
        <v>143</v>
      </c>
      <c r="B416" s="21">
        <v>342</v>
      </c>
      <c r="C416" s="22">
        <v>3488</v>
      </c>
      <c r="D416" s="22" t="s">
        <v>213</v>
      </c>
      <c r="E416" s="23" t="s">
        <v>15</v>
      </c>
      <c r="F416" s="24">
        <v>19950323</v>
      </c>
      <c r="G416" s="16">
        <f t="shared" si="24"/>
        <v>34781</v>
      </c>
      <c r="H416" s="2">
        <f t="shared" si="25"/>
        <v>26</v>
      </c>
      <c r="I416" s="17"/>
      <c r="J416" s="25">
        <v>20180402</v>
      </c>
      <c r="K416" s="16">
        <f t="shared" si="26"/>
        <v>43192</v>
      </c>
      <c r="L416" s="2">
        <f t="shared" si="27"/>
        <v>3</v>
      </c>
      <c r="M416" s="25"/>
      <c r="N416" s="26"/>
      <c r="O416" s="27">
        <v>8</v>
      </c>
      <c r="P416" s="70">
        <v>80000</v>
      </c>
      <c r="Q416" s="70" t="s">
        <v>172</v>
      </c>
      <c r="R416" s="22">
        <v>0</v>
      </c>
      <c r="S416" s="22"/>
      <c r="T416" s="22">
        <v>2</v>
      </c>
    </row>
    <row r="417" spans="1:20">
      <c r="A417">
        <v>43</v>
      </c>
      <c r="B417" s="21">
        <v>95</v>
      </c>
      <c r="C417" s="22">
        <v>2805</v>
      </c>
      <c r="D417" s="22" t="s">
        <v>100</v>
      </c>
      <c r="E417" s="23" t="s">
        <v>15</v>
      </c>
      <c r="F417" s="24">
        <v>19681129</v>
      </c>
      <c r="G417" s="16">
        <f t="shared" si="24"/>
        <v>25171</v>
      </c>
      <c r="H417" s="2">
        <f t="shared" si="25"/>
        <v>52</v>
      </c>
      <c r="I417" s="17"/>
      <c r="J417" s="25">
        <v>19870326</v>
      </c>
      <c r="K417" s="16">
        <f t="shared" si="26"/>
        <v>31862</v>
      </c>
      <c r="L417" s="2">
        <f t="shared" si="27"/>
        <v>34</v>
      </c>
      <c r="M417" s="25"/>
      <c r="N417" s="26"/>
      <c r="O417" s="27" t="s">
        <v>35</v>
      </c>
      <c r="P417" s="70">
        <v>40400</v>
      </c>
      <c r="Q417" s="70" t="s">
        <v>98</v>
      </c>
      <c r="R417" s="22">
        <v>0</v>
      </c>
      <c r="S417" s="22"/>
      <c r="T417" s="22">
        <v>2</v>
      </c>
    </row>
    <row r="418" spans="1:20">
      <c r="A418">
        <v>45</v>
      </c>
      <c r="B418" s="21">
        <v>141</v>
      </c>
      <c r="C418" s="22">
        <v>3032</v>
      </c>
      <c r="D418" s="22" t="s">
        <v>306</v>
      </c>
      <c r="E418" s="23" t="s">
        <v>15</v>
      </c>
      <c r="F418" s="24">
        <v>19750320</v>
      </c>
      <c r="G418" s="16">
        <f t="shared" si="24"/>
        <v>27473</v>
      </c>
      <c r="H418" s="2">
        <f t="shared" si="25"/>
        <v>46</v>
      </c>
      <c r="I418" s="17"/>
      <c r="J418" s="25">
        <v>19950322</v>
      </c>
      <c r="K418" s="16">
        <f t="shared" si="26"/>
        <v>34780</v>
      </c>
      <c r="L418" s="2">
        <f t="shared" si="27"/>
        <v>26</v>
      </c>
      <c r="M418" s="25"/>
      <c r="N418" s="26"/>
      <c r="O418" s="27" t="s">
        <v>19</v>
      </c>
      <c r="P418" s="70">
        <v>43311</v>
      </c>
      <c r="Q418" s="70" t="s">
        <v>377</v>
      </c>
      <c r="R418" s="22">
        <v>1</v>
      </c>
      <c r="S418" s="22" t="s">
        <v>679</v>
      </c>
      <c r="T418" s="22">
        <v>1</v>
      </c>
    </row>
    <row r="419" spans="1:20">
      <c r="A419">
        <v>147</v>
      </c>
      <c r="B419" s="21">
        <v>120</v>
      </c>
      <c r="C419" s="22">
        <v>2962</v>
      </c>
      <c r="D419" s="22" t="s">
        <v>217</v>
      </c>
      <c r="E419" s="23" t="s">
        <v>15</v>
      </c>
      <c r="F419" s="24">
        <v>19700502</v>
      </c>
      <c r="G419" s="16">
        <f t="shared" si="24"/>
        <v>25690</v>
      </c>
      <c r="H419" s="2">
        <f t="shared" si="25"/>
        <v>51</v>
      </c>
      <c r="I419" s="17"/>
      <c r="J419" s="25">
        <v>19940322</v>
      </c>
      <c r="K419" s="16">
        <f t="shared" si="26"/>
        <v>34415</v>
      </c>
      <c r="L419" s="2">
        <f t="shared" si="27"/>
        <v>27</v>
      </c>
      <c r="M419" s="25"/>
      <c r="N419" s="26"/>
      <c r="O419" s="27" t="s">
        <v>16</v>
      </c>
      <c r="P419" s="70">
        <v>90000</v>
      </c>
      <c r="Q419" s="70" t="s">
        <v>218</v>
      </c>
      <c r="R419" s="22">
        <v>0</v>
      </c>
      <c r="S419" s="22"/>
      <c r="T419" s="22">
        <v>1</v>
      </c>
    </row>
    <row r="420" spans="1:20">
      <c r="A420">
        <v>104</v>
      </c>
      <c r="B420" s="21">
        <v>2</v>
      </c>
      <c r="C420" s="22">
        <v>1266</v>
      </c>
      <c r="D420" s="22" t="s">
        <v>174</v>
      </c>
      <c r="E420" s="23" t="s">
        <v>15</v>
      </c>
      <c r="F420" s="24">
        <v>19690124</v>
      </c>
      <c r="G420" s="16">
        <f t="shared" si="24"/>
        <v>25227</v>
      </c>
      <c r="H420" s="2">
        <f t="shared" si="25"/>
        <v>52</v>
      </c>
      <c r="I420" s="17"/>
      <c r="J420" s="25">
        <v>19901205</v>
      </c>
      <c r="K420" s="16">
        <f t="shared" si="26"/>
        <v>33212</v>
      </c>
      <c r="L420" s="2">
        <f t="shared" si="27"/>
        <v>30</v>
      </c>
      <c r="M420" s="25"/>
      <c r="N420" s="26"/>
      <c r="O420" s="27" t="s">
        <v>35</v>
      </c>
      <c r="P420" s="70">
        <v>80000</v>
      </c>
      <c r="Q420" s="70" t="s">
        <v>172</v>
      </c>
      <c r="R420" s="22">
        <v>0</v>
      </c>
      <c r="S420" s="22"/>
      <c r="T420" s="22">
        <v>1</v>
      </c>
    </row>
    <row r="421" spans="1:20">
      <c r="A421">
        <v>157</v>
      </c>
      <c r="B421" s="21">
        <v>466</v>
      </c>
      <c r="C421" s="22">
        <v>5249</v>
      </c>
      <c r="D421" s="22" t="s">
        <v>435</v>
      </c>
      <c r="E421" s="23" t="s">
        <v>15</v>
      </c>
      <c r="F421" s="24">
        <v>19760604</v>
      </c>
      <c r="G421" s="16">
        <f t="shared" si="24"/>
        <v>27915</v>
      </c>
      <c r="H421" s="2">
        <f t="shared" si="25"/>
        <v>45</v>
      </c>
      <c r="I421" s="17"/>
      <c r="J421" s="25">
        <v>19940330</v>
      </c>
      <c r="K421" s="16">
        <f t="shared" si="26"/>
        <v>34423</v>
      </c>
      <c r="L421" s="2">
        <f t="shared" si="27"/>
        <v>27</v>
      </c>
      <c r="M421" s="25"/>
      <c r="N421" s="26"/>
      <c r="O421" s="27" t="s">
        <v>345</v>
      </c>
      <c r="P421" s="70">
        <v>65011</v>
      </c>
      <c r="Q421" s="70" t="s">
        <v>433</v>
      </c>
      <c r="R421" s="22">
        <v>1</v>
      </c>
      <c r="S421" s="22" t="s">
        <v>679</v>
      </c>
      <c r="T421" s="22">
        <v>1</v>
      </c>
    </row>
    <row r="422" spans="1:20">
      <c r="A422">
        <v>145</v>
      </c>
      <c r="B422" s="21">
        <v>417</v>
      </c>
      <c r="C422" s="22">
        <v>3957</v>
      </c>
      <c r="D422" s="22" t="s">
        <v>419</v>
      </c>
      <c r="E422" s="23" t="s">
        <v>15</v>
      </c>
      <c r="F422" s="24">
        <v>19661203</v>
      </c>
      <c r="G422" s="16">
        <f t="shared" si="24"/>
        <v>24444</v>
      </c>
      <c r="H422" s="2">
        <f t="shared" si="25"/>
        <v>54</v>
      </c>
      <c r="I422" s="17"/>
      <c r="J422" s="25">
        <v>20070613</v>
      </c>
      <c r="K422" s="16">
        <f t="shared" si="26"/>
        <v>39246</v>
      </c>
      <c r="L422" s="2">
        <f t="shared" si="27"/>
        <v>14</v>
      </c>
      <c r="M422" s="25"/>
      <c r="N422" s="26"/>
      <c r="O422" s="27" t="s">
        <v>35</v>
      </c>
      <c r="P422" s="70">
        <v>64011</v>
      </c>
      <c r="Q422" s="70" t="s">
        <v>416</v>
      </c>
      <c r="R422" s="22">
        <v>1</v>
      </c>
      <c r="S422" s="22" t="s">
        <v>679</v>
      </c>
      <c r="T422" s="22">
        <v>2</v>
      </c>
    </row>
    <row r="423" spans="1:20">
      <c r="A423">
        <v>58</v>
      </c>
      <c r="B423" s="21">
        <v>24</v>
      </c>
      <c r="C423" s="22">
        <v>1350</v>
      </c>
      <c r="D423" s="22" t="s">
        <v>118</v>
      </c>
      <c r="E423" s="23" t="s">
        <v>15</v>
      </c>
      <c r="F423" s="24">
        <v>19850331</v>
      </c>
      <c r="G423" s="16">
        <f t="shared" si="24"/>
        <v>31137</v>
      </c>
      <c r="H423" s="2">
        <f t="shared" si="25"/>
        <v>36</v>
      </c>
      <c r="I423" s="17"/>
      <c r="J423" s="25">
        <v>20080407</v>
      </c>
      <c r="K423" s="16">
        <f t="shared" si="26"/>
        <v>39545</v>
      </c>
      <c r="L423" s="2">
        <f t="shared" si="27"/>
        <v>13</v>
      </c>
      <c r="M423" s="25"/>
      <c r="N423" s="26"/>
      <c r="O423" s="27" t="s">
        <v>35</v>
      </c>
      <c r="P423" s="70">
        <v>44200</v>
      </c>
      <c r="Q423" s="70" t="s">
        <v>114</v>
      </c>
      <c r="R423" s="22">
        <v>0</v>
      </c>
      <c r="S423" s="22"/>
      <c r="T423" s="22">
        <v>2</v>
      </c>
    </row>
    <row r="424" spans="1:20">
      <c r="A424">
        <v>140</v>
      </c>
      <c r="B424" s="21">
        <v>93</v>
      </c>
      <c r="C424" s="22">
        <v>2777</v>
      </c>
      <c r="D424" s="22" t="s">
        <v>413</v>
      </c>
      <c r="E424" s="23" t="s">
        <v>15</v>
      </c>
      <c r="F424" s="24">
        <v>19670803</v>
      </c>
      <c r="G424" s="16">
        <f t="shared" si="24"/>
        <v>24687</v>
      </c>
      <c r="H424" s="2">
        <f t="shared" si="25"/>
        <v>54</v>
      </c>
      <c r="I424" s="17"/>
      <c r="J424" s="25">
        <v>19860326</v>
      </c>
      <c r="K424" s="16">
        <f t="shared" si="26"/>
        <v>31497</v>
      </c>
      <c r="L424" s="2">
        <f t="shared" si="27"/>
        <v>35</v>
      </c>
      <c r="M424" s="25"/>
      <c r="N424" s="26"/>
      <c r="O424" s="27" t="s">
        <v>35</v>
      </c>
      <c r="P424" s="70">
        <v>60411</v>
      </c>
      <c r="Q424" s="70" t="s">
        <v>411</v>
      </c>
      <c r="R424" s="22">
        <v>0</v>
      </c>
      <c r="S424" s="155"/>
      <c r="T424" s="22">
        <v>2</v>
      </c>
    </row>
    <row r="425" spans="1:20">
      <c r="A425">
        <v>129</v>
      </c>
      <c r="B425" s="21">
        <v>429</v>
      </c>
      <c r="C425" s="22">
        <v>3980</v>
      </c>
      <c r="D425" s="22" t="s">
        <v>401</v>
      </c>
      <c r="E425" s="23" t="s">
        <v>15</v>
      </c>
      <c r="F425" s="24">
        <v>19710502</v>
      </c>
      <c r="G425" s="16">
        <f t="shared" si="24"/>
        <v>26055</v>
      </c>
      <c r="H425" s="2">
        <f t="shared" si="25"/>
        <v>50</v>
      </c>
      <c r="I425" s="17"/>
      <c r="J425" s="25">
        <v>20070921</v>
      </c>
      <c r="K425" s="16">
        <f t="shared" si="26"/>
        <v>39346</v>
      </c>
      <c r="L425" s="2">
        <f t="shared" si="27"/>
        <v>13</v>
      </c>
      <c r="M425" s="25"/>
      <c r="N425" s="26"/>
      <c r="O425" s="27" t="s">
        <v>19</v>
      </c>
      <c r="P425" s="70">
        <v>45111</v>
      </c>
      <c r="Q425" s="70" t="s">
        <v>396</v>
      </c>
      <c r="R425" s="22">
        <v>1</v>
      </c>
      <c r="S425" s="22" t="s">
        <v>679</v>
      </c>
      <c r="T425" s="22">
        <v>2</v>
      </c>
    </row>
    <row r="426" spans="1:20">
      <c r="A426">
        <v>114</v>
      </c>
      <c r="B426" s="21">
        <v>89</v>
      </c>
      <c r="C426" s="22">
        <v>2761</v>
      </c>
      <c r="D426" s="22" t="s">
        <v>184</v>
      </c>
      <c r="E426" s="23" t="s">
        <v>15</v>
      </c>
      <c r="F426" s="24">
        <v>19640122</v>
      </c>
      <c r="G426" s="16">
        <f t="shared" si="24"/>
        <v>23398</v>
      </c>
      <c r="H426" s="2">
        <f t="shared" si="25"/>
        <v>57</v>
      </c>
      <c r="I426" s="17"/>
      <c r="J426" s="25">
        <v>19860326</v>
      </c>
      <c r="K426" s="16">
        <f t="shared" si="26"/>
        <v>31497</v>
      </c>
      <c r="L426" s="2">
        <f t="shared" si="27"/>
        <v>35</v>
      </c>
      <c r="M426" s="25"/>
      <c r="N426" s="26"/>
      <c r="O426" s="27" t="s">
        <v>16</v>
      </c>
      <c r="P426" s="70">
        <v>80000</v>
      </c>
      <c r="Q426" s="70" t="s">
        <v>172</v>
      </c>
      <c r="R426" s="22">
        <v>0</v>
      </c>
      <c r="S426" s="22"/>
      <c r="T426" s="22">
        <v>1</v>
      </c>
    </row>
    <row r="427" spans="1:20">
      <c r="A427">
        <v>207</v>
      </c>
      <c r="B427" s="21">
        <v>161</v>
      </c>
      <c r="C427" s="22">
        <v>3114</v>
      </c>
      <c r="D427" s="22" t="s">
        <v>490</v>
      </c>
      <c r="E427" s="23" t="s">
        <v>15</v>
      </c>
      <c r="F427" s="24">
        <v>19780310</v>
      </c>
      <c r="G427" s="16">
        <f t="shared" si="24"/>
        <v>28559</v>
      </c>
      <c r="H427" s="2">
        <f t="shared" si="25"/>
        <v>43</v>
      </c>
      <c r="I427" s="17"/>
      <c r="J427" s="25">
        <v>19960321</v>
      </c>
      <c r="K427" s="16">
        <f t="shared" si="26"/>
        <v>35145</v>
      </c>
      <c r="L427" s="2">
        <f t="shared" si="27"/>
        <v>25</v>
      </c>
      <c r="M427" s="25"/>
      <c r="N427" s="26"/>
      <c r="O427" s="27" t="s">
        <v>35</v>
      </c>
      <c r="P427" s="70">
        <v>69011</v>
      </c>
      <c r="Q427" s="70" t="s">
        <v>489</v>
      </c>
      <c r="R427" s="22">
        <v>1</v>
      </c>
      <c r="S427" s="22" t="s">
        <v>679</v>
      </c>
      <c r="T427" s="22">
        <v>1</v>
      </c>
    </row>
    <row r="428" spans="1:20">
      <c r="A428">
        <v>38</v>
      </c>
      <c r="B428" s="21">
        <v>125</v>
      </c>
      <c r="C428" s="22">
        <v>2974</v>
      </c>
      <c r="D428" s="22" t="s">
        <v>298</v>
      </c>
      <c r="E428" s="23" t="s">
        <v>15</v>
      </c>
      <c r="F428" s="24">
        <v>19740124</v>
      </c>
      <c r="G428" s="16">
        <f t="shared" si="24"/>
        <v>27053</v>
      </c>
      <c r="H428" s="2">
        <f t="shared" si="25"/>
        <v>47</v>
      </c>
      <c r="I428" s="17"/>
      <c r="J428" s="25">
        <v>19940322</v>
      </c>
      <c r="K428" s="16">
        <f t="shared" si="26"/>
        <v>34415</v>
      </c>
      <c r="L428" s="2">
        <f t="shared" si="27"/>
        <v>27</v>
      </c>
      <c r="M428" s="25"/>
      <c r="N428" s="26"/>
      <c r="O428" s="27" t="s">
        <v>19</v>
      </c>
      <c r="P428" s="70">
        <v>42011</v>
      </c>
      <c r="Q428" s="70" t="s">
        <v>290</v>
      </c>
      <c r="R428" s="22">
        <v>1</v>
      </c>
      <c r="S428" s="22" t="s">
        <v>679</v>
      </c>
      <c r="T428" s="22">
        <v>2</v>
      </c>
    </row>
    <row r="429" spans="1:20">
      <c r="A429">
        <v>59</v>
      </c>
      <c r="B429" s="21">
        <v>447</v>
      </c>
      <c r="C429" s="22">
        <v>5062</v>
      </c>
      <c r="D429" s="22" t="s">
        <v>119</v>
      </c>
      <c r="E429" s="23" t="s">
        <v>15</v>
      </c>
      <c r="F429" s="24">
        <v>19660804</v>
      </c>
      <c r="G429" s="16">
        <f t="shared" si="24"/>
        <v>24323</v>
      </c>
      <c r="H429" s="2">
        <f t="shared" si="25"/>
        <v>55</v>
      </c>
      <c r="I429" s="17"/>
      <c r="J429" s="25">
        <v>19820325</v>
      </c>
      <c r="K429" s="16">
        <f t="shared" si="26"/>
        <v>30035</v>
      </c>
      <c r="L429" s="2">
        <f t="shared" si="27"/>
        <v>39</v>
      </c>
      <c r="M429" s="25"/>
      <c r="N429" s="26"/>
      <c r="O429" s="27" t="s">
        <v>77</v>
      </c>
      <c r="P429" s="70">
        <v>50000</v>
      </c>
      <c r="Q429" s="70" t="s">
        <v>120</v>
      </c>
      <c r="R429" s="22">
        <v>0</v>
      </c>
      <c r="S429" s="22"/>
      <c r="T429" s="22">
        <v>1</v>
      </c>
    </row>
    <row r="430" spans="1:20">
      <c r="A430">
        <v>7</v>
      </c>
      <c r="B430" s="21">
        <v>123</v>
      </c>
      <c r="C430" s="22">
        <v>2972</v>
      </c>
      <c r="D430" s="22" t="s">
        <v>51</v>
      </c>
      <c r="E430" s="23" t="s">
        <v>15</v>
      </c>
      <c r="F430" s="24">
        <v>19730919</v>
      </c>
      <c r="G430" s="16">
        <f t="shared" si="24"/>
        <v>26926</v>
      </c>
      <c r="H430" s="2">
        <f t="shared" si="25"/>
        <v>47</v>
      </c>
      <c r="I430" s="17"/>
      <c r="J430" s="25">
        <v>19940322</v>
      </c>
      <c r="K430" s="16">
        <f t="shared" si="26"/>
        <v>34415</v>
      </c>
      <c r="L430" s="2">
        <f t="shared" si="27"/>
        <v>27</v>
      </c>
      <c r="M430" s="25"/>
      <c r="N430" s="26"/>
      <c r="O430" s="27" t="s">
        <v>19</v>
      </c>
      <c r="P430" s="70">
        <v>22000</v>
      </c>
      <c r="Q430" s="70" t="s">
        <v>49</v>
      </c>
      <c r="R430" s="22">
        <v>0</v>
      </c>
      <c r="S430" s="22"/>
      <c r="T430" s="22">
        <v>1</v>
      </c>
    </row>
    <row r="431" spans="1:20">
      <c r="A431">
        <v>78</v>
      </c>
      <c r="B431" s="21">
        <v>426</v>
      </c>
      <c r="C431" s="22">
        <v>3970</v>
      </c>
      <c r="D431" s="22" t="s">
        <v>143</v>
      </c>
      <c r="E431" s="23" t="s">
        <v>15</v>
      </c>
      <c r="F431" s="24">
        <v>19640913</v>
      </c>
      <c r="G431" s="16">
        <f t="shared" si="24"/>
        <v>23633</v>
      </c>
      <c r="H431" s="2">
        <f t="shared" si="25"/>
        <v>56</v>
      </c>
      <c r="I431" s="17"/>
      <c r="J431" s="25">
        <v>20070910</v>
      </c>
      <c r="K431" s="16">
        <f t="shared" si="26"/>
        <v>39335</v>
      </c>
      <c r="L431" s="2">
        <f t="shared" si="27"/>
        <v>13</v>
      </c>
      <c r="M431" s="25"/>
      <c r="N431" s="26"/>
      <c r="O431" s="27" t="s">
        <v>19</v>
      </c>
      <c r="P431" s="70">
        <v>60300</v>
      </c>
      <c r="Q431" s="70" t="s">
        <v>138</v>
      </c>
      <c r="R431" s="22">
        <v>0</v>
      </c>
      <c r="S431" s="155"/>
      <c r="T431" s="22">
        <v>2</v>
      </c>
    </row>
    <row r="432" spans="1:20">
      <c r="A432">
        <v>84</v>
      </c>
      <c r="B432" s="21">
        <v>201</v>
      </c>
      <c r="C432" s="22">
        <v>3228</v>
      </c>
      <c r="D432" s="22" t="s">
        <v>150</v>
      </c>
      <c r="E432" s="23" t="s">
        <v>15</v>
      </c>
      <c r="F432" s="24">
        <v>19830224</v>
      </c>
      <c r="G432" s="16">
        <f t="shared" si="24"/>
        <v>30371</v>
      </c>
      <c r="H432" s="2">
        <f t="shared" si="25"/>
        <v>38</v>
      </c>
      <c r="I432" s="17"/>
      <c r="J432" s="25">
        <v>20050321</v>
      </c>
      <c r="K432" s="16">
        <f t="shared" si="26"/>
        <v>38432</v>
      </c>
      <c r="L432" s="2">
        <f t="shared" si="27"/>
        <v>16</v>
      </c>
      <c r="M432" s="25"/>
      <c r="N432" s="26"/>
      <c r="O432" s="27" t="s">
        <v>16</v>
      </c>
      <c r="P432" s="70">
        <v>61000</v>
      </c>
      <c r="Q432" s="70" t="s">
        <v>147</v>
      </c>
      <c r="R432" s="22">
        <v>0</v>
      </c>
      <c r="S432" s="22"/>
      <c r="T432" s="22">
        <v>1</v>
      </c>
    </row>
    <row r="433" spans="1:20">
      <c r="A433">
        <v>83</v>
      </c>
      <c r="B433" s="21">
        <v>140</v>
      </c>
      <c r="C433" s="22">
        <v>3030</v>
      </c>
      <c r="D433" s="22" t="s">
        <v>348</v>
      </c>
      <c r="E433" s="23" t="s">
        <v>15</v>
      </c>
      <c r="F433" s="24">
        <v>19740619</v>
      </c>
      <c r="G433" s="16">
        <f t="shared" si="24"/>
        <v>27199</v>
      </c>
      <c r="H433" s="2">
        <f t="shared" si="25"/>
        <v>47</v>
      </c>
      <c r="I433" s="17"/>
      <c r="J433" s="25">
        <v>19950322</v>
      </c>
      <c r="K433" s="16">
        <f t="shared" si="26"/>
        <v>34780</v>
      </c>
      <c r="L433" s="2">
        <f t="shared" si="27"/>
        <v>26</v>
      </c>
      <c r="M433" s="25"/>
      <c r="N433" s="26"/>
      <c r="O433" s="27" t="s">
        <v>19</v>
      </c>
      <c r="P433" s="70">
        <v>43011</v>
      </c>
      <c r="Q433" s="70" t="s">
        <v>349</v>
      </c>
      <c r="R433" s="22">
        <v>1</v>
      </c>
      <c r="S433" s="22" t="s">
        <v>679</v>
      </c>
      <c r="T433" s="22">
        <v>1</v>
      </c>
    </row>
    <row r="434" spans="1:20">
      <c r="A434">
        <v>149</v>
      </c>
      <c r="B434" s="21">
        <v>285</v>
      </c>
      <c r="C434" s="22">
        <v>3403</v>
      </c>
      <c r="D434" s="22" t="s">
        <v>424</v>
      </c>
      <c r="E434" s="23" t="s">
        <v>15</v>
      </c>
      <c r="F434" s="24">
        <v>19940601</v>
      </c>
      <c r="G434" s="16">
        <f t="shared" si="24"/>
        <v>34486</v>
      </c>
      <c r="H434" s="2">
        <f t="shared" si="25"/>
        <v>27</v>
      </c>
      <c r="I434" s="17"/>
      <c r="J434" s="25">
        <v>20130321</v>
      </c>
      <c r="K434" s="16">
        <f t="shared" si="26"/>
        <v>41354</v>
      </c>
      <c r="L434" s="2">
        <f t="shared" si="27"/>
        <v>8</v>
      </c>
      <c r="M434" s="25"/>
      <c r="N434" s="26"/>
      <c r="O434" s="27" t="s">
        <v>35</v>
      </c>
      <c r="P434" s="70">
        <v>64111</v>
      </c>
      <c r="Q434" s="70" t="s">
        <v>422</v>
      </c>
      <c r="R434" s="22">
        <v>1</v>
      </c>
      <c r="S434" s="22" t="s">
        <v>679</v>
      </c>
      <c r="T434" s="22">
        <v>1</v>
      </c>
    </row>
    <row r="435" spans="1:20">
      <c r="A435">
        <v>138</v>
      </c>
      <c r="B435" s="21">
        <v>289</v>
      </c>
      <c r="C435" s="22">
        <v>3410</v>
      </c>
      <c r="D435" s="22" t="s">
        <v>208</v>
      </c>
      <c r="E435" s="23" t="s">
        <v>15</v>
      </c>
      <c r="F435" s="24">
        <v>19910720</v>
      </c>
      <c r="G435" s="16">
        <f t="shared" si="24"/>
        <v>33439</v>
      </c>
      <c r="H435" s="2">
        <f t="shared" si="25"/>
        <v>30</v>
      </c>
      <c r="I435" s="17"/>
      <c r="J435" s="25">
        <v>20140321</v>
      </c>
      <c r="K435" s="16">
        <f t="shared" si="26"/>
        <v>41719</v>
      </c>
      <c r="L435" s="2">
        <f t="shared" si="27"/>
        <v>7</v>
      </c>
      <c r="M435" s="25"/>
      <c r="N435" s="26"/>
      <c r="O435" s="27" t="s">
        <v>16</v>
      </c>
      <c r="P435" s="70">
        <v>80000</v>
      </c>
      <c r="Q435" s="70" t="s">
        <v>172</v>
      </c>
      <c r="R435" s="22">
        <v>0</v>
      </c>
      <c r="S435" s="22"/>
      <c r="T435" s="22">
        <v>2</v>
      </c>
    </row>
    <row r="436" spans="1:20">
      <c r="A436">
        <v>67</v>
      </c>
      <c r="B436" s="21">
        <v>357</v>
      </c>
      <c r="C436" s="22">
        <v>3506</v>
      </c>
      <c r="D436" s="22" t="s">
        <v>329</v>
      </c>
      <c r="E436" s="23" t="s">
        <v>15</v>
      </c>
      <c r="F436" s="24">
        <v>20000526</v>
      </c>
      <c r="G436" s="16">
        <f t="shared" si="24"/>
        <v>36672</v>
      </c>
      <c r="H436" s="2">
        <f t="shared" si="25"/>
        <v>21</v>
      </c>
      <c r="I436" s="17"/>
      <c r="J436" s="25">
        <v>20190401</v>
      </c>
      <c r="K436" s="16">
        <f t="shared" si="26"/>
        <v>43556</v>
      </c>
      <c r="L436" s="2">
        <f t="shared" si="27"/>
        <v>2</v>
      </c>
      <c r="M436" s="25"/>
      <c r="N436" s="26"/>
      <c r="O436" s="27">
        <v>6</v>
      </c>
      <c r="P436" s="70">
        <v>44011</v>
      </c>
      <c r="Q436" s="70" t="s">
        <v>381</v>
      </c>
      <c r="R436" s="22">
        <v>1</v>
      </c>
      <c r="S436" s="22" t="s">
        <v>679</v>
      </c>
      <c r="T436" s="22">
        <v>2</v>
      </c>
    </row>
    <row r="437" spans="1:20">
      <c r="A437">
        <v>125</v>
      </c>
      <c r="B437" s="21">
        <v>397</v>
      </c>
      <c r="C437" s="22">
        <v>3899</v>
      </c>
      <c r="D437" s="22" t="s">
        <v>397</v>
      </c>
      <c r="E437" s="23" t="s">
        <v>15</v>
      </c>
      <c r="F437" s="24">
        <v>19660510</v>
      </c>
      <c r="G437" s="16">
        <f t="shared" si="24"/>
        <v>24237</v>
      </c>
      <c r="H437" s="2">
        <f t="shared" si="25"/>
        <v>55</v>
      </c>
      <c r="I437" s="17"/>
      <c r="J437" s="25">
        <v>19850401</v>
      </c>
      <c r="K437" s="16">
        <f t="shared" si="26"/>
        <v>31138</v>
      </c>
      <c r="L437" s="2">
        <f t="shared" si="27"/>
        <v>36</v>
      </c>
      <c r="M437" s="25"/>
      <c r="N437" s="26"/>
      <c r="O437" s="27" t="s">
        <v>35</v>
      </c>
      <c r="P437" s="70">
        <v>45111</v>
      </c>
      <c r="Q437" s="70" t="s">
        <v>396</v>
      </c>
      <c r="R437" s="22">
        <v>1</v>
      </c>
      <c r="S437" s="22" t="s">
        <v>679</v>
      </c>
      <c r="T437" s="22">
        <v>1</v>
      </c>
    </row>
    <row r="438" spans="1:20">
      <c r="A438">
        <v>31</v>
      </c>
      <c r="B438" s="21">
        <v>178</v>
      </c>
      <c r="C438" s="22">
        <v>3177</v>
      </c>
      <c r="D438" s="22" t="s">
        <v>85</v>
      </c>
      <c r="E438" s="23" t="s">
        <v>15</v>
      </c>
      <c r="F438" s="24">
        <v>19821219</v>
      </c>
      <c r="G438" s="16">
        <f t="shared" si="24"/>
        <v>30304</v>
      </c>
      <c r="H438" s="2">
        <f t="shared" si="25"/>
        <v>38</v>
      </c>
      <c r="I438" s="17"/>
      <c r="J438" s="25">
        <v>20010321</v>
      </c>
      <c r="K438" s="16">
        <f t="shared" si="26"/>
        <v>36971</v>
      </c>
      <c r="L438" s="2">
        <f t="shared" si="27"/>
        <v>20</v>
      </c>
      <c r="M438" s="25"/>
      <c r="N438" s="26"/>
      <c r="O438" s="27" t="s">
        <v>35</v>
      </c>
      <c r="P438" s="70">
        <v>33000</v>
      </c>
      <c r="Q438" s="70" t="s">
        <v>84</v>
      </c>
      <c r="R438" s="22">
        <v>0</v>
      </c>
      <c r="S438" s="22"/>
      <c r="T438" s="22">
        <v>1</v>
      </c>
    </row>
    <row r="439" spans="1:20">
      <c r="A439">
        <v>98</v>
      </c>
      <c r="B439" s="21">
        <v>189</v>
      </c>
      <c r="C439" s="22">
        <v>3199</v>
      </c>
      <c r="D439" s="22" t="s">
        <v>365</v>
      </c>
      <c r="E439" s="23" t="s">
        <v>15</v>
      </c>
      <c r="F439" s="24">
        <v>19841227</v>
      </c>
      <c r="G439" s="16">
        <f t="shared" si="24"/>
        <v>31043</v>
      </c>
      <c r="H439" s="2">
        <f t="shared" si="25"/>
        <v>36</v>
      </c>
      <c r="I439" s="17"/>
      <c r="J439" s="25">
        <v>20030321</v>
      </c>
      <c r="K439" s="16">
        <f t="shared" si="26"/>
        <v>37701</v>
      </c>
      <c r="L439" s="2">
        <f t="shared" si="27"/>
        <v>18</v>
      </c>
      <c r="M439" s="25"/>
      <c r="N439" s="26"/>
      <c r="O439" s="27" t="s">
        <v>35</v>
      </c>
      <c r="P439" s="70">
        <v>43211</v>
      </c>
      <c r="Q439" s="70" t="s">
        <v>364</v>
      </c>
      <c r="R439" s="22">
        <v>1</v>
      </c>
      <c r="S439" s="22" t="s">
        <v>679</v>
      </c>
      <c r="T439" s="22">
        <v>1</v>
      </c>
    </row>
    <row r="440" spans="1:20">
      <c r="A440">
        <v>2</v>
      </c>
      <c r="B440" s="21">
        <v>164</v>
      </c>
      <c r="C440" s="22">
        <v>3136</v>
      </c>
      <c r="D440" s="22" t="s">
        <v>259</v>
      </c>
      <c r="E440" s="23" t="s">
        <v>15</v>
      </c>
      <c r="F440" s="24">
        <v>19760501</v>
      </c>
      <c r="G440" s="16">
        <f t="shared" si="24"/>
        <v>27881</v>
      </c>
      <c r="H440" s="2">
        <f t="shared" si="25"/>
        <v>45</v>
      </c>
      <c r="I440" s="17"/>
      <c r="J440" s="25">
        <v>19970321</v>
      </c>
      <c r="K440" s="16">
        <f t="shared" si="26"/>
        <v>35510</v>
      </c>
      <c r="L440" s="2">
        <f t="shared" si="27"/>
        <v>24</v>
      </c>
      <c r="M440" s="25"/>
      <c r="N440" s="26"/>
      <c r="O440" s="27" t="s">
        <v>19</v>
      </c>
      <c r="P440" s="70">
        <v>41011</v>
      </c>
      <c r="Q440" s="70" t="s">
        <v>258</v>
      </c>
      <c r="R440" s="22">
        <v>1</v>
      </c>
      <c r="S440" s="22" t="s">
        <v>679</v>
      </c>
      <c r="T440" s="22">
        <v>1</v>
      </c>
    </row>
    <row r="441" spans="1:20">
      <c r="A441">
        <v>50</v>
      </c>
      <c r="B441" s="21">
        <v>39</v>
      </c>
      <c r="C441" s="22">
        <v>1381</v>
      </c>
      <c r="D441" s="22" t="s">
        <v>311</v>
      </c>
      <c r="E441" s="23" t="s">
        <v>15</v>
      </c>
      <c r="F441" s="24">
        <v>19771023</v>
      </c>
      <c r="G441" s="16">
        <f t="shared" si="24"/>
        <v>28421</v>
      </c>
      <c r="H441" s="2">
        <f t="shared" si="25"/>
        <v>43</v>
      </c>
      <c r="I441" s="17"/>
      <c r="J441" s="25">
        <v>20120612</v>
      </c>
      <c r="K441" s="16">
        <f t="shared" si="26"/>
        <v>41072</v>
      </c>
      <c r="L441" s="2">
        <f t="shared" si="27"/>
        <v>9</v>
      </c>
      <c r="M441" s="25"/>
      <c r="N441" s="26"/>
      <c r="O441" s="27" t="s">
        <v>35</v>
      </c>
      <c r="P441" s="70">
        <v>42111</v>
      </c>
      <c r="Q441" s="70" t="s">
        <v>305</v>
      </c>
      <c r="R441" s="22">
        <v>1</v>
      </c>
      <c r="S441" s="22" t="s">
        <v>679</v>
      </c>
      <c r="T441" s="22">
        <v>2</v>
      </c>
    </row>
    <row r="442" spans="1:20">
      <c r="A442">
        <v>100</v>
      </c>
      <c r="B442" s="21">
        <v>292</v>
      </c>
      <c r="C442" s="22">
        <v>3413</v>
      </c>
      <c r="D442" s="22" t="s">
        <v>169</v>
      </c>
      <c r="E442" s="23" t="s">
        <v>15</v>
      </c>
      <c r="F442" s="24">
        <v>19890624</v>
      </c>
      <c r="G442" s="16">
        <f t="shared" si="24"/>
        <v>32683</v>
      </c>
      <c r="H442" s="2">
        <f t="shared" si="25"/>
        <v>32</v>
      </c>
      <c r="I442" s="17"/>
      <c r="J442" s="25">
        <v>20140321</v>
      </c>
      <c r="K442" s="16">
        <f t="shared" si="26"/>
        <v>41719</v>
      </c>
      <c r="L442" s="2">
        <f t="shared" si="27"/>
        <v>7</v>
      </c>
      <c r="M442" s="25"/>
      <c r="N442" s="26"/>
      <c r="O442" s="27" t="s">
        <v>16</v>
      </c>
      <c r="P442" s="70">
        <v>63000</v>
      </c>
      <c r="Q442" s="70" t="s">
        <v>165</v>
      </c>
      <c r="R442" s="22">
        <v>0</v>
      </c>
      <c r="S442" s="22"/>
      <c r="T442" s="22">
        <v>1</v>
      </c>
    </row>
    <row r="443" spans="1:20">
      <c r="A443">
        <v>88</v>
      </c>
      <c r="B443" s="21">
        <v>383</v>
      </c>
      <c r="C443" s="22">
        <v>3863</v>
      </c>
      <c r="D443" s="22" t="s">
        <v>354</v>
      </c>
      <c r="E443" s="23" t="s">
        <v>15</v>
      </c>
      <c r="F443" s="24">
        <v>19750221</v>
      </c>
      <c r="G443" s="16">
        <f t="shared" si="24"/>
        <v>27446</v>
      </c>
      <c r="H443" s="2">
        <f t="shared" si="25"/>
        <v>46</v>
      </c>
      <c r="I443" s="17"/>
      <c r="J443" s="25">
        <v>19961021</v>
      </c>
      <c r="K443" s="16">
        <f t="shared" si="26"/>
        <v>35359</v>
      </c>
      <c r="L443" s="2">
        <f t="shared" si="27"/>
        <v>24</v>
      </c>
      <c r="M443" s="25"/>
      <c r="N443" s="26"/>
      <c r="O443" s="27" t="s">
        <v>19</v>
      </c>
      <c r="P443" s="70">
        <v>43011</v>
      </c>
      <c r="Q443" s="70" t="s">
        <v>349</v>
      </c>
      <c r="R443" s="22">
        <v>1</v>
      </c>
      <c r="S443" s="22" t="s">
        <v>679</v>
      </c>
      <c r="T443" s="22">
        <v>2</v>
      </c>
    </row>
    <row r="444" spans="1:20">
      <c r="A444">
        <v>14</v>
      </c>
      <c r="B444" s="21">
        <v>196</v>
      </c>
      <c r="C444" s="22">
        <v>3214</v>
      </c>
      <c r="D444" s="22" t="s">
        <v>61</v>
      </c>
      <c r="E444" s="23" t="s">
        <v>15</v>
      </c>
      <c r="F444" s="24">
        <v>19780107</v>
      </c>
      <c r="G444" s="16">
        <f t="shared" si="24"/>
        <v>28497</v>
      </c>
      <c r="H444" s="2">
        <f t="shared" si="25"/>
        <v>43</v>
      </c>
      <c r="I444" s="17"/>
      <c r="J444" s="25">
        <v>20040322</v>
      </c>
      <c r="K444" s="16">
        <f t="shared" si="26"/>
        <v>38068</v>
      </c>
      <c r="L444" s="2">
        <f t="shared" si="27"/>
        <v>17</v>
      </c>
      <c r="M444" s="25"/>
      <c r="N444" s="26"/>
      <c r="O444" s="27" t="s">
        <v>19</v>
      </c>
      <c r="P444" s="70">
        <v>30000</v>
      </c>
      <c r="Q444" s="70" t="s">
        <v>53</v>
      </c>
      <c r="R444" s="22">
        <v>0</v>
      </c>
      <c r="S444" s="22"/>
      <c r="T444" s="22">
        <v>1</v>
      </c>
    </row>
    <row r="445" spans="1:20">
      <c r="A445">
        <v>221</v>
      </c>
      <c r="B445" s="21">
        <v>369</v>
      </c>
      <c r="C445" s="22">
        <v>3522</v>
      </c>
      <c r="D445" s="22" t="s">
        <v>504</v>
      </c>
      <c r="E445" s="23" t="s">
        <v>678</v>
      </c>
      <c r="F445" s="24">
        <v>20010904</v>
      </c>
      <c r="G445" s="16">
        <f t="shared" si="24"/>
        <v>37138</v>
      </c>
      <c r="H445" s="2">
        <f t="shared" si="25"/>
        <v>19</v>
      </c>
      <c r="I445" s="17"/>
      <c r="J445" s="25">
        <v>20200401</v>
      </c>
      <c r="K445" s="16">
        <f t="shared" si="26"/>
        <v>43922</v>
      </c>
      <c r="L445" s="2">
        <f t="shared" si="27"/>
        <v>1</v>
      </c>
      <c r="M445" s="25"/>
      <c r="N445" s="26"/>
      <c r="O445" s="27">
        <v>6</v>
      </c>
      <c r="P445" s="70">
        <v>69011</v>
      </c>
      <c r="Q445" s="70" t="s">
        <v>489</v>
      </c>
      <c r="R445" s="22">
        <v>1</v>
      </c>
      <c r="S445" s="22" t="s">
        <v>679</v>
      </c>
      <c r="T445" s="22">
        <v>2</v>
      </c>
    </row>
    <row r="446" spans="1:20">
      <c r="A446">
        <v>128</v>
      </c>
      <c r="B446" s="21">
        <v>49</v>
      </c>
      <c r="C446" s="22">
        <v>1394</v>
      </c>
      <c r="D446" s="22" t="s">
        <v>400</v>
      </c>
      <c r="E446" s="23" t="s">
        <v>15</v>
      </c>
      <c r="F446" s="24">
        <v>19760731</v>
      </c>
      <c r="G446" s="16">
        <f t="shared" si="24"/>
        <v>27972</v>
      </c>
      <c r="H446" s="2">
        <f t="shared" si="25"/>
        <v>45</v>
      </c>
      <c r="I446" s="17"/>
      <c r="J446" s="25">
        <v>20150201</v>
      </c>
      <c r="K446" s="16">
        <f t="shared" si="26"/>
        <v>42036</v>
      </c>
      <c r="L446" s="2">
        <f t="shared" si="27"/>
        <v>6</v>
      </c>
      <c r="M446" s="25"/>
      <c r="N446" s="26"/>
      <c r="O446" s="27" t="s">
        <v>35</v>
      </c>
      <c r="P446" s="70">
        <v>45111</v>
      </c>
      <c r="Q446" s="70" t="s">
        <v>396</v>
      </c>
      <c r="R446" s="22">
        <v>1</v>
      </c>
      <c r="S446" s="22" t="s">
        <v>679</v>
      </c>
      <c r="T446" s="22">
        <v>1</v>
      </c>
    </row>
    <row r="447" spans="1:20">
      <c r="A447">
        <v>146</v>
      </c>
      <c r="B447" s="21">
        <v>363</v>
      </c>
      <c r="C447" s="22">
        <v>3516</v>
      </c>
      <c r="D447" s="22" t="s">
        <v>216</v>
      </c>
      <c r="E447" s="23" t="s">
        <v>678</v>
      </c>
      <c r="F447" s="24">
        <v>19960822</v>
      </c>
      <c r="G447" s="16">
        <f t="shared" si="24"/>
        <v>35299</v>
      </c>
      <c r="H447" s="2">
        <f t="shared" si="25"/>
        <v>25</v>
      </c>
      <c r="I447" s="17"/>
      <c r="J447" s="25">
        <v>20200401</v>
      </c>
      <c r="K447" s="16">
        <f t="shared" si="26"/>
        <v>43922</v>
      </c>
      <c r="L447" s="2">
        <f t="shared" si="27"/>
        <v>1</v>
      </c>
      <c r="M447" s="25"/>
      <c r="N447" s="26"/>
      <c r="O447" s="27">
        <v>8</v>
      </c>
      <c r="P447" s="70">
        <v>80000</v>
      </c>
      <c r="Q447" s="70" t="s">
        <v>172</v>
      </c>
      <c r="R447" s="22">
        <v>1</v>
      </c>
      <c r="S447" s="22" t="s">
        <v>679</v>
      </c>
      <c r="T447" s="22">
        <v>2</v>
      </c>
    </row>
    <row r="448" spans="1:20">
      <c r="A448">
        <v>17</v>
      </c>
      <c r="B448" s="21">
        <v>290</v>
      </c>
      <c r="C448" s="22">
        <v>3411</v>
      </c>
      <c r="D448" s="22" t="s">
        <v>64</v>
      </c>
      <c r="E448" s="23" t="s">
        <v>15</v>
      </c>
      <c r="F448" s="24">
        <v>19911225</v>
      </c>
      <c r="G448" s="16">
        <f t="shared" si="24"/>
        <v>33597</v>
      </c>
      <c r="H448" s="2">
        <f t="shared" si="25"/>
        <v>29</v>
      </c>
      <c r="I448" s="17"/>
      <c r="J448" s="25">
        <v>20140321</v>
      </c>
      <c r="K448" s="16">
        <f t="shared" si="26"/>
        <v>41719</v>
      </c>
      <c r="L448" s="2">
        <f t="shared" si="27"/>
        <v>7</v>
      </c>
      <c r="M448" s="25"/>
      <c r="N448" s="26"/>
      <c r="O448" s="27" t="s">
        <v>16</v>
      </c>
      <c r="P448" s="70">
        <v>30000</v>
      </c>
      <c r="Q448" s="70" t="s">
        <v>53</v>
      </c>
      <c r="R448" s="22">
        <v>0</v>
      </c>
      <c r="S448" s="22"/>
      <c r="T448" s="22">
        <v>1</v>
      </c>
    </row>
    <row r="449" spans="1:20">
      <c r="A449">
        <v>135</v>
      </c>
      <c r="B449" s="21">
        <v>9</v>
      </c>
      <c r="C449" s="22">
        <v>1311</v>
      </c>
      <c r="D449" s="22" t="s">
        <v>205</v>
      </c>
      <c r="E449" s="23" t="s">
        <v>15</v>
      </c>
      <c r="F449" s="24">
        <v>19731130</v>
      </c>
      <c r="G449" s="16">
        <f t="shared" si="24"/>
        <v>26998</v>
      </c>
      <c r="H449" s="2">
        <f t="shared" si="25"/>
        <v>47</v>
      </c>
      <c r="I449" s="17"/>
      <c r="J449" s="25">
        <v>19970321</v>
      </c>
      <c r="K449" s="16">
        <f t="shared" si="26"/>
        <v>35510</v>
      </c>
      <c r="L449" s="2">
        <f t="shared" si="27"/>
        <v>24</v>
      </c>
      <c r="M449" s="25"/>
      <c r="N449" s="26"/>
      <c r="O449" s="27" t="s">
        <v>16</v>
      </c>
      <c r="P449" s="70">
        <v>80000</v>
      </c>
      <c r="Q449" s="70" t="s">
        <v>172</v>
      </c>
      <c r="R449" s="22">
        <v>0</v>
      </c>
      <c r="S449" s="22"/>
      <c r="T449" s="22">
        <v>2</v>
      </c>
    </row>
    <row r="450" spans="1:20">
      <c r="A450">
        <v>107</v>
      </c>
      <c r="B450" s="21">
        <v>163</v>
      </c>
      <c r="C450" s="22">
        <v>3129</v>
      </c>
      <c r="D450" s="22" t="s">
        <v>177</v>
      </c>
      <c r="E450" s="23" t="s">
        <v>15</v>
      </c>
      <c r="F450" s="24">
        <v>19740219</v>
      </c>
      <c r="G450" s="16">
        <f t="shared" si="24"/>
        <v>27079</v>
      </c>
      <c r="H450" s="2">
        <f t="shared" si="25"/>
        <v>47</v>
      </c>
      <c r="I450" s="17"/>
      <c r="J450" s="25">
        <v>19970321</v>
      </c>
      <c r="K450" s="16">
        <f t="shared" si="26"/>
        <v>35510</v>
      </c>
      <c r="L450" s="2">
        <f t="shared" si="27"/>
        <v>24</v>
      </c>
      <c r="M450" s="25"/>
      <c r="N450" s="26"/>
      <c r="O450" s="27" t="s">
        <v>16</v>
      </c>
      <c r="P450" s="70">
        <v>80000</v>
      </c>
      <c r="Q450" s="70" t="s">
        <v>172</v>
      </c>
      <c r="R450" s="22">
        <v>0</v>
      </c>
      <c r="S450" s="22"/>
      <c r="T450" s="22">
        <v>1</v>
      </c>
    </row>
    <row r="451" spans="1:20">
      <c r="A451">
        <v>153</v>
      </c>
      <c r="B451" s="21">
        <v>209</v>
      </c>
      <c r="C451" s="22">
        <v>3249</v>
      </c>
      <c r="D451" s="22" t="s">
        <v>224</v>
      </c>
      <c r="E451" s="23" t="s">
        <v>15</v>
      </c>
      <c r="F451" s="24">
        <v>19760831</v>
      </c>
      <c r="G451" s="16">
        <f t="shared" si="24"/>
        <v>28003</v>
      </c>
      <c r="H451" s="2">
        <f t="shared" si="25"/>
        <v>45</v>
      </c>
      <c r="I451" s="17"/>
      <c r="J451" s="25">
        <v>20060321</v>
      </c>
      <c r="K451" s="16">
        <f t="shared" si="26"/>
        <v>38797</v>
      </c>
      <c r="L451" s="2">
        <f t="shared" si="27"/>
        <v>15</v>
      </c>
      <c r="M451" s="25"/>
      <c r="N451" s="26"/>
      <c r="O451" s="27" t="s">
        <v>16</v>
      </c>
      <c r="P451" s="70">
        <v>90000</v>
      </c>
      <c r="Q451" s="70" t="s">
        <v>218</v>
      </c>
      <c r="R451" s="22">
        <v>0</v>
      </c>
      <c r="S451" s="22"/>
      <c r="T451" s="22">
        <v>1</v>
      </c>
    </row>
    <row r="452" spans="1:20">
      <c r="A452">
        <v>224</v>
      </c>
      <c r="B452" s="21">
        <v>48</v>
      </c>
      <c r="C452" s="22">
        <v>1393</v>
      </c>
      <c r="D452" s="22" t="s">
        <v>509</v>
      </c>
      <c r="E452" s="23" t="s">
        <v>15</v>
      </c>
      <c r="F452" s="24">
        <v>19851120</v>
      </c>
      <c r="G452" s="16">
        <f t="shared" si="24"/>
        <v>31371</v>
      </c>
      <c r="H452" s="2">
        <f t="shared" si="25"/>
        <v>35</v>
      </c>
      <c r="I452" s="17"/>
      <c r="J452" s="25">
        <v>20150201</v>
      </c>
      <c r="K452" s="16">
        <f t="shared" si="26"/>
        <v>42036</v>
      </c>
      <c r="L452" s="2">
        <f t="shared" si="27"/>
        <v>6</v>
      </c>
      <c r="M452" s="25"/>
      <c r="N452" s="26"/>
      <c r="O452" s="27" t="s">
        <v>16</v>
      </c>
      <c r="P452" s="70">
        <v>69211</v>
      </c>
      <c r="Q452" s="70" t="s">
        <v>508</v>
      </c>
      <c r="R452" s="22">
        <v>1</v>
      </c>
      <c r="S452" s="22" t="s">
        <v>679</v>
      </c>
      <c r="T452" s="22">
        <v>1</v>
      </c>
    </row>
    <row r="453" spans="1:20">
      <c r="A453">
        <v>1</v>
      </c>
      <c r="B453" s="21">
        <v>61</v>
      </c>
      <c r="C453" s="22">
        <v>1408</v>
      </c>
      <c r="D453" s="22" t="s">
        <v>12</v>
      </c>
      <c r="E453" s="23" t="s">
        <v>676</v>
      </c>
      <c r="F453" s="24">
        <v>19630327</v>
      </c>
      <c r="G453" s="16">
        <f>DATE(INT(F453/10000),INT(MOD(F453,10000)/100),MOD(F453,100))</f>
        <v>23097</v>
      </c>
      <c r="H453" s="2">
        <f>DATEDIF(G453,$G$4,"Y")</f>
        <v>58</v>
      </c>
      <c r="I453" s="17"/>
      <c r="J453" s="25">
        <v>20200413</v>
      </c>
      <c r="K453" s="16">
        <f>DATE(INT(J453/10000),INT(MOD(J453,10000)/100),MOD(J453,100))</f>
        <v>43934</v>
      </c>
      <c r="L453" s="2">
        <f>DATEDIF(K453,$G$4,"Y")</f>
        <v>1</v>
      </c>
      <c r="M453" s="25"/>
      <c r="N453" s="26"/>
      <c r="O453" s="27">
        <v>8</v>
      </c>
      <c r="P453" s="70">
        <v>1100</v>
      </c>
      <c r="Q453" s="70" t="s">
        <v>13</v>
      </c>
      <c r="R453" s="22">
        <v>0</v>
      </c>
      <c r="S453" s="22"/>
      <c r="T453" s="22">
        <v>1</v>
      </c>
    </row>
    <row r="454" spans="1:20">
      <c r="B454" s="21"/>
      <c r="C454" s="22"/>
      <c r="D454" s="22"/>
      <c r="E454" s="22"/>
      <c r="F454" s="34"/>
      <c r="J454" s="30"/>
      <c r="M454" s="30"/>
      <c r="N454" s="35"/>
      <c r="O454" s="36"/>
      <c r="R454" s="22"/>
      <c r="S454" s="22"/>
      <c r="T454" s="22"/>
    </row>
    <row r="455" spans="1:20">
      <c r="B455" s="21"/>
      <c r="C455" s="22"/>
      <c r="D455" s="22"/>
      <c r="E455" s="23"/>
      <c r="F455" s="24"/>
      <c r="G455" s="16"/>
      <c r="H455" s="2"/>
      <c r="I455" s="17"/>
      <c r="J455" s="25"/>
      <c r="K455" s="16"/>
      <c r="M455" s="25"/>
      <c r="N455" s="26"/>
      <c r="O455" s="27"/>
      <c r="P455" s="158"/>
      <c r="Q455" s="41"/>
      <c r="R455" s="22"/>
      <c r="S455" s="22"/>
      <c r="T455" s="22"/>
    </row>
    <row r="456" spans="1:20">
      <c r="B456" s="21"/>
      <c r="C456" s="22"/>
      <c r="D456" s="22"/>
      <c r="E456" s="23"/>
      <c r="F456" s="24"/>
      <c r="G456" s="16"/>
      <c r="H456" s="2">
        <f>SUM(H440:H455)</f>
        <v>559</v>
      </c>
      <c r="I456" s="17">
        <f>H456/$A$18</f>
        <v>559</v>
      </c>
      <c r="J456" s="25"/>
      <c r="K456" s="16"/>
      <c r="L456" s="2">
        <f>SUM(L440:L455)</f>
        <v>166</v>
      </c>
      <c r="M456" s="157">
        <f>L456/$A$18</f>
        <v>166</v>
      </c>
      <c r="N456" s="26"/>
      <c r="O456" s="27"/>
      <c r="P456" s="158"/>
      <c r="Q456" s="41"/>
      <c r="R456" s="22"/>
      <c r="S456" s="22"/>
      <c r="T456" s="22"/>
    </row>
    <row r="457" spans="1:20">
      <c r="B457" s="21"/>
      <c r="C457" s="22"/>
      <c r="D457" s="22"/>
      <c r="E457" s="23"/>
      <c r="F457" s="24"/>
      <c r="G457" s="16"/>
      <c r="H457" s="2"/>
      <c r="I457" s="17"/>
      <c r="J457" s="25"/>
      <c r="K457" s="16"/>
      <c r="M457" s="25"/>
      <c r="N457" s="26"/>
      <c r="O457" s="27"/>
      <c r="P457" s="158"/>
      <c r="Q457" s="41"/>
      <c r="R457" s="22"/>
      <c r="S457" s="22"/>
      <c r="T457" s="22"/>
    </row>
    <row r="458" spans="1:20">
      <c r="B458" s="21"/>
      <c r="C458" s="22"/>
      <c r="D458" s="22"/>
      <c r="E458" s="23"/>
      <c r="F458" s="24"/>
      <c r="G458" s="16"/>
      <c r="H458" s="2"/>
      <c r="I458" s="17"/>
      <c r="J458" s="25"/>
      <c r="K458" s="16"/>
      <c r="M458" s="25"/>
      <c r="N458" s="26"/>
      <c r="O458" s="27"/>
      <c r="P458" s="158"/>
      <c r="Q458" s="41"/>
      <c r="R458" s="22"/>
      <c r="S458" s="22"/>
      <c r="T458" s="22"/>
    </row>
    <row r="459" spans="1:20">
      <c r="B459" s="21"/>
      <c r="C459" s="22"/>
      <c r="D459" s="22"/>
      <c r="E459" s="23"/>
      <c r="F459" s="24"/>
      <c r="G459" s="16"/>
      <c r="H459" s="2"/>
      <c r="I459" s="17"/>
      <c r="J459" s="25"/>
      <c r="K459" s="16"/>
      <c r="M459" s="25"/>
      <c r="N459" s="26"/>
      <c r="O459" s="29"/>
      <c r="P459" s="71"/>
      <c r="Q459" s="28"/>
      <c r="R459" s="22"/>
      <c r="S459" s="22"/>
      <c r="T459" s="22"/>
    </row>
    <row r="460" spans="1:20">
      <c r="B460" s="21"/>
      <c r="C460" s="22"/>
      <c r="D460" s="22"/>
      <c r="E460" s="23"/>
      <c r="F460" s="24"/>
      <c r="G460" s="16"/>
      <c r="H460" s="2">
        <f>SUM(H452:H458)</f>
        <v>652</v>
      </c>
      <c r="I460" s="17">
        <f>H460/$A$30</f>
        <v>59.272727272727273</v>
      </c>
      <c r="J460" s="25"/>
      <c r="K460" s="16"/>
      <c r="L460" s="2">
        <f>SUM(L452:L458)</f>
        <v>173</v>
      </c>
      <c r="M460" s="17">
        <f>L460/$A$30</f>
        <v>15.727272727272727</v>
      </c>
      <c r="N460" s="26"/>
      <c r="O460" s="29"/>
      <c r="P460" s="71"/>
      <c r="Q460" s="28"/>
      <c r="R460" s="22"/>
      <c r="S460" s="22"/>
      <c r="T460" s="22"/>
    </row>
    <row r="461" spans="1:20">
      <c r="B461" s="21"/>
      <c r="C461" s="22"/>
      <c r="D461" s="22"/>
      <c r="E461" s="23"/>
      <c r="F461" s="24"/>
      <c r="G461" s="16"/>
      <c r="H461" s="2"/>
      <c r="I461" s="17"/>
      <c r="J461" s="25"/>
      <c r="K461" s="16"/>
      <c r="M461" s="25"/>
      <c r="N461" s="26"/>
      <c r="O461" s="29"/>
      <c r="P461" s="71"/>
      <c r="Q461" s="28"/>
      <c r="R461" s="22"/>
      <c r="S461" s="22"/>
      <c r="T461" s="22"/>
    </row>
    <row r="462" spans="1:20">
      <c r="B462" s="21"/>
      <c r="C462" s="22"/>
      <c r="D462" s="22"/>
      <c r="E462" s="23"/>
      <c r="F462" s="24"/>
      <c r="G462" s="16"/>
      <c r="H462" s="2"/>
      <c r="I462" s="17"/>
      <c r="J462" s="25"/>
      <c r="K462" s="16"/>
      <c r="M462" s="25"/>
      <c r="N462" s="26"/>
      <c r="O462" s="29"/>
      <c r="P462" s="71"/>
      <c r="Q462" s="28"/>
      <c r="R462" s="22"/>
      <c r="S462" s="22"/>
      <c r="T462" s="22"/>
    </row>
    <row r="463" spans="1:20">
      <c r="B463" s="21"/>
      <c r="C463" s="22"/>
      <c r="D463" s="22"/>
      <c r="E463" s="23"/>
      <c r="F463" s="24"/>
      <c r="G463" s="16"/>
      <c r="H463" s="2"/>
      <c r="I463" s="17"/>
      <c r="J463" s="25"/>
      <c r="K463" s="16"/>
      <c r="M463" s="25"/>
      <c r="N463" s="26"/>
      <c r="O463" s="29"/>
      <c r="P463" s="71"/>
      <c r="Q463" s="28"/>
      <c r="R463" s="22"/>
      <c r="S463" s="22"/>
      <c r="T463" s="22"/>
    </row>
    <row r="464" spans="1:20">
      <c r="B464" s="21"/>
      <c r="C464" s="22"/>
      <c r="D464" s="22"/>
      <c r="E464" s="23"/>
      <c r="F464" s="24"/>
      <c r="G464" s="16"/>
      <c r="H464" s="2"/>
      <c r="I464" s="17"/>
      <c r="J464" s="25"/>
      <c r="K464" s="16"/>
      <c r="M464" s="25"/>
      <c r="N464" s="26"/>
      <c r="O464" s="27"/>
      <c r="P464" s="71"/>
      <c r="Q464" s="28"/>
      <c r="R464" s="22"/>
      <c r="S464" s="22"/>
      <c r="T464" s="22"/>
    </row>
    <row r="465" spans="2:20">
      <c r="B465" s="21"/>
      <c r="C465" s="22"/>
      <c r="D465" s="22"/>
      <c r="E465" s="23"/>
      <c r="F465" s="24"/>
      <c r="G465" s="16"/>
      <c r="H465" s="2">
        <f>SUM(H306:H464)</f>
        <v>7338</v>
      </c>
      <c r="I465" s="17">
        <f>H465/$A$193</f>
        <v>85.325581395348834</v>
      </c>
      <c r="J465" s="25"/>
      <c r="K465" s="16"/>
      <c r="L465" s="2">
        <f>SUM(L306:L464)</f>
        <v>3020</v>
      </c>
      <c r="M465" s="157">
        <f>L465/$A$193</f>
        <v>35.116279069767444</v>
      </c>
      <c r="N465" s="26"/>
      <c r="O465" s="27"/>
      <c r="P465" s="158"/>
      <c r="Q465" s="41"/>
      <c r="R465" s="22"/>
      <c r="S465" s="22"/>
      <c r="T465" s="22"/>
    </row>
    <row r="466" spans="2:20">
      <c r="B466" s="21"/>
      <c r="C466" s="22"/>
      <c r="D466" s="22"/>
      <c r="E466" s="23"/>
      <c r="F466" s="24"/>
      <c r="G466" s="16"/>
      <c r="H466" s="2"/>
      <c r="I466" s="17"/>
      <c r="J466" s="25"/>
      <c r="K466" s="16"/>
      <c r="M466" s="25"/>
      <c r="N466" s="26"/>
      <c r="O466" s="27"/>
      <c r="P466" s="158"/>
      <c r="Q466" s="41"/>
      <c r="R466" s="22"/>
      <c r="S466" s="22"/>
      <c r="T466" s="22"/>
    </row>
    <row r="467" spans="2:20">
      <c r="B467" s="21"/>
      <c r="C467" s="22"/>
      <c r="D467" s="22"/>
      <c r="E467" s="23"/>
      <c r="F467" s="24"/>
      <c r="G467" s="16"/>
      <c r="H467" s="2"/>
      <c r="I467" s="17"/>
      <c r="J467" s="25"/>
      <c r="K467" s="16"/>
      <c r="M467" s="25"/>
      <c r="N467" s="26"/>
      <c r="O467" s="27"/>
      <c r="P467" s="158"/>
      <c r="Q467" s="41"/>
      <c r="R467" s="22"/>
      <c r="S467" s="22"/>
      <c r="T467" s="22"/>
    </row>
    <row r="468" spans="2:20">
      <c r="B468" s="21"/>
      <c r="C468" s="22"/>
      <c r="D468" s="22"/>
      <c r="E468" s="23"/>
      <c r="F468" s="24"/>
      <c r="G468" s="16"/>
      <c r="H468" s="2"/>
      <c r="I468" s="17"/>
      <c r="J468" s="25"/>
      <c r="K468" s="16"/>
      <c r="M468" s="25"/>
      <c r="N468" s="26"/>
      <c r="O468" s="27"/>
      <c r="P468" s="158"/>
      <c r="Q468" s="41"/>
      <c r="R468" s="22"/>
      <c r="S468" s="22"/>
      <c r="T468" s="22"/>
    </row>
    <row r="469" spans="2:20">
      <c r="B469" s="21"/>
      <c r="C469" s="22"/>
      <c r="D469" s="22"/>
      <c r="E469" s="23"/>
      <c r="F469" s="24"/>
      <c r="G469" s="16"/>
      <c r="H469" s="2">
        <f>SUM(H441:H468)</f>
        <v>9063</v>
      </c>
      <c r="I469" s="17">
        <f>H469/$A$224</f>
        <v>43.157142857142858</v>
      </c>
      <c r="J469" s="25"/>
      <c r="K469" s="16"/>
      <c r="L469" s="2">
        <f>SUM(L441:L468)</f>
        <v>3501</v>
      </c>
      <c r="M469" s="157">
        <f>L469/$A$224</f>
        <v>16.671428571428571</v>
      </c>
      <c r="N469" s="26"/>
      <c r="O469" s="27"/>
      <c r="P469" s="158"/>
      <c r="Q469" s="41"/>
      <c r="R469" s="22"/>
      <c r="S469" s="22"/>
      <c r="T469" s="22"/>
    </row>
    <row r="470" spans="2:20">
      <c r="B470" s="21"/>
      <c r="C470" s="22"/>
      <c r="D470" s="22"/>
      <c r="E470" s="23"/>
      <c r="F470" s="24"/>
      <c r="G470" s="16"/>
      <c r="H470" s="2"/>
      <c r="I470" s="17"/>
      <c r="J470" s="25"/>
      <c r="K470" s="16"/>
      <c r="M470" s="25"/>
      <c r="N470" s="26"/>
      <c r="O470" s="27"/>
      <c r="P470" s="158"/>
      <c r="Q470" s="41"/>
      <c r="R470" s="22"/>
      <c r="S470" s="22"/>
      <c r="T470" s="22"/>
    </row>
    <row r="471" spans="2:20">
      <c r="B471" s="21"/>
      <c r="C471" s="22"/>
      <c r="D471" s="22"/>
      <c r="E471" s="23"/>
      <c r="F471" s="24"/>
      <c r="G471" s="16"/>
      <c r="H471" s="2"/>
      <c r="I471" s="17"/>
      <c r="J471" s="25"/>
      <c r="K471" s="16"/>
      <c r="M471" s="25"/>
      <c r="N471" s="26"/>
      <c r="O471" s="27"/>
      <c r="P471" s="158"/>
      <c r="Q471" s="41"/>
      <c r="R471" s="22"/>
      <c r="S471" s="22"/>
      <c r="T471" s="22"/>
    </row>
    <row r="472" spans="2:20">
      <c r="B472" s="21"/>
      <c r="C472" s="22"/>
      <c r="D472" s="22"/>
      <c r="E472" s="23"/>
      <c r="F472" s="24"/>
      <c r="G472" s="16"/>
      <c r="H472" s="2"/>
      <c r="I472" s="17"/>
      <c r="J472" s="25"/>
      <c r="K472" s="16"/>
      <c r="M472" s="25"/>
      <c r="N472" s="26"/>
      <c r="O472" s="27"/>
      <c r="P472" s="158"/>
      <c r="Q472" s="41"/>
      <c r="R472" s="22"/>
      <c r="S472" s="22"/>
      <c r="T472" s="22"/>
    </row>
    <row r="473" spans="2:20">
      <c r="B473" s="21"/>
      <c r="C473" s="22"/>
      <c r="D473" s="22"/>
      <c r="E473" s="23"/>
      <c r="F473" s="24"/>
      <c r="G473" s="16"/>
      <c r="H473" s="2"/>
      <c r="I473" s="17"/>
      <c r="J473" s="25"/>
      <c r="K473" s="16"/>
      <c r="M473" s="25"/>
      <c r="N473" s="26"/>
      <c r="O473" s="27"/>
      <c r="P473" s="158"/>
      <c r="Q473" s="41"/>
      <c r="R473" s="22"/>
      <c r="S473" s="22"/>
      <c r="T473" s="22"/>
    </row>
    <row r="474" spans="2:20">
      <c r="B474" s="21"/>
      <c r="C474" s="22"/>
      <c r="D474" s="22"/>
      <c r="E474" s="23"/>
      <c r="F474" s="24"/>
      <c r="G474" s="16"/>
      <c r="H474" s="2"/>
      <c r="I474" s="17"/>
      <c r="J474" s="25"/>
      <c r="K474" s="16"/>
      <c r="M474" s="25"/>
      <c r="N474" s="26"/>
      <c r="O474" s="27"/>
      <c r="P474" s="158"/>
      <c r="Q474" s="41"/>
      <c r="R474" s="22"/>
      <c r="S474" s="22"/>
      <c r="T474" s="22"/>
    </row>
    <row r="475" spans="2:20">
      <c r="B475" s="21"/>
      <c r="C475" s="22"/>
      <c r="D475" s="22"/>
      <c r="E475" s="23"/>
      <c r="F475" s="24"/>
      <c r="G475" s="16"/>
      <c r="H475" s="2"/>
      <c r="I475" s="17"/>
      <c r="J475" s="25"/>
      <c r="K475" s="16"/>
      <c r="M475" s="25"/>
      <c r="N475" s="26"/>
      <c r="O475" s="27"/>
      <c r="P475" s="158"/>
      <c r="Q475" s="41"/>
      <c r="R475" s="22"/>
      <c r="S475" s="22"/>
      <c r="T475" s="22"/>
    </row>
    <row r="476" spans="2:20">
      <c r="B476" s="21"/>
      <c r="C476" s="22"/>
      <c r="D476" s="22"/>
      <c r="E476" s="23"/>
      <c r="F476" s="24"/>
      <c r="G476" s="16"/>
      <c r="H476" s="2">
        <f>SUM(H248:H475)</f>
        <v>26170</v>
      </c>
      <c r="I476" s="17" t="e">
        <f>H476/$A$458</f>
        <v>#DIV/0!</v>
      </c>
      <c r="J476" s="25"/>
      <c r="K476" s="16"/>
      <c r="L476" s="2">
        <f>SUM(L248:L475)</f>
        <v>10645</v>
      </c>
      <c r="M476" s="157" t="e">
        <f>L476/$A$458</f>
        <v>#DIV/0!</v>
      </c>
      <c r="N476" s="26"/>
      <c r="O476" s="27"/>
      <c r="P476" s="158"/>
      <c r="Q476" s="41"/>
      <c r="R476" s="22"/>
      <c r="S476" s="22"/>
      <c r="T476" s="22"/>
    </row>
    <row r="477" spans="2:20">
      <c r="B477" s="21"/>
      <c r="C477" s="22"/>
      <c r="D477" s="22"/>
      <c r="E477" s="23"/>
      <c r="F477" s="24"/>
      <c r="G477" s="16"/>
      <c r="H477" s="2"/>
      <c r="I477" s="17"/>
      <c r="J477" s="25"/>
      <c r="K477" s="16"/>
      <c r="M477" s="25"/>
      <c r="N477" s="26"/>
      <c r="O477" s="27"/>
      <c r="P477" s="158"/>
      <c r="Q477" s="41"/>
      <c r="R477" s="22"/>
      <c r="S477" s="22"/>
      <c r="T477" s="22"/>
    </row>
    <row r="478" spans="2:20">
      <c r="B478" s="21"/>
      <c r="C478" s="22"/>
      <c r="D478" s="22"/>
      <c r="E478" s="23"/>
      <c r="F478" s="24"/>
      <c r="G478" s="16"/>
      <c r="H478" s="2"/>
      <c r="I478" s="17"/>
      <c r="J478" s="25"/>
      <c r="K478" s="16"/>
      <c r="M478" s="25"/>
      <c r="N478" s="26"/>
      <c r="O478" s="27"/>
      <c r="P478" s="158"/>
      <c r="Q478" s="41"/>
      <c r="R478" s="22"/>
      <c r="S478" s="22"/>
      <c r="T478" s="22"/>
    </row>
    <row r="479" spans="2:20">
      <c r="B479" s="21"/>
      <c r="C479" s="22"/>
      <c r="D479" s="22"/>
      <c r="E479" s="23"/>
      <c r="F479" s="24"/>
      <c r="G479" s="16"/>
      <c r="H479" s="2"/>
      <c r="I479" s="17"/>
      <c r="J479" s="25"/>
      <c r="K479" s="16"/>
      <c r="M479" s="25"/>
      <c r="N479" s="26"/>
      <c r="O479" s="27"/>
      <c r="P479" s="158"/>
      <c r="Q479" s="41"/>
      <c r="R479" s="22"/>
      <c r="S479" s="22"/>
      <c r="T479" s="22"/>
    </row>
    <row r="480" spans="2:20">
      <c r="B480" s="21"/>
      <c r="C480" s="22"/>
      <c r="D480" s="22"/>
      <c r="E480" s="23"/>
      <c r="F480" s="24"/>
      <c r="G480" s="16"/>
      <c r="H480" s="2"/>
      <c r="I480" s="17"/>
      <c r="J480" s="25"/>
      <c r="K480" s="16"/>
      <c r="M480" s="25"/>
      <c r="N480" s="26"/>
      <c r="O480" s="27"/>
      <c r="P480" s="158"/>
      <c r="Q480" s="41"/>
      <c r="R480" s="22"/>
      <c r="S480" s="22"/>
      <c r="T480" s="22"/>
    </row>
    <row r="481" spans="1:20">
      <c r="B481" s="21"/>
      <c r="C481" s="22"/>
      <c r="D481" s="22"/>
      <c r="E481" s="23"/>
      <c r="F481" s="24"/>
      <c r="G481" s="16"/>
      <c r="H481" s="2"/>
      <c r="I481" s="17"/>
      <c r="J481" s="25"/>
      <c r="K481" s="16"/>
      <c r="M481" s="25"/>
      <c r="N481" s="26"/>
      <c r="O481" s="27"/>
      <c r="P481" s="71"/>
      <c r="Q481" s="28"/>
      <c r="R481" s="22"/>
      <c r="S481" s="22"/>
      <c r="T481" s="22"/>
    </row>
    <row r="482" spans="1:20">
      <c r="B482" s="21"/>
      <c r="C482" s="22"/>
      <c r="D482" s="22"/>
      <c r="E482" s="23"/>
      <c r="F482" s="24"/>
      <c r="G482" s="16"/>
      <c r="H482" s="2"/>
      <c r="I482" s="17"/>
      <c r="J482" s="25"/>
      <c r="K482" s="16"/>
      <c r="M482" s="25"/>
      <c r="N482" s="26"/>
      <c r="O482" s="27"/>
      <c r="P482" s="71"/>
      <c r="Q482" s="28"/>
      <c r="R482" s="22"/>
      <c r="S482" s="22"/>
      <c r="T482" s="22"/>
    </row>
    <row r="483" spans="1:20">
      <c r="B483" s="21"/>
      <c r="C483" s="22"/>
      <c r="D483" s="22"/>
      <c r="E483" s="23"/>
      <c r="F483" s="24"/>
      <c r="G483" s="16"/>
      <c r="H483" s="2">
        <f>SUM(H465:H482)</f>
        <v>42571</v>
      </c>
      <c r="I483" s="2" t="e">
        <f>H483/$A$480</f>
        <v>#DIV/0!</v>
      </c>
      <c r="L483" s="2">
        <f>SUM(L465:L482)</f>
        <v>17166</v>
      </c>
      <c r="M483" s="2" t="e">
        <f>L483/$A$480</f>
        <v>#DIV/0!</v>
      </c>
      <c r="N483" s="26"/>
      <c r="O483" s="27"/>
      <c r="P483" s="71"/>
      <c r="Q483" s="28"/>
      <c r="R483" s="22"/>
      <c r="S483" s="22"/>
      <c r="T483" s="22"/>
    </row>
    <row r="484" spans="1:20">
      <c r="A484">
        <f>A458+A193+A18</f>
        <v>87</v>
      </c>
      <c r="B484" s="21"/>
      <c r="C484" s="22"/>
      <c r="D484" s="22"/>
      <c r="E484" s="23"/>
      <c r="F484" s="24"/>
      <c r="G484" s="16" t="s">
        <v>530</v>
      </c>
      <c r="H484" s="2">
        <f>H21+H195+H460</f>
        <v>734</v>
      </c>
      <c r="I484" s="17">
        <f>H484/A484</f>
        <v>8.4367816091954015</v>
      </c>
      <c r="J484" s="25"/>
      <c r="K484" s="16"/>
      <c r="L484" s="2">
        <f>L21+L195+L460</f>
        <v>208</v>
      </c>
      <c r="M484" s="25">
        <f>L484/A484</f>
        <v>2.3908045977011496</v>
      </c>
      <c r="N484" s="26"/>
      <c r="O484" s="27"/>
      <c r="P484" s="71"/>
      <c r="Q484" s="28"/>
      <c r="R484" s="22"/>
      <c r="S484" s="22"/>
      <c r="T484" s="22"/>
    </row>
    <row r="485" spans="1:20">
      <c r="A485">
        <f>A480+A224+A30</f>
        <v>221</v>
      </c>
      <c r="B485" s="21"/>
      <c r="C485" s="22"/>
      <c r="D485" s="22"/>
      <c r="E485" s="23"/>
      <c r="F485" s="24"/>
      <c r="G485" s="16" t="s">
        <v>531</v>
      </c>
      <c r="H485" s="2">
        <f>H483+H226+H32</f>
        <v>42646</v>
      </c>
      <c r="I485" s="17">
        <f>H485/A485</f>
        <v>192.96832579185519</v>
      </c>
      <c r="J485" s="25"/>
      <c r="K485" s="16"/>
      <c r="L485" s="2">
        <f>L483+L226+L32</f>
        <v>17190</v>
      </c>
      <c r="M485" s="25">
        <f>L485/A485</f>
        <v>77.782805429864254</v>
      </c>
      <c r="N485" s="26"/>
      <c r="O485" s="27"/>
      <c r="P485" s="71"/>
      <c r="Q485" s="28"/>
      <c r="R485" s="22"/>
      <c r="S485" s="22"/>
      <c r="T485" s="22"/>
    </row>
    <row r="486" spans="1:20">
      <c r="A486">
        <f>SUM(A480+A458+A224+A193+A30+A18)</f>
        <v>308</v>
      </c>
      <c r="B486" s="21"/>
      <c r="C486" s="22"/>
      <c r="D486" s="22"/>
      <c r="E486" s="23"/>
      <c r="F486" s="24"/>
      <c r="G486" s="16" t="s">
        <v>532</v>
      </c>
      <c r="H486" s="2">
        <f>H483+H460+H226+H195+H32+H21</f>
        <v>43380</v>
      </c>
      <c r="I486" s="2">
        <f>H486/$A$486</f>
        <v>140.84415584415584</v>
      </c>
      <c r="L486" s="2">
        <f>L483+L460+L226+L195+L32+L21</f>
        <v>17398</v>
      </c>
      <c r="M486" s="2">
        <f>L486/$A$486</f>
        <v>56.487012987012989</v>
      </c>
      <c r="N486" s="26"/>
      <c r="O486" s="27"/>
      <c r="P486" s="71"/>
      <c r="Q486" s="28"/>
      <c r="R486" s="22"/>
      <c r="S486" s="22"/>
      <c r="T486" s="22"/>
    </row>
    <row r="487" spans="1:20">
      <c r="B487" s="21"/>
      <c r="C487" s="22"/>
      <c r="D487" s="22"/>
      <c r="E487" s="23"/>
      <c r="F487" s="24"/>
      <c r="G487" s="16"/>
      <c r="H487" s="2"/>
      <c r="I487" s="17"/>
      <c r="J487" s="25"/>
      <c r="K487" s="16"/>
      <c r="M487" s="25"/>
      <c r="N487" s="26"/>
      <c r="O487" s="27"/>
      <c r="P487" s="71"/>
      <c r="Q487" s="28"/>
      <c r="R487" s="22"/>
      <c r="S487" s="22"/>
      <c r="T487" s="22"/>
    </row>
    <row r="488" spans="1:20">
      <c r="B488" s="21"/>
      <c r="C488" s="22"/>
      <c r="D488" s="22"/>
      <c r="E488" s="23"/>
      <c r="F488" s="24"/>
      <c r="G488" s="16"/>
      <c r="H488" s="2"/>
      <c r="I488" s="17"/>
      <c r="J488" s="25"/>
      <c r="K488" s="16"/>
      <c r="M488" s="25"/>
      <c r="N488" s="26"/>
      <c r="O488" s="27"/>
      <c r="P488" s="71"/>
      <c r="Q488" s="28"/>
      <c r="R488" s="22"/>
      <c r="S488" s="22"/>
      <c r="T488" s="22"/>
    </row>
    <row r="489" spans="1:20">
      <c r="B489" s="21"/>
      <c r="C489" s="22"/>
      <c r="D489" s="22"/>
      <c r="E489" s="23"/>
      <c r="F489" s="24"/>
      <c r="G489" s="16"/>
      <c r="H489" s="2"/>
      <c r="I489" s="17"/>
      <c r="J489" s="25"/>
      <c r="K489" s="16"/>
      <c r="M489" s="25"/>
      <c r="N489" s="26"/>
      <c r="O489" s="27"/>
      <c r="P489" s="71"/>
      <c r="Q489" s="28"/>
      <c r="R489" s="22"/>
      <c r="S489" s="22"/>
      <c r="T489" s="22"/>
    </row>
    <row r="490" spans="1:20">
      <c r="B490" s="21"/>
      <c r="C490" s="22"/>
      <c r="D490" s="22"/>
      <c r="E490" s="23"/>
      <c r="F490" s="24"/>
      <c r="G490" s="16"/>
      <c r="H490" s="2"/>
      <c r="I490" s="17"/>
      <c r="J490" s="25"/>
      <c r="K490" s="16"/>
      <c r="M490" s="25"/>
      <c r="N490" s="26"/>
      <c r="O490" s="27"/>
      <c r="P490" s="71"/>
      <c r="Q490" s="28"/>
      <c r="R490" s="22"/>
      <c r="S490" s="22"/>
      <c r="T490" s="22"/>
    </row>
    <row r="491" spans="1:20">
      <c r="B491" s="21"/>
      <c r="C491" s="22"/>
      <c r="D491" s="22"/>
      <c r="E491" s="23"/>
      <c r="F491" s="24"/>
      <c r="G491" s="16"/>
      <c r="H491" s="2"/>
      <c r="I491" s="17"/>
      <c r="J491" s="25"/>
      <c r="K491" s="16"/>
      <c r="M491" s="25"/>
      <c r="N491" s="26"/>
      <c r="O491" s="27"/>
      <c r="P491" s="71"/>
      <c r="Q491" s="28"/>
      <c r="R491" s="22"/>
      <c r="S491" s="22"/>
      <c r="T491" s="22"/>
    </row>
    <row r="492" spans="1:20">
      <c r="B492" s="21"/>
      <c r="C492" s="22"/>
      <c r="D492" s="22"/>
      <c r="E492" s="23"/>
      <c r="F492" s="24"/>
      <c r="G492" s="16"/>
      <c r="H492" s="2"/>
      <c r="I492" s="17"/>
      <c r="J492" s="25"/>
      <c r="K492" s="16"/>
      <c r="M492" s="25"/>
      <c r="N492" s="26"/>
      <c r="O492" s="27"/>
      <c r="P492" s="71"/>
      <c r="Q492" s="28"/>
      <c r="R492" s="22"/>
      <c r="S492" s="22"/>
      <c r="T492" s="22"/>
    </row>
    <row r="493" spans="1:20">
      <c r="A493">
        <v>1</v>
      </c>
      <c r="B493" s="21">
        <v>471</v>
      </c>
      <c r="C493" s="22">
        <v>7674</v>
      </c>
      <c r="D493" s="22" t="s">
        <v>533</v>
      </c>
      <c r="E493" s="23" t="s">
        <v>15</v>
      </c>
      <c r="F493" s="24">
        <v>19640301</v>
      </c>
      <c r="G493" s="16">
        <f t="shared" ref="G493:G537" si="28">DATE(INT(F493/10000),INT(MOD(F493,10000)/100),MOD(F493,100))</f>
        <v>23437</v>
      </c>
      <c r="H493" s="2">
        <f t="shared" ref="H493:H537" si="29">DATEDIF(G493,$G$4,"Y")</f>
        <v>57</v>
      </c>
      <c r="I493" s="17"/>
      <c r="J493" s="25">
        <v>20010521</v>
      </c>
      <c r="K493" s="16">
        <f t="shared" ref="K493:K537" si="30">DATE(INT(J493/10000),INT(MOD(J493,10000)/100),MOD(J493,100))</f>
        <v>37032</v>
      </c>
      <c r="L493" s="2">
        <f t="shared" ref="L493:L537" si="31">DATEDIF(K493,$G$4,"Y")</f>
        <v>20</v>
      </c>
      <c r="M493" s="25"/>
      <c r="N493" s="26"/>
      <c r="O493" s="27">
        <v>0</v>
      </c>
      <c r="P493" s="70">
        <v>41220</v>
      </c>
      <c r="Q493" s="70" t="s">
        <v>103</v>
      </c>
      <c r="R493" s="22">
        <v>2</v>
      </c>
      <c r="S493" s="22"/>
      <c r="T493" s="22">
        <v>3</v>
      </c>
    </row>
    <row r="494" spans="1:20">
      <c r="A494">
        <v>2</v>
      </c>
      <c r="B494" s="21">
        <v>474</v>
      </c>
      <c r="C494" s="22">
        <v>7755</v>
      </c>
      <c r="D494" s="22" t="s">
        <v>534</v>
      </c>
      <c r="E494" s="23" t="s">
        <v>15</v>
      </c>
      <c r="F494" s="24">
        <v>19760828</v>
      </c>
      <c r="G494" s="16">
        <f t="shared" si="28"/>
        <v>28000</v>
      </c>
      <c r="H494" s="2">
        <f t="shared" si="29"/>
        <v>45</v>
      </c>
      <c r="I494" s="17"/>
      <c r="J494" s="25">
        <v>20030630</v>
      </c>
      <c r="K494" s="16">
        <f t="shared" si="30"/>
        <v>37802</v>
      </c>
      <c r="L494" s="2">
        <f t="shared" si="31"/>
        <v>18</v>
      </c>
      <c r="M494" s="25"/>
      <c r="N494" s="26"/>
      <c r="O494" s="27">
        <v>0</v>
      </c>
      <c r="P494" s="70">
        <v>41220</v>
      </c>
      <c r="Q494" s="70" t="s">
        <v>103</v>
      </c>
      <c r="R494" s="22">
        <v>2</v>
      </c>
      <c r="S494" s="22"/>
      <c r="T494" s="22">
        <v>3</v>
      </c>
    </row>
    <row r="495" spans="1:20">
      <c r="A495">
        <v>3</v>
      </c>
      <c r="B495" s="21">
        <v>476</v>
      </c>
      <c r="C495" s="22">
        <v>7806</v>
      </c>
      <c r="D495" s="22" t="s">
        <v>535</v>
      </c>
      <c r="E495" s="23" t="s">
        <v>15</v>
      </c>
      <c r="F495" s="24">
        <v>19591207</v>
      </c>
      <c r="G495" s="16">
        <f t="shared" si="28"/>
        <v>21891</v>
      </c>
      <c r="H495" s="2">
        <f t="shared" si="29"/>
        <v>61</v>
      </c>
      <c r="I495" s="17"/>
      <c r="J495" s="25">
        <v>20040224</v>
      </c>
      <c r="K495" s="16">
        <f t="shared" si="30"/>
        <v>38041</v>
      </c>
      <c r="L495" s="2">
        <f t="shared" si="31"/>
        <v>17</v>
      </c>
      <c r="M495" s="25"/>
      <c r="N495" s="26"/>
      <c r="O495" s="27">
        <v>0</v>
      </c>
      <c r="P495" s="70">
        <v>42021</v>
      </c>
      <c r="Q495" s="70" t="s">
        <v>290</v>
      </c>
      <c r="R495" s="22">
        <v>2</v>
      </c>
      <c r="S495" s="22"/>
      <c r="T495" s="22">
        <v>3</v>
      </c>
    </row>
    <row r="496" spans="1:20">
      <c r="A496">
        <v>4</v>
      </c>
      <c r="B496" s="21">
        <v>478</v>
      </c>
      <c r="C496" s="22">
        <v>7850</v>
      </c>
      <c r="D496" s="22" t="s">
        <v>536</v>
      </c>
      <c r="E496" s="23" t="s">
        <v>15</v>
      </c>
      <c r="F496" s="24">
        <v>19870118</v>
      </c>
      <c r="G496" s="16">
        <f t="shared" si="28"/>
        <v>31795</v>
      </c>
      <c r="H496" s="2">
        <f t="shared" si="29"/>
        <v>34</v>
      </c>
      <c r="I496" s="17"/>
      <c r="J496" s="25">
        <v>20050321</v>
      </c>
      <c r="K496" s="16">
        <f t="shared" si="30"/>
        <v>38432</v>
      </c>
      <c r="L496" s="2">
        <f t="shared" si="31"/>
        <v>16</v>
      </c>
      <c r="M496" s="25"/>
      <c r="N496" s="26"/>
      <c r="O496" s="27">
        <v>0</v>
      </c>
      <c r="P496" s="70">
        <v>45121</v>
      </c>
      <c r="Q496" s="70" t="s">
        <v>396</v>
      </c>
      <c r="R496" s="22">
        <v>2</v>
      </c>
      <c r="S496" s="22"/>
      <c r="T496" s="22">
        <v>3</v>
      </c>
    </row>
    <row r="497" spans="1:20">
      <c r="A497">
        <v>5</v>
      </c>
      <c r="B497" s="21">
        <v>481</v>
      </c>
      <c r="C497" s="22">
        <v>7923</v>
      </c>
      <c r="D497" s="22" t="s">
        <v>537</v>
      </c>
      <c r="E497" s="23" t="s">
        <v>15</v>
      </c>
      <c r="F497" s="24">
        <v>19610103</v>
      </c>
      <c r="G497" s="16">
        <f t="shared" si="28"/>
        <v>22284</v>
      </c>
      <c r="H497" s="2">
        <f t="shared" si="29"/>
        <v>60</v>
      </c>
      <c r="I497" s="17"/>
      <c r="J497" s="25">
        <v>20070201</v>
      </c>
      <c r="K497" s="16">
        <f t="shared" si="30"/>
        <v>39114</v>
      </c>
      <c r="L497" s="2">
        <f t="shared" si="31"/>
        <v>14</v>
      </c>
      <c r="M497" s="25"/>
      <c r="N497" s="26"/>
      <c r="O497" s="27">
        <v>0</v>
      </c>
      <c r="P497" s="70">
        <v>65021</v>
      </c>
      <c r="Q497" s="70" t="s">
        <v>433</v>
      </c>
      <c r="R497" s="22">
        <v>2</v>
      </c>
      <c r="S497" s="22"/>
      <c r="T497" s="22">
        <v>3</v>
      </c>
    </row>
    <row r="498" spans="1:20">
      <c r="A498">
        <v>6</v>
      </c>
      <c r="B498" s="21">
        <v>483</v>
      </c>
      <c r="C498" s="22">
        <v>7935</v>
      </c>
      <c r="D498" s="22" t="s">
        <v>538</v>
      </c>
      <c r="E498" s="23" t="s">
        <v>15</v>
      </c>
      <c r="F498" s="24">
        <v>19480222</v>
      </c>
      <c r="G498" s="16">
        <f t="shared" si="28"/>
        <v>17585</v>
      </c>
      <c r="H498" s="2">
        <f t="shared" si="29"/>
        <v>73</v>
      </c>
      <c r="I498" s="17"/>
      <c r="J498" s="25">
        <v>20070521</v>
      </c>
      <c r="K498" s="16">
        <f t="shared" si="30"/>
        <v>39223</v>
      </c>
      <c r="L498" s="2">
        <f t="shared" si="31"/>
        <v>14</v>
      </c>
      <c r="M498" s="25"/>
      <c r="N498" s="26"/>
      <c r="O498" s="27" t="s">
        <v>35</v>
      </c>
      <c r="P498" s="70">
        <v>1020</v>
      </c>
      <c r="Q498" s="70" t="s">
        <v>17</v>
      </c>
      <c r="R498" s="22">
        <v>2</v>
      </c>
      <c r="S498" s="22"/>
      <c r="T498" s="22">
        <v>3</v>
      </c>
    </row>
    <row r="499" spans="1:20">
      <c r="A499">
        <v>7</v>
      </c>
      <c r="B499" s="21">
        <v>487</v>
      </c>
      <c r="C499" s="22">
        <v>8001</v>
      </c>
      <c r="D499" s="22" t="s">
        <v>539</v>
      </c>
      <c r="E499" s="23" t="s">
        <v>15</v>
      </c>
      <c r="F499" s="24">
        <v>19550925</v>
      </c>
      <c r="G499" s="16">
        <f t="shared" si="28"/>
        <v>20357</v>
      </c>
      <c r="H499" s="2">
        <f t="shared" si="29"/>
        <v>65</v>
      </c>
      <c r="I499" s="17"/>
      <c r="J499" s="25">
        <v>20080711</v>
      </c>
      <c r="K499" s="16">
        <f t="shared" si="30"/>
        <v>39640</v>
      </c>
      <c r="L499" s="2">
        <f t="shared" si="31"/>
        <v>13</v>
      </c>
      <c r="M499" s="25"/>
      <c r="N499" s="26"/>
      <c r="O499" s="27">
        <v>0</v>
      </c>
      <c r="P499" s="70">
        <v>42121</v>
      </c>
      <c r="Q499" s="70" t="s">
        <v>305</v>
      </c>
      <c r="R499" s="22">
        <v>2</v>
      </c>
      <c r="S499" s="22"/>
      <c r="T499" s="22">
        <v>3</v>
      </c>
    </row>
    <row r="500" spans="1:20">
      <c r="A500">
        <v>8</v>
      </c>
      <c r="B500" s="21">
        <v>488</v>
      </c>
      <c r="C500" s="22">
        <v>8028</v>
      </c>
      <c r="D500" s="22" t="s">
        <v>540</v>
      </c>
      <c r="E500" s="23" t="s">
        <v>15</v>
      </c>
      <c r="F500" s="24">
        <v>19500103</v>
      </c>
      <c r="G500" s="16">
        <f t="shared" si="28"/>
        <v>18266</v>
      </c>
      <c r="H500" s="2">
        <f t="shared" si="29"/>
        <v>71</v>
      </c>
      <c r="I500" s="17"/>
      <c r="J500" s="25">
        <v>19680301</v>
      </c>
      <c r="K500" s="16">
        <f t="shared" si="30"/>
        <v>24898</v>
      </c>
      <c r="L500" s="2">
        <f t="shared" si="31"/>
        <v>53</v>
      </c>
      <c r="M500" s="25"/>
      <c r="N500" s="26"/>
      <c r="O500" s="27">
        <v>0</v>
      </c>
      <c r="P500" s="70">
        <v>61220</v>
      </c>
      <c r="Q500" s="70" t="s">
        <v>158</v>
      </c>
      <c r="R500" s="22">
        <v>2</v>
      </c>
      <c r="S500" s="22"/>
      <c r="T500" s="22">
        <v>3</v>
      </c>
    </row>
    <row r="501" spans="1:20">
      <c r="A501">
        <v>9</v>
      </c>
      <c r="B501" s="21">
        <v>490</v>
      </c>
      <c r="C501" s="22">
        <v>8041</v>
      </c>
      <c r="D501" s="22" t="s">
        <v>541</v>
      </c>
      <c r="E501" s="23" t="s">
        <v>15</v>
      </c>
      <c r="F501" s="24">
        <v>19590410</v>
      </c>
      <c r="G501" s="16">
        <f t="shared" si="28"/>
        <v>21650</v>
      </c>
      <c r="H501" s="2">
        <f t="shared" si="29"/>
        <v>62</v>
      </c>
      <c r="I501" s="17"/>
      <c r="J501" s="25">
        <v>20100721</v>
      </c>
      <c r="K501" s="16">
        <f t="shared" si="30"/>
        <v>40380</v>
      </c>
      <c r="L501" s="2">
        <f t="shared" si="31"/>
        <v>11</v>
      </c>
      <c r="M501" s="25"/>
      <c r="N501" s="26"/>
      <c r="O501" s="27">
        <v>0</v>
      </c>
      <c r="P501" s="70">
        <v>41121</v>
      </c>
      <c r="Q501" s="70" t="s">
        <v>280</v>
      </c>
      <c r="R501" s="22">
        <v>2</v>
      </c>
      <c r="S501" s="22"/>
      <c r="T501" s="22">
        <v>3</v>
      </c>
    </row>
    <row r="502" spans="1:20">
      <c r="A502">
        <v>10</v>
      </c>
      <c r="B502" s="21">
        <v>492</v>
      </c>
      <c r="C502" s="22">
        <v>8054</v>
      </c>
      <c r="D502" s="22" t="s">
        <v>542</v>
      </c>
      <c r="E502" s="23" t="s">
        <v>15</v>
      </c>
      <c r="F502" s="24">
        <v>19501213</v>
      </c>
      <c r="G502" s="16">
        <f t="shared" si="28"/>
        <v>18610</v>
      </c>
      <c r="H502" s="2">
        <f t="shared" si="29"/>
        <v>70</v>
      </c>
      <c r="I502" s="17"/>
      <c r="J502" s="25">
        <v>19660321</v>
      </c>
      <c r="K502" s="16">
        <f t="shared" si="30"/>
        <v>24187</v>
      </c>
      <c r="L502" s="2">
        <f t="shared" si="31"/>
        <v>55</v>
      </c>
      <c r="M502" s="25"/>
      <c r="N502" s="26"/>
      <c r="O502" s="27">
        <v>0</v>
      </c>
      <c r="P502" s="70">
        <v>41021</v>
      </c>
      <c r="Q502" s="70" t="s">
        <v>258</v>
      </c>
      <c r="R502" s="22">
        <v>2</v>
      </c>
      <c r="S502" s="22"/>
      <c r="T502" s="22">
        <v>3</v>
      </c>
    </row>
    <row r="503" spans="1:20">
      <c r="A503">
        <v>11</v>
      </c>
      <c r="B503" s="21">
        <v>493</v>
      </c>
      <c r="C503" s="22">
        <v>8061</v>
      </c>
      <c r="D503" s="22" t="s">
        <v>543</v>
      </c>
      <c r="E503" s="23" t="s">
        <v>15</v>
      </c>
      <c r="F503" s="24">
        <v>19521019</v>
      </c>
      <c r="G503" s="16">
        <f t="shared" si="28"/>
        <v>19286</v>
      </c>
      <c r="H503" s="2">
        <f t="shared" si="29"/>
        <v>68</v>
      </c>
      <c r="I503" s="17"/>
      <c r="J503" s="25">
        <v>20110208</v>
      </c>
      <c r="K503" s="16">
        <f t="shared" si="30"/>
        <v>40582</v>
      </c>
      <c r="L503" s="2">
        <f t="shared" si="31"/>
        <v>10</v>
      </c>
      <c r="M503" s="25"/>
      <c r="N503" s="26"/>
      <c r="O503" s="27">
        <v>0</v>
      </c>
      <c r="P503" s="70">
        <v>42021</v>
      </c>
      <c r="Q503" s="70" t="s">
        <v>290</v>
      </c>
      <c r="R503" s="22">
        <v>2</v>
      </c>
      <c r="S503" s="22"/>
      <c r="T503" s="22">
        <v>3</v>
      </c>
    </row>
    <row r="504" spans="1:20">
      <c r="A504">
        <v>12</v>
      </c>
      <c r="B504" s="21">
        <v>494</v>
      </c>
      <c r="C504" s="22">
        <v>8062</v>
      </c>
      <c r="D504" s="22" t="s">
        <v>544</v>
      </c>
      <c r="E504" s="23" t="s">
        <v>15</v>
      </c>
      <c r="F504" s="24">
        <v>19630514</v>
      </c>
      <c r="G504" s="16">
        <f t="shared" si="28"/>
        <v>23145</v>
      </c>
      <c r="H504" s="2">
        <f t="shared" si="29"/>
        <v>58</v>
      </c>
      <c r="I504" s="17"/>
      <c r="J504" s="25">
        <v>20110208</v>
      </c>
      <c r="K504" s="16">
        <f t="shared" si="30"/>
        <v>40582</v>
      </c>
      <c r="L504" s="2">
        <f t="shared" si="31"/>
        <v>10</v>
      </c>
      <c r="M504" s="25"/>
      <c r="N504" s="26"/>
      <c r="O504" s="27">
        <v>0</v>
      </c>
      <c r="P504" s="70">
        <v>41121</v>
      </c>
      <c r="Q504" s="70" t="s">
        <v>280</v>
      </c>
      <c r="R504" s="22">
        <v>2</v>
      </c>
      <c r="S504" s="22"/>
      <c r="T504" s="22">
        <v>3</v>
      </c>
    </row>
    <row r="505" spans="1:20">
      <c r="A505">
        <v>13</v>
      </c>
      <c r="B505" s="21">
        <v>495</v>
      </c>
      <c r="C505" s="22">
        <v>8066</v>
      </c>
      <c r="D505" s="22" t="s">
        <v>545</v>
      </c>
      <c r="E505" s="23" t="s">
        <v>15</v>
      </c>
      <c r="F505" s="24">
        <v>19510310</v>
      </c>
      <c r="G505" s="16">
        <f t="shared" si="28"/>
        <v>18697</v>
      </c>
      <c r="H505" s="2">
        <f t="shared" si="29"/>
        <v>70</v>
      </c>
      <c r="I505" s="17"/>
      <c r="J505" s="25">
        <v>19670321</v>
      </c>
      <c r="K505" s="16">
        <f t="shared" si="30"/>
        <v>24552</v>
      </c>
      <c r="L505" s="2">
        <f t="shared" si="31"/>
        <v>54</v>
      </c>
      <c r="M505" s="25"/>
      <c r="N505" s="26"/>
      <c r="O505" s="27">
        <v>0</v>
      </c>
      <c r="P505" s="70">
        <v>61220</v>
      </c>
      <c r="Q505" s="70" t="s">
        <v>158</v>
      </c>
      <c r="R505" s="22">
        <v>2</v>
      </c>
      <c r="S505" s="22"/>
      <c r="T505" s="22">
        <v>3</v>
      </c>
    </row>
    <row r="506" spans="1:20">
      <c r="A506">
        <v>14</v>
      </c>
      <c r="B506" s="21">
        <v>497</v>
      </c>
      <c r="C506" s="22">
        <v>8083</v>
      </c>
      <c r="D506" s="22" t="s">
        <v>546</v>
      </c>
      <c r="E506" s="23" t="s">
        <v>15</v>
      </c>
      <c r="F506" s="24">
        <v>19511202</v>
      </c>
      <c r="G506" s="16">
        <f t="shared" si="28"/>
        <v>18964</v>
      </c>
      <c r="H506" s="2">
        <f t="shared" si="29"/>
        <v>69</v>
      </c>
      <c r="I506" s="17"/>
      <c r="J506" s="25">
        <v>19670302</v>
      </c>
      <c r="K506" s="16">
        <f t="shared" si="30"/>
        <v>24533</v>
      </c>
      <c r="L506" s="2">
        <f t="shared" si="31"/>
        <v>54</v>
      </c>
      <c r="M506" s="25"/>
      <c r="N506" s="26"/>
      <c r="O506" s="27">
        <v>0</v>
      </c>
      <c r="P506" s="70">
        <v>41021</v>
      </c>
      <c r="Q506" s="70" t="s">
        <v>258</v>
      </c>
      <c r="R506" s="22">
        <v>2</v>
      </c>
      <c r="S506" s="22"/>
      <c r="T506" s="22">
        <v>3</v>
      </c>
    </row>
    <row r="507" spans="1:20">
      <c r="A507">
        <v>15</v>
      </c>
      <c r="B507" s="21">
        <v>498</v>
      </c>
      <c r="C507" s="22">
        <v>8087</v>
      </c>
      <c r="D507" s="22" t="s">
        <v>547</v>
      </c>
      <c r="E507" s="23" t="s">
        <v>15</v>
      </c>
      <c r="F507" s="24">
        <v>19520227</v>
      </c>
      <c r="G507" s="16">
        <f t="shared" si="28"/>
        <v>19051</v>
      </c>
      <c r="H507" s="2">
        <f t="shared" si="29"/>
        <v>69</v>
      </c>
      <c r="I507" s="17"/>
      <c r="J507" s="25">
        <v>19700320</v>
      </c>
      <c r="K507" s="16">
        <f t="shared" si="30"/>
        <v>25647</v>
      </c>
      <c r="L507" s="2">
        <f t="shared" si="31"/>
        <v>51</v>
      </c>
      <c r="M507" s="25"/>
      <c r="N507" s="26"/>
      <c r="O507" s="27">
        <v>0</v>
      </c>
      <c r="P507" s="70">
        <v>61020</v>
      </c>
      <c r="Q507" s="70" t="s">
        <v>147</v>
      </c>
      <c r="R507" s="22">
        <v>2</v>
      </c>
      <c r="S507" s="22"/>
      <c r="T507" s="22">
        <v>3</v>
      </c>
    </row>
    <row r="508" spans="1:20">
      <c r="A508">
        <v>16</v>
      </c>
      <c r="B508" s="21">
        <v>499</v>
      </c>
      <c r="C508" s="22">
        <v>8088</v>
      </c>
      <c r="D508" s="22" t="s">
        <v>548</v>
      </c>
      <c r="E508" s="23" t="s">
        <v>15</v>
      </c>
      <c r="F508" s="24">
        <v>19520306</v>
      </c>
      <c r="G508" s="16">
        <f t="shared" si="28"/>
        <v>19059</v>
      </c>
      <c r="H508" s="2">
        <f t="shared" si="29"/>
        <v>69</v>
      </c>
      <c r="I508" s="17"/>
      <c r="J508" s="25">
        <v>19740316</v>
      </c>
      <c r="K508" s="16">
        <f t="shared" si="30"/>
        <v>27104</v>
      </c>
      <c r="L508" s="2">
        <f t="shared" si="31"/>
        <v>47</v>
      </c>
      <c r="M508" s="25"/>
      <c r="N508" s="26"/>
      <c r="O508" s="27">
        <v>0</v>
      </c>
      <c r="P508" s="70">
        <v>80020</v>
      </c>
      <c r="Q508" s="70" t="s">
        <v>172</v>
      </c>
      <c r="R508" s="22">
        <v>2</v>
      </c>
      <c r="S508" s="22"/>
      <c r="T508" s="22">
        <v>3</v>
      </c>
    </row>
    <row r="509" spans="1:20">
      <c r="A509">
        <v>17</v>
      </c>
      <c r="B509" s="21">
        <v>502</v>
      </c>
      <c r="C509" s="22">
        <v>8108</v>
      </c>
      <c r="D509" s="22" t="s">
        <v>549</v>
      </c>
      <c r="E509" s="23" t="s">
        <v>15</v>
      </c>
      <c r="F509" s="24">
        <v>19521115</v>
      </c>
      <c r="G509" s="16">
        <f t="shared" si="28"/>
        <v>19313</v>
      </c>
      <c r="H509" s="2">
        <f t="shared" si="29"/>
        <v>68</v>
      </c>
      <c r="I509" s="17"/>
      <c r="J509" s="25">
        <v>19710315</v>
      </c>
      <c r="K509" s="16">
        <f t="shared" si="30"/>
        <v>26007</v>
      </c>
      <c r="L509" s="2">
        <f t="shared" si="31"/>
        <v>50</v>
      </c>
      <c r="M509" s="25"/>
      <c r="N509" s="26"/>
      <c r="O509" s="27" t="s">
        <v>35</v>
      </c>
      <c r="P509" s="70">
        <v>1020</v>
      </c>
      <c r="Q509" s="70" t="s">
        <v>17</v>
      </c>
      <c r="R509" s="22">
        <v>2</v>
      </c>
      <c r="S509" s="22"/>
      <c r="T509" s="22">
        <v>3</v>
      </c>
    </row>
    <row r="510" spans="1:20">
      <c r="A510">
        <v>18</v>
      </c>
      <c r="B510" s="21">
        <v>503</v>
      </c>
      <c r="C510" s="22">
        <v>8111</v>
      </c>
      <c r="D510" s="22" t="s">
        <v>550</v>
      </c>
      <c r="E510" s="23" t="s">
        <v>15</v>
      </c>
      <c r="F510" s="24">
        <v>19521228</v>
      </c>
      <c r="G510" s="16">
        <f t="shared" si="28"/>
        <v>19356</v>
      </c>
      <c r="H510" s="2">
        <f t="shared" si="29"/>
        <v>68</v>
      </c>
      <c r="I510" s="17"/>
      <c r="J510" s="25">
        <v>19710320</v>
      </c>
      <c r="K510" s="16">
        <f t="shared" si="30"/>
        <v>26012</v>
      </c>
      <c r="L510" s="2">
        <f t="shared" si="31"/>
        <v>50</v>
      </c>
      <c r="M510" s="25"/>
      <c r="N510" s="26"/>
      <c r="O510" s="27">
        <v>0</v>
      </c>
      <c r="P510" s="70">
        <v>60320</v>
      </c>
      <c r="Q510" s="70" t="s">
        <v>138</v>
      </c>
      <c r="R510" s="22">
        <v>2</v>
      </c>
      <c r="S510" s="22"/>
      <c r="T510" s="22">
        <v>3</v>
      </c>
    </row>
    <row r="511" spans="1:20">
      <c r="A511">
        <v>19</v>
      </c>
      <c r="B511" s="21">
        <v>504</v>
      </c>
      <c r="C511" s="22">
        <v>8113</v>
      </c>
      <c r="D511" s="22" t="s">
        <v>551</v>
      </c>
      <c r="E511" s="23" t="s">
        <v>15</v>
      </c>
      <c r="F511" s="24">
        <v>19530214</v>
      </c>
      <c r="G511" s="16">
        <f t="shared" si="28"/>
        <v>19404</v>
      </c>
      <c r="H511" s="2">
        <f t="shared" si="29"/>
        <v>68</v>
      </c>
      <c r="I511" s="17"/>
      <c r="J511" s="25">
        <v>19760329</v>
      </c>
      <c r="K511" s="16">
        <f t="shared" si="30"/>
        <v>27848</v>
      </c>
      <c r="L511" s="2">
        <f t="shared" si="31"/>
        <v>45</v>
      </c>
      <c r="M511" s="25"/>
      <c r="N511" s="26"/>
      <c r="O511" s="27">
        <v>0</v>
      </c>
      <c r="P511" s="70">
        <v>80020</v>
      </c>
      <c r="Q511" s="70" t="s">
        <v>172</v>
      </c>
      <c r="R511" s="22">
        <v>2</v>
      </c>
      <c r="S511" s="22"/>
      <c r="T511" s="22">
        <v>3</v>
      </c>
    </row>
    <row r="512" spans="1:20">
      <c r="A512">
        <v>20</v>
      </c>
      <c r="B512" s="21">
        <v>505</v>
      </c>
      <c r="C512" s="22">
        <v>8117</v>
      </c>
      <c r="D512" s="22" t="s">
        <v>552</v>
      </c>
      <c r="E512" s="23" t="s">
        <v>15</v>
      </c>
      <c r="F512" s="24">
        <v>19530610</v>
      </c>
      <c r="G512" s="16">
        <f t="shared" si="28"/>
        <v>19520</v>
      </c>
      <c r="H512" s="2">
        <f t="shared" si="29"/>
        <v>68</v>
      </c>
      <c r="I512" s="17"/>
      <c r="J512" s="25">
        <v>19850917</v>
      </c>
      <c r="K512" s="16">
        <f t="shared" si="30"/>
        <v>31307</v>
      </c>
      <c r="L512" s="2">
        <f t="shared" si="31"/>
        <v>35</v>
      </c>
      <c r="M512" s="25"/>
      <c r="N512" s="26"/>
      <c r="O512" s="27">
        <v>0</v>
      </c>
      <c r="P512" s="70">
        <v>41220</v>
      </c>
      <c r="Q512" s="70" t="s">
        <v>103</v>
      </c>
      <c r="R512" s="22">
        <v>2</v>
      </c>
      <c r="S512" s="22"/>
      <c r="T512" s="22">
        <v>3</v>
      </c>
    </row>
    <row r="513" spans="1:20">
      <c r="A513">
        <v>21</v>
      </c>
      <c r="B513" s="21">
        <v>506</v>
      </c>
      <c r="C513" s="22">
        <v>8120</v>
      </c>
      <c r="D513" s="22" t="s">
        <v>553</v>
      </c>
      <c r="E513" s="23" t="s">
        <v>15</v>
      </c>
      <c r="F513" s="24">
        <v>19530829</v>
      </c>
      <c r="G513" s="16">
        <f t="shared" si="28"/>
        <v>19600</v>
      </c>
      <c r="H513" s="2">
        <f t="shared" si="29"/>
        <v>68</v>
      </c>
      <c r="I513" s="17"/>
      <c r="J513" s="25">
        <v>19780327</v>
      </c>
      <c r="K513" s="16">
        <f t="shared" si="30"/>
        <v>28576</v>
      </c>
      <c r="L513" s="2">
        <f t="shared" si="31"/>
        <v>43</v>
      </c>
      <c r="M513" s="25"/>
      <c r="N513" s="26"/>
      <c r="O513" s="27">
        <v>0</v>
      </c>
      <c r="P513" s="70">
        <v>63020</v>
      </c>
      <c r="Q513" s="70" t="s">
        <v>165</v>
      </c>
      <c r="R513" s="22">
        <v>2</v>
      </c>
      <c r="S513" s="22"/>
      <c r="T513" s="22">
        <v>3</v>
      </c>
    </row>
    <row r="514" spans="1:20">
      <c r="A514">
        <v>22</v>
      </c>
      <c r="B514" s="21">
        <v>508</v>
      </c>
      <c r="C514" s="22">
        <v>8127</v>
      </c>
      <c r="D514" s="22" t="s">
        <v>554</v>
      </c>
      <c r="E514" s="23" t="s">
        <v>15</v>
      </c>
      <c r="F514" s="24">
        <v>19540125</v>
      </c>
      <c r="G514" s="16">
        <f t="shared" si="28"/>
        <v>19749</v>
      </c>
      <c r="H514" s="2">
        <f t="shared" si="29"/>
        <v>67</v>
      </c>
      <c r="I514" s="17"/>
      <c r="J514" s="25">
        <v>19690322</v>
      </c>
      <c r="K514" s="16">
        <f t="shared" si="30"/>
        <v>25284</v>
      </c>
      <c r="L514" s="2">
        <f t="shared" si="31"/>
        <v>52</v>
      </c>
      <c r="M514" s="25"/>
      <c r="N514" s="26"/>
      <c r="O514" s="27">
        <v>0</v>
      </c>
      <c r="P514" s="70">
        <v>44021</v>
      </c>
      <c r="Q514" s="70" t="s">
        <v>381</v>
      </c>
      <c r="R514" s="22">
        <v>2</v>
      </c>
      <c r="S514" s="22"/>
      <c r="T514" s="22">
        <v>3</v>
      </c>
    </row>
    <row r="515" spans="1:20">
      <c r="A515">
        <v>23</v>
      </c>
      <c r="B515" s="21">
        <v>509</v>
      </c>
      <c r="C515" s="22">
        <v>8135</v>
      </c>
      <c r="D515" s="22" t="s">
        <v>555</v>
      </c>
      <c r="E515" s="23" t="s">
        <v>15</v>
      </c>
      <c r="F515" s="24">
        <v>19540619</v>
      </c>
      <c r="G515" s="16">
        <f t="shared" si="28"/>
        <v>19894</v>
      </c>
      <c r="H515" s="2">
        <f t="shared" si="29"/>
        <v>67</v>
      </c>
      <c r="I515" s="17"/>
      <c r="J515" s="25">
        <v>19840901</v>
      </c>
      <c r="K515" s="16">
        <f t="shared" si="30"/>
        <v>30926</v>
      </c>
      <c r="L515" s="2">
        <f t="shared" si="31"/>
        <v>37</v>
      </c>
      <c r="M515" s="25"/>
      <c r="N515" s="26"/>
      <c r="O515" s="27">
        <v>0</v>
      </c>
      <c r="P515" s="70">
        <v>64121</v>
      </c>
      <c r="Q515" s="70" t="s">
        <v>422</v>
      </c>
      <c r="R515" s="22">
        <v>2</v>
      </c>
      <c r="S515" s="22"/>
      <c r="T515" s="22">
        <v>3</v>
      </c>
    </row>
    <row r="516" spans="1:20">
      <c r="A516">
        <v>24</v>
      </c>
      <c r="B516" s="21">
        <v>511</v>
      </c>
      <c r="C516" s="22">
        <v>8143</v>
      </c>
      <c r="D516" s="22" t="s">
        <v>556</v>
      </c>
      <c r="E516" s="23" t="s">
        <v>15</v>
      </c>
      <c r="F516" s="24">
        <v>19541118</v>
      </c>
      <c r="G516" s="16">
        <f t="shared" si="28"/>
        <v>20046</v>
      </c>
      <c r="H516" s="2">
        <f t="shared" si="29"/>
        <v>66</v>
      </c>
      <c r="I516" s="17"/>
      <c r="J516" s="25">
        <v>19770325</v>
      </c>
      <c r="K516" s="16">
        <f t="shared" si="30"/>
        <v>28209</v>
      </c>
      <c r="L516" s="2">
        <f t="shared" si="31"/>
        <v>44</v>
      </c>
      <c r="M516" s="25"/>
      <c r="N516" s="26"/>
      <c r="O516" s="27">
        <v>0</v>
      </c>
      <c r="P516" s="70">
        <v>30020</v>
      </c>
      <c r="Q516" s="70" t="s">
        <v>53</v>
      </c>
      <c r="R516" s="22">
        <v>2</v>
      </c>
      <c r="S516" s="22"/>
      <c r="T516" s="22">
        <v>3</v>
      </c>
    </row>
    <row r="517" spans="1:20">
      <c r="A517">
        <v>25</v>
      </c>
      <c r="B517" s="21">
        <v>513</v>
      </c>
      <c r="C517" s="22">
        <v>8145</v>
      </c>
      <c r="D517" s="22" t="s">
        <v>557</v>
      </c>
      <c r="E517" s="23" t="s">
        <v>15</v>
      </c>
      <c r="F517" s="24">
        <v>19550220</v>
      </c>
      <c r="G517" s="16">
        <f t="shared" si="28"/>
        <v>20140</v>
      </c>
      <c r="H517" s="2">
        <f t="shared" si="29"/>
        <v>66</v>
      </c>
      <c r="I517" s="17"/>
      <c r="J517" s="25">
        <v>20150221</v>
      </c>
      <c r="K517" s="16">
        <f t="shared" si="30"/>
        <v>42056</v>
      </c>
      <c r="L517" s="2">
        <f t="shared" si="31"/>
        <v>6</v>
      </c>
      <c r="M517" s="25"/>
      <c r="N517" s="26"/>
      <c r="O517" s="27">
        <v>0</v>
      </c>
      <c r="P517" s="70">
        <v>31020</v>
      </c>
      <c r="Q517" s="70" t="s">
        <v>72</v>
      </c>
      <c r="R517" s="22">
        <v>2</v>
      </c>
      <c r="S517" s="22"/>
      <c r="T517" s="22">
        <v>3</v>
      </c>
    </row>
    <row r="518" spans="1:20">
      <c r="A518">
        <v>26</v>
      </c>
      <c r="B518" s="21">
        <v>515</v>
      </c>
      <c r="C518" s="22">
        <v>8154</v>
      </c>
      <c r="D518" s="22" t="s">
        <v>558</v>
      </c>
      <c r="E518" s="23" t="s">
        <v>15</v>
      </c>
      <c r="F518" s="24">
        <v>19550929</v>
      </c>
      <c r="G518" s="16">
        <f t="shared" si="28"/>
        <v>20361</v>
      </c>
      <c r="H518" s="2">
        <f t="shared" si="29"/>
        <v>65</v>
      </c>
      <c r="I518" s="17"/>
      <c r="J518" s="25">
        <v>19720321</v>
      </c>
      <c r="K518" s="16">
        <f t="shared" si="30"/>
        <v>26379</v>
      </c>
      <c r="L518" s="2">
        <f t="shared" si="31"/>
        <v>49</v>
      </c>
      <c r="M518" s="25"/>
      <c r="N518" s="26"/>
      <c r="O518" s="27">
        <v>0</v>
      </c>
      <c r="P518" s="70">
        <v>67221</v>
      </c>
      <c r="Q518" s="70" t="s">
        <v>476</v>
      </c>
      <c r="R518" s="22">
        <v>2</v>
      </c>
      <c r="S518" s="22"/>
      <c r="T518" s="22">
        <v>3</v>
      </c>
    </row>
    <row r="519" spans="1:20">
      <c r="A519">
        <v>27</v>
      </c>
      <c r="B519" s="21">
        <v>516</v>
      </c>
      <c r="C519" s="22">
        <v>8155</v>
      </c>
      <c r="D519" s="22" t="s">
        <v>559</v>
      </c>
      <c r="E519" s="23" t="s">
        <v>15</v>
      </c>
      <c r="F519" s="24">
        <v>19551005</v>
      </c>
      <c r="G519" s="16">
        <f t="shared" si="28"/>
        <v>20367</v>
      </c>
      <c r="H519" s="2">
        <f t="shared" si="29"/>
        <v>65</v>
      </c>
      <c r="I519" s="17"/>
      <c r="J519" s="25">
        <v>19720321</v>
      </c>
      <c r="K519" s="16">
        <f t="shared" si="30"/>
        <v>26379</v>
      </c>
      <c r="L519" s="2">
        <f t="shared" si="31"/>
        <v>49</v>
      </c>
      <c r="M519" s="25"/>
      <c r="N519" s="26"/>
      <c r="O519" s="27">
        <v>0</v>
      </c>
      <c r="P519" s="70">
        <v>61220</v>
      </c>
      <c r="Q519" s="70" t="s">
        <v>158</v>
      </c>
      <c r="R519" s="22">
        <v>2</v>
      </c>
      <c r="S519" s="22"/>
      <c r="T519" s="22">
        <v>3</v>
      </c>
    </row>
    <row r="520" spans="1:20">
      <c r="A520">
        <v>28</v>
      </c>
      <c r="B520" s="21">
        <v>517</v>
      </c>
      <c r="C520" s="22">
        <v>8158</v>
      </c>
      <c r="D520" s="22" t="s">
        <v>560</v>
      </c>
      <c r="E520" s="23" t="s">
        <v>15</v>
      </c>
      <c r="F520" s="24">
        <v>19550104</v>
      </c>
      <c r="G520" s="16">
        <f t="shared" si="28"/>
        <v>20093</v>
      </c>
      <c r="H520" s="2">
        <f t="shared" si="29"/>
        <v>66</v>
      </c>
      <c r="I520" s="17"/>
      <c r="J520" s="25">
        <v>20160106</v>
      </c>
      <c r="K520" s="16">
        <f t="shared" si="30"/>
        <v>42375</v>
      </c>
      <c r="L520" s="2">
        <f t="shared" si="31"/>
        <v>5</v>
      </c>
      <c r="M520" s="25"/>
      <c r="N520" s="26"/>
      <c r="O520" s="27">
        <v>0</v>
      </c>
      <c r="P520" s="70">
        <v>80020</v>
      </c>
      <c r="Q520" s="70" t="s">
        <v>172</v>
      </c>
      <c r="R520" s="22">
        <v>2</v>
      </c>
      <c r="S520" s="22"/>
      <c r="T520" s="22">
        <v>3</v>
      </c>
    </row>
    <row r="521" spans="1:20">
      <c r="A521">
        <v>29</v>
      </c>
      <c r="B521" s="21"/>
      <c r="C521" s="22">
        <v>8159</v>
      </c>
      <c r="D521" s="22" t="s">
        <v>640</v>
      </c>
      <c r="E521" s="23"/>
      <c r="F521" s="24"/>
      <c r="G521" s="16"/>
      <c r="H521" s="2"/>
      <c r="I521" s="17"/>
      <c r="J521" s="25"/>
      <c r="K521" s="16"/>
      <c r="M521" s="25"/>
      <c r="N521" s="26"/>
      <c r="O521" s="27"/>
      <c r="P521" s="70">
        <v>41021</v>
      </c>
      <c r="Q521" s="70" t="s">
        <v>258</v>
      </c>
      <c r="R521" s="22"/>
      <c r="S521" s="22"/>
      <c r="T521" s="22"/>
    </row>
    <row r="522" spans="1:20">
      <c r="A522">
        <v>30</v>
      </c>
      <c r="B522" s="21">
        <v>520</v>
      </c>
      <c r="C522" s="22">
        <v>8163</v>
      </c>
      <c r="D522" s="22" t="s">
        <v>561</v>
      </c>
      <c r="E522" s="23" t="s">
        <v>15</v>
      </c>
      <c r="F522" s="24">
        <v>19540915</v>
      </c>
      <c r="G522" s="16">
        <f t="shared" si="28"/>
        <v>19982</v>
      </c>
      <c r="H522" s="2">
        <f t="shared" si="29"/>
        <v>66</v>
      </c>
      <c r="I522" s="17"/>
      <c r="J522" s="25">
        <v>19780320</v>
      </c>
      <c r="K522" s="16">
        <f t="shared" si="30"/>
        <v>28569</v>
      </c>
      <c r="L522" s="2">
        <f t="shared" si="31"/>
        <v>43</v>
      </c>
      <c r="M522" s="25"/>
      <c r="N522" s="26"/>
      <c r="O522" s="27">
        <v>0</v>
      </c>
      <c r="P522" s="70">
        <v>80020</v>
      </c>
      <c r="Q522" s="70" t="s">
        <v>172</v>
      </c>
      <c r="R522" s="22">
        <v>2</v>
      </c>
      <c r="S522" s="22"/>
      <c r="T522" s="22">
        <v>3</v>
      </c>
    </row>
    <row r="523" spans="1:20">
      <c r="A523">
        <v>31</v>
      </c>
      <c r="B523" s="21">
        <v>522</v>
      </c>
      <c r="C523" s="22">
        <v>8168</v>
      </c>
      <c r="D523" s="22" t="s">
        <v>562</v>
      </c>
      <c r="E523" s="23" t="s">
        <v>15</v>
      </c>
      <c r="F523" s="24">
        <v>19571001</v>
      </c>
      <c r="G523" s="16">
        <f t="shared" si="28"/>
        <v>21094</v>
      </c>
      <c r="H523" s="2">
        <f t="shared" si="29"/>
        <v>63</v>
      </c>
      <c r="I523" s="17"/>
      <c r="J523" s="25">
        <v>19760329</v>
      </c>
      <c r="K523" s="16">
        <f t="shared" si="30"/>
        <v>27848</v>
      </c>
      <c r="L523" s="2">
        <f t="shared" si="31"/>
        <v>45</v>
      </c>
      <c r="M523" s="25"/>
      <c r="N523" s="26"/>
      <c r="O523" s="27">
        <v>0</v>
      </c>
      <c r="P523" s="70">
        <v>30020</v>
      </c>
      <c r="Q523" s="70" t="s">
        <v>53</v>
      </c>
      <c r="R523" s="22">
        <v>2</v>
      </c>
      <c r="S523" s="22"/>
      <c r="T523" s="22">
        <v>3</v>
      </c>
    </row>
    <row r="524" spans="1:20">
      <c r="A524">
        <v>32</v>
      </c>
      <c r="B524" s="21">
        <v>524</v>
      </c>
      <c r="C524" s="22">
        <v>8171</v>
      </c>
      <c r="D524" s="22" t="s">
        <v>563</v>
      </c>
      <c r="E524" s="23" t="s">
        <v>15</v>
      </c>
      <c r="F524" s="24">
        <v>19571123</v>
      </c>
      <c r="G524" s="16">
        <f t="shared" si="28"/>
        <v>21147</v>
      </c>
      <c r="H524" s="2">
        <f t="shared" si="29"/>
        <v>63</v>
      </c>
      <c r="I524" s="17"/>
      <c r="J524" s="25">
        <v>19760329</v>
      </c>
      <c r="K524" s="16">
        <f t="shared" si="30"/>
        <v>27848</v>
      </c>
      <c r="L524" s="2">
        <f t="shared" si="31"/>
        <v>45</v>
      </c>
      <c r="M524" s="25"/>
      <c r="N524" s="26"/>
      <c r="O524" s="27">
        <v>0</v>
      </c>
      <c r="P524" s="70">
        <v>60320</v>
      </c>
      <c r="Q524" s="70" t="s">
        <v>138</v>
      </c>
      <c r="R524" s="22">
        <v>2</v>
      </c>
      <c r="S524" s="22"/>
      <c r="T524" s="22">
        <v>3</v>
      </c>
    </row>
    <row r="525" spans="1:20">
      <c r="A525">
        <v>33</v>
      </c>
      <c r="B525" s="21">
        <v>525</v>
      </c>
      <c r="C525" s="22">
        <v>8174</v>
      </c>
      <c r="D525" s="22" t="s">
        <v>564</v>
      </c>
      <c r="E525" s="23" t="s">
        <v>15</v>
      </c>
      <c r="F525" s="24">
        <v>19580415</v>
      </c>
      <c r="G525" s="16">
        <f t="shared" si="28"/>
        <v>21290</v>
      </c>
      <c r="H525" s="2">
        <f t="shared" si="29"/>
        <v>63</v>
      </c>
      <c r="I525" s="17"/>
      <c r="J525" s="25">
        <v>19870908</v>
      </c>
      <c r="K525" s="16">
        <f t="shared" si="30"/>
        <v>32028</v>
      </c>
      <c r="L525" s="2">
        <f t="shared" si="31"/>
        <v>33</v>
      </c>
      <c r="M525" s="25"/>
      <c r="N525" s="26"/>
      <c r="O525" s="27">
        <v>0</v>
      </c>
      <c r="P525" s="70">
        <v>64021</v>
      </c>
      <c r="Q525" s="70" t="s">
        <v>416</v>
      </c>
      <c r="R525" s="22">
        <v>2</v>
      </c>
      <c r="S525" s="22"/>
      <c r="T525" s="22">
        <v>3</v>
      </c>
    </row>
    <row r="526" spans="1:20">
      <c r="A526">
        <v>34</v>
      </c>
      <c r="B526" s="21">
        <v>526</v>
      </c>
      <c r="C526" s="22">
        <v>8175</v>
      </c>
      <c r="D526" s="22" t="s">
        <v>565</v>
      </c>
      <c r="E526" s="23" t="s">
        <v>15</v>
      </c>
      <c r="F526" s="24">
        <v>19760819</v>
      </c>
      <c r="G526" s="16">
        <f t="shared" si="28"/>
        <v>27991</v>
      </c>
      <c r="H526" s="2">
        <f t="shared" si="29"/>
        <v>45</v>
      </c>
      <c r="I526" s="17"/>
      <c r="J526" s="25">
        <v>20180601</v>
      </c>
      <c r="K526" s="16">
        <f t="shared" si="30"/>
        <v>43252</v>
      </c>
      <c r="L526" s="2">
        <f t="shared" si="31"/>
        <v>3</v>
      </c>
      <c r="M526" s="25"/>
      <c r="N526" s="26"/>
      <c r="O526" s="27">
        <v>0</v>
      </c>
      <c r="P526" s="70">
        <v>65021</v>
      </c>
      <c r="Q526" s="70" t="s">
        <v>433</v>
      </c>
      <c r="R526" s="22">
        <v>2</v>
      </c>
      <c r="S526" s="22"/>
      <c r="T526" s="22">
        <v>3</v>
      </c>
    </row>
    <row r="527" spans="1:20">
      <c r="A527">
        <v>35</v>
      </c>
      <c r="B527" s="21">
        <v>529</v>
      </c>
      <c r="C527" s="22">
        <v>8181</v>
      </c>
      <c r="D527" s="22" t="s">
        <v>566</v>
      </c>
      <c r="E527" s="23" t="s">
        <v>15</v>
      </c>
      <c r="F527" s="24">
        <v>19590125</v>
      </c>
      <c r="G527" s="16">
        <f t="shared" si="28"/>
        <v>21575</v>
      </c>
      <c r="H527" s="2">
        <f t="shared" si="29"/>
        <v>62</v>
      </c>
      <c r="I527" s="17"/>
      <c r="J527" s="25">
        <v>19830323</v>
      </c>
      <c r="K527" s="16">
        <f t="shared" si="30"/>
        <v>30398</v>
      </c>
      <c r="L527" s="2">
        <f t="shared" si="31"/>
        <v>38</v>
      </c>
      <c r="M527" s="25"/>
      <c r="N527" s="26"/>
      <c r="O527" s="27">
        <v>0</v>
      </c>
      <c r="P527" s="70">
        <v>80020</v>
      </c>
      <c r="Q527" s="70" t="s">
        <v>172</v>
      </c>
      <c r="R527" s="22">
        <v>2</v>
      </c>
      <c r="S527" s="22"/>
      <c r="T527" s="22">
        <v>3</v>
      </c>
    </row>
    <row r="528" spans="1:20">
      <c r="A528">
        <v>36</v>
      </c>
      <c r="B528" s="21">
        <v>531</v>
      </c>
      <c r="C528" s="22">
        <v>8184</v>
      </c>
      <c r="D528" s="22" t="s">
        <v>567</v>
      </c>
      <c r="E528" s="23" t="s">
        <v>15</v>
      </c>
      <c r="F528" s="24">
        <v>19590226</v>
      </c>
      <c r="G528" s="16">
        <f t="shared" si="28"/>
        <v>21607</v>
      </c>
      <c r="H528" s="2">
        <f t="shared" si="29"/>
        <v>62</v>
      </c>
      <c r="I528" s="17"/>
      <c r="J528" s="25">
        <v>20020701</v>
      </c>
      <c r="K528" s="16">
        <f t="shared" si="30"/>
        <v>37438</v>
      </c>
      <c r="L528" s="2">
        <f t="shared" si="31"/>
        <v>19</v>
      </c>
      <c r="M528" s="25"/>
      <c r="N528" s="26"/>
      <c r="O528" s="27">
        <v>0</v>
      </c>
      <c r="P528" s="70">
        <v>45121</v>
      </c>
      <c r="Q528" s="70" t="s">
        <v>396</v>
      </c>
      <c r="R528" s="22">
        <v>2</v>
      </c>
      <c r="S528" s="22"/>
      <c r="T528" s="22">
        <v>3</v>
      </c>
    </row>
    <row r="529" spans="1:20">
      <c r="A529">
        <v>37</v>
      </c>
      <c r="B529" s="21">
        <v>532</v>
      </c>
      <c r="C529" s="22">
        <v>8185</v>
      </c>
      <c r="D529" s="22" t="s">
        <v>568</v>
      </c>
      <c r="E529" s="23" t="s">
        <v>15</v>
      </c>
      <c r="F529" s="24">
        <v>19531107</v>
      </c>
      <c r="G529" s="16">
        <f t="shared" si="28"/>
        <v>19670</v>
      </c>
      <c r="H529" s="2">
        <f t="shared" si="29"/>
        <v>67</v>
      </c>
      <c r="I529" s="17"/>
      <c r="J529" s="25">
        <v>19790320</v>
      </c>
      <c r="K529" s="16">
        <f t="shared" si="30"/>
        <v>28934</v>
      </c>
      <c r="L529" s="2">
        <f t="shared" si="31"/>
        <v>42</v>
      </c>
      <c r="M529" s="25"/>
      <c r="N529" s="26"/>
      <c r="O529" s="27">
        <v>0</v>
      </c>
      <c r="P529" s="70">
        <v>80020</v>
      </c>
      <c r="Q529" s="70" t="s">
        <v>172</v>
      </c>
      <c r="R529" s="22">
        <v>2</v>
      </c>
      <c r="S529" s="22"/>
      <c r="T529" s="22">
        <v>3</v>
      </c>
    </row>
    <row r="530" spans="1:20">
      <c r="A530">
        <v>38</v>
      </c>
      <c r="B530" s="21">
        <v>533</v>
      </c>
      <c r="C530" s="22">
        <v>8187</v>
      </c>
      <c r="D530" s="22" t="s">
        <v>569</v>
      </c>
      <c r="E530" s="23" t="s">
        <v>678</v>
      </c>
      <c r="F530" s="24">
        <v>19591001</v>
      </c>
      <c r="G530" s="16">
        <f t="shared" si="28"/>
        <v>21824</v>
      </c>
      <c r="H530" s="2">
        <f t="shared" si="29"/>
        <v>61</v>
      </c>
      <c r="I530" s="17"/>
      <c r="J530" s="25">
        <v>19760323</v>
      </c>
      <c r="K530" s="16">
        <f t="shared" si="30"/>
        <v>27842</v>
      </c>
      <c r="L530" s="2">
        <f t="shared" si="31"/>
        <v>45</v>
      </c>
      <c r="M530" s="25"/>
      <c r="N530" s="26"/>
      <c r="O530" s="27">
        <v>0</v>
      </c>
      <c r="P530" s="70">
        <v>61220</v>
      </c>
      <c r="Q530" s="70" t="s">
        <v>158</v>
      </c>
      <c r="R530" s="22">
        <v>2</v>
      </c>
      <c r="S530" s="22"/>
      <c r="T530" s="22">
        <v>3</v>
      </c>
    </row>
    <row r="531" spans="1:20">
      <c r="A531">
        <v>39</v>
      </c>
      <c r="B531" s="21">
        <v>534</v>
      </c>
      <c r="C531" s="22">
        <v>8188</v>
      </c>
      <c r="D531" s="22" t="s">
        <v>570</v>
      </c>
      <c r="E531" s="23" t="s">
        <v>678</v>
      </c>
      <c r="F531" s="24">
        <v>19591011</v>
      </c>
      <c r="G531" s="16">
        <f t="shared" si="28"/>
        <v>21834</v>
      </c>
      <c r="H531" s="2">
        <f t="shared" si="29"/>
        <v>61</v>
      </c>
      <c r="I531" s="17"/>
      <c r="J531" s="25">
        <v>19750325</v>
      </c>
      <c r="K531" s="16">
        <f t="shared" si="30"/>
        <v>27478</v>
      </c>
      <c r="L531" s="2">
        <f t="shared" si="31"/>
        <v>46</v>
      </c>
      <c r="M531" s="25"/>
      <c r="N531" s="26"/>
      <c r="O531" s="27">
        <v>0</v>
      </c>
      <c r="P531" s="70">
        <v>69221</v>
      </c>
      <c r="Q531" s="70" t="s">
        <v>508</v>
      </c>
      <c r="R531" s="22">
        <v>2</v>
      </c>
      <c r="S531" s="22"/>
      <c r="T531" s="22">
        <v>3</v>
      </c>
    </row>
    <row r="532" spans="1:20">
      <c r="A532">
        <v>40</v>
      </c>
      <c r="B532" s="21">
        <v>535</v>
      </c>
      <c r="C532" s="22">
        <v>8189</v>
      </c>
      <c r="D532" s="22" t="s">
        <v>571</v>
      </c>
      <c r="E532" s="23" t="s">
        <v>678</v>
      </c>
      <c r="F532" s="24">
        <v>19591030</v>
      </c>
      <c r="G532" s="16">
        <f t="shared" si="28"/>
        <v>21853</v>
      </c>
      <c r="H532" s="2">
        <f t="shared" si="29"/>
        <v>61</v>
      </c>
      <c r="I532" s="17"/>
      <c r="J532" s="25">
        <v>19770323</v>
      </c>
      <c r="K532" s="16">
        <f t="shared" si="30"/>
        <v>28207</v>
      </c>
      <c r="L532" s="2">
        <f t="shared" si="31"/>
        <v>44</v>
      </c>
      <c r="M532" s="25"/>
      <c r="N532" s="26"/>
      <c r="O532" s="27">
        <v>0</v>
      </c>
      <c r="P532" s="70">
        <v>80020</v>
      </c>
      <c r="Q532" s="70" t="s">
        <v>172</v>
      </c>
      <c r="R532" s="22">
        <v>2</v>
      </c>
      <c r="S532" s="22"/>
      <c r="T532" s="22">
        <v>3</v>
      </c>
    </row>
    <row r="533" spans="1:20">
      <c r="A533">
        <v>41</v>
      </c>
      <c r="B533" s="21">
        <v>536</v>
      </c>
      <c r="C533" s="22">
        <v>8190</v>
      </c>
      <c r="D533" s="22" t="s">
        <v>572</v>
      </c>
      <c r="E533" s="23" t="s">
        <v>678</v>
      </c>
      <c r="F533" s="24">
        <v>19591104</v>
      </c>
      <c r="G533" s="16">
        <f t="shared" si="28"/>
        <v>21858</v>
      </c>
      <c r="H533" s="2">
        <f t="shared" si="29"/>
        <v>61</v>
      </c>
      <c r="I533" s="17"/>
      <c r="J533" s="25">
        <v>19760323</v>
      </c>
      <c r="K533" s="16">
        <f t="shared" si="30"/>
        <v>27842</v>
      </c>
      <c r="L533" s="2">
        <f t="shared" si="31"/>
        <v>45</v>
      </c>
      <c r="M533" s="25"/>
      <c r="N533" s="26"/>
      <c r="O533" s="27">
        <v>0</v>
      </c>
      <c r="P533" s="70">
        <v>41021</v>
      </c>
      <c r="Q533" s="70" t="s">
        <v>258</v>
      </c>
      <c r="R533" s="22">
        <v>2</v>
      </c>
      <c r="S533" s="22"/>
      <c r="T533" s="22">
        <v>3</v>
      </c>
    </row>
    <row r="534" spans="1:20">
      <c r="A534">
        <v>42</v>
      </c>
      <c r="B534" s="21">
        <v>538</v>
      </c>
      <c r="C534" s="22">
        <v>8192</v>
      </c>
      <c r="D534" s="22" t="s">
        <v>573</v>
      </c>
      <c r="E534" s="23" t="s">
        <v>678</v>
      </c>
      <c r="F534" s="24">
        <v>19600225</v>
      </c>
      <c r="G534" s="16">
        <f t="shared" si="28"/>
        <v>21971</v>
      </c>
      <c r="H534" s="2">
        <f t="shared" si="29"/>
        <v>61</v>
      </c>
      <c r="I534" s="17"/>
      <c r="J534" s="25">
        <v>19780313</v>
      </c>
      <c r="K534" s="16">
        <f t="shared" si="30"/>
        <v>28562</v>
      </c>
      <c r="L534" s="2">
        <f t="shared" si="31"/>
        <v>43</v>
      </c>
      <c r="M534" s="25"/>
      <c r="N534" s="26"/>
      <c r="O534" s="27">
        <v>0</v>
      </c>
      <c r="P534" s="70">
        <v>65021</v>
      </c>
      <c r="Q534" s="70" t="s">
        <v>433</v>
      </c>
      <c r="R534" s="22">
        <v>2</v>
      </c>
      <c r="S534" s="22"/>
      <c r="T534" s="22">
        <v>3</v>
      </c>
    </row>
    <row r="535" spans="1:20">
      <c r="A535">
        <v>43</v>
      </c>
      <c r="B535" s="21">
        <v>539</v>
      </c>
      <c r="C535" s="22">
        <v>8193</v>
      </c>
      <c r="D535" s="22" t="s">
        <v>574</v>
      </c>
      <c r="E535" s="23" t="s">
        <v>678</v>
      </c>
      <c r="F535" s="24">
        <v>19600519</v>
      </c>
      <c r="G535" s="16">
        <f t="shared" si="28"/>
        <v>22055</v>
      </c>
      <c r="H535" s="2">
        <f t="shared" si="29"/>
        <v>61</v>
      </c>
      <c r="I535" s="17"/>
      <c r="J535" s="25">
        <v>19840321</v>
      </c>
      <c r="K535" s="16">
        <f t="shared" si="30"/>
        <v>30762</v>
      </c>
      <c r="L535" s="2">
        <f t="shared" si="31"/>
        <v>37</v>
      </c>
      <c r="M535" s="25"/>
      <c r="N535" s="26"/>
      <c r="O535" s="27">
        <v>0</v>
      </c>
      <c r="P535" s="70">
        <v>30020</v>
      </c>
      <c r="Q535" s="70" t="s">
        <v>53</v>
      </c>
      <c r="R535" s="22">
        <v>2</v>
      </c>
      <c r="S535" s="22"/>
      <c r="T535" s="22">
        <v>3</v>
      </c>
    </row>
    <row r="536" spans="1:20">
      <c r="A536">
        <v>44</v>
      </c>
      <c r="B536" s="21">
        <v>540</v>
      </c>
      <c r="C536" s="22">
        <v>8194</v>
      </c>
      <c r="D536" s="22" t="s">
        <v>575</v>
      </c>
      <c r="E536" s="23" t="s">
        <v>678</v>
      </c>
      <c r="F536" s="24">
        <v>19600816</v>
      </c>
      <c r="G536" s="16">
        <f t="shared" si="28"/>
        <v>22144</v>
      </c>
      <c r="H536" s="2">
        <f t="shared" si="29"/>
        <v>61</v>
      </c>
      <c r="I536" s="17"/>
      <c r="J536" s="25">
        <v>19770323</v>
      </c>
      <c r="K536" s="16">
        <f t="shared" si="30"/>
        <v>28207</v>
      </c>
      <c r="L536" s="2">
        <f t="shared" si="31"/>
        <v>44</v>
      </c>
      <c r="M536" s="25"/>
      <c r="N536" s="26"/>
      <c r="O536" s="27">
        <v>0</v>
      </c>
      <c r="P536" s="70">
        <v>67021</v>
      </c>
      <c r="Q536" s="70" t="s">
        <v>466</v>
      </c>
      <c r="R536" s="22">
        <v>2</v>
      </c>
      <c r="S536" s="22"/>
      <c r="T536" s="22">
        <v>3</v>
      </c>
    </row>
    <row r="537" spans="1:20">
      <c r="A537">
        <v>45</v>
      </c>
      <c r="B537" s="21">
        <v>541</v>
      </c>
      <c r="C537" s="22">
        <v>8195</v>
      </c>
      <c r="D537" s="22" t="s">
        <v>576</v>
      </c>
      <c r="E537" s="23" t="s">
        <v>15</v>
      </c>
      <c r="F537" s="24">
        <v>19600928</v>
      </c>
      <c r="G537" s="16">
        <f t="shared" si="28"/>
        <v>22187</v>
      </c>
      <c r="H537" s="2">
        <f t="shared" si="29"/>
        <v>60</v>
      </c>
      <c r="I537" s="17"/>
      <c r="J537" s="25">
        <v>19790322</v>
      </c>
      <c r="K537" s="16">
        <f t="shared" si="30"/>
        <v>28936</v>
      </c>
      <c r="L537" s="2">
        <f t="shared" si="31"/>
        <v>42</v>
      </c>
      <c r="M537" s="25"/>
      <c r="N537" s="26"/>
      <c r="O537" s="27">
        <v>0</v>
      </c>
      <c r="P537" s="70">
        <v>41220</v>
      </c>
      <c r="Q537" s="70" t="s">
        <v>103</v>
      </c>
      <c r="R537" s="22">
        <v>2</v>
      </c>
      <c r="S537" s="22"/>
      <c r="T537" s="22">
        <v>3</v>
      </c>
    </row>
    <row r="538" spans="1:20">
      <c r="A538">
        <v>46</v>
      </c>
      <c r="B538" s="21"/>
      <c r="C538" s="32">
        <v>8196</v>
      </c>
      <c r="D538" s="22" t="s">
        <v>577</v>
      </c>
      <c r="E538" s="33" t="s">
        <v>678</v>
      </c>
      <c r="F538" s="34"/>
      <c r="J538" s="30"/>
      <c r="M538" s="30"/>
      <c r="N538" s="35"/>
      <c r="O538" s="36"/>
      <c r="P538" s="70">
        <v>61320</v>
      </c>
      <c r="Q538" s="70" t="s">
        <v>162</v>
      </c>
      <c r="R538" s="22"/>
      <c r="S538" s="22"/>
      <c r="T538" s="22"/>
    </row>
    <row r="539" spans="1:20">
      <c r="A539">
        <v>48</v>
      </c>
      <c r="B539" s="21"/>
      <c r="C539" s="32">
        <v>8198</v>
      </c>
      <c r="D539" s="22" t="s">
        <v>579</v>
      </c>
      <c r="E539" s="33" t="s">
        <v>678</v>
      </c>
      <c r="F539" s="34"/>
      <c r="J539" s="30"/>
      <c r="M539" s="30"/>
      <c r="N539" s="35"/>
      <c r="O539" s="36"/>
      <c r="P539" s="70">
        <v>63020</v>
      </c>
      <c r="Q539" s="70" t="s">
        <v>165</v>
      </c>
      <c r="R539" s="22"/>
      <c r="S539" s="22"/>
      <c r="T539" s="22"/>
    </row>
    <row r="540" spans="1:20">
      <c r="A540">
        <v>49</v>
      </c>
      <c r="B540" s="21"/>
      <c r="C540" s="32">
        <v>8199</v>
      </c>
      <c r="D540" s="22" t="s">
        <v>580</v>
      </c>
      <c r="E540" s="33" t="s">
        <v>678</v>
      </c>
      <c r="F540" s="34"/>
      <c r="J540" s="30"/>
      <c r="M540" s="30"/>
      <c r="N540" s="35"/>
      <c r="O540" s="36"/>
      <c r="P540" s="70">
        <v>44220</v>
      </c>
      <c r="Q540" s="70" t="s">
        <v>114</v>
      </c>
      <c r="R540" s="22"/>
      <c r="S540" s="22"/>
      <c r="T540" s="22"/>
    </row>
    <row r="541" spans="1:20">
      <c r="A541">
        <v>50</v>
      </c>
      <c r="B541" s="21">
        <v>64</v>
      </c>
      <c r="C541" s="22">
        <v>8200</v>
      </c>
      <c r="D541" s="22" t="s">
        <v>581</v>
      </c>
      <c r="E541" s="23" t="s">
        <v>15</v>
      </c>
      <c r="F541" s="24">
        <v>19610404</v>
      </c>
      <c r="G541" s="16">
        <f t="shared" ref="G541:G569" si="32">DATE(INT(F541/10000),INT(MOD(F541,10000)/100),MOD(F541,100))</f>
        <v>22375</v>
      </c>
      <c r="H541" s="2">
        <f t="shared" ref="H541:H569" si="33">DATEDIF(G541,$G$4,"Y")</f>
        <v>60</v>
      </c>
      <c r="I541" s="17"/>
      <c r="J541" s="25">
        <v>19800324</v>
      </c>
      <c r="K541" s="16">
        <f t="shared" ref="K541:K569" si="34">DATE(INT(J541/10000),INT(MOD(J541,10000)/100),MOD(J541,100))</f>
        <v>29304</v>
      </c>
      <c r="L541" s="2">
        <f t="shared" ref="L541:L569" si="35">DATEDIF(K541,$G$4,"Y")</f>
        <v>41</v>
      </c>
      <c r="M541" s="25"/>
      <c r="N541" s="26"/>
      <c r="O541" s="27" t="s">
        <v>89</v>
      </c>
      <c r="P541" s="70">
        <v>61220</v>
      </c>
      <c r="Q541" s="70" t="s">
        <v>158</v>
      </c>
      <c r="R541" s="22">
        <v>0</v>
      </c>
      <c r="S541" s="22"/>
      <c r="T541" s="22">
        <v>1</v>
      </c>
    </row>
    <row r="542" spans="1:20">
      <c r="A542">
        <v>51</v>
      </c>
      <c r="B542" s="21">
        <v>380</v>
      </c>
      <c r="C542" s="22">
        <v>8201</v>
      </c>
      <c r="D542" s="22" t="s">
        <v>582</v>
      </c>
      <c r="E542" s="23" t="s">
        <v>15</v>
      </c>
      <c r="F542" s="24">
        <v>19610502</v>
      </c>
      <c r="G542" s="16">
        <f t="shared" si="32"/>
        <v>22403</v>
      </c>
      <c r="H542" s="2">
        <f t="shared" si="33"/>
        <v>60</v>
      </c>
      <c r="I542" s="17"/>
      <c r="J542" s="25">
        <v>19941121</v>
      </c>
      <c r="K542" s="16">
        <f t="shared" si="34"/>
        <v>34659</v>
      </c>
      <c r="L542" s="2">
        <f t="shared" si="35"/>
        <v>26</v>
      </c>
      <c r="M542" s="25"/>
      <c r="N542" s="26"/>
      <c r="O542" s="27" t="s">
        <v>35</v>
      </c>
      <c r="P542" s="70">
        <v>64021</v>
      </c>
      <c r="Q542" s="70" t="s">
        <v>416</v>
      </c>
      <c r="R542" s="22">
        <v>1</v>
      </c>
      <c r="S542" s="22" t="s">
        <v>679</v>
      </c>
      <c r="T542" s="22">
        <v>2</v>
      </c>
    </row>
    <row r="543" spans="1:20">
      <c r="A543">
        <v>52</v>
      </c>
      <c r="B543" s="21">
        <v>441</v>
      </c>
      <c r="C543" s="22">
        <v>8202</v>
      </c>
      <c r="D543" s="22" t="s">
        <v>583</v>
      </c>
      <c r="E543" s="23" t="s">
        <v>15</v>
      </c>
      <c r="F543" s="24">
        <v>19610616</v>
      </c>
      <c r="G543" s="16">
        <f t="shared" si="32"/>
        <v>22448</v>
      </c>
      <c r="H543" s="2">
        <f t="shared" si="33"/>
        <v>60</v>
      </c>
      <c r="I543" s="17"/>
      <c r="J543" s="25">
        <v>19770323</v>
      </c>
      <c r="K543" s="16">
        <f t="shared" si="34"/>
        <v>28207</v>
      </c>
      <c r="L543" s="2">
        <f t="shared" si="35"/>
        <v>44</v>
      </c>
      <c r="M543" s="25"/>
      <c r="N543" s="26"/>
      <c r="O543" s="27" t="s">
        <v>77</v>
      </c>
      <c r="P543" s="70">
        <v>68021</v>
      </c>
      <c r="Q543" s="70" t="s">
        <v>483</v>
      </c>
      <c r="R543" s="22">
        <v>1</v>
      </c>
      <c r="S543" s="22" t="s">
        <v>679</v>
      </c>
      <c r="T543" s="22">
        <v>2</v>
      </c>
    </row>
    <row r="544" spans="1:20">
      <c r="A544">
        <v>53</v>
      </c>
      <c r="B544" s="21">
        <v>443</v>
      </c>
      <c r="C544" s="22">
        <v>8203</v>
      </c>
      <c r="D544" s="22" t="s">
        <v>584</v>
      </c>
      <c r="E544" s="23" t="s">
        <v>15</v>
      </c>
      <c r="F544" s="24">
        <v>19610607</v>
      </c>
      <c r="G544" s="16">
        <f t="shared" si="32"/>
        <v>22439</v>
      </c>
      <c r="H544" s="2">
        <f t="shared" si="33"/>
        <v>60</v>
      </c>
      <c r="I544" s="17"/>
      <c r="J544" s="25">
        <v>19790323</v>
      </c>
      <c r="K544" s="16">
        <f t="shared" si="34"/>
        <v>28937</v>
      </c>
      <c r="L544" s="2">
        <f t="shared" si="35"/>
        <v>42</v>
      </c>
      <c r="M544" s="25"/>
      <c r="N544" s="26"/>
      <c r="O544" s="27" t="s">
        <v>75</v>
      </c>
      <c r="P544" s="70">
        <v>41121</v>
      </c>
      <c r="Q544" s="70" t="s">
        <v>280</v>
      </c>
      <c r="R544" s="22">
        <v>1</v>
      </c>
      <c r="S544" s="22" t="s">
        <v>679</v>
      </c>
      <c r="T544" s="22">
        <v>2</v>
      </c>
    </row>
    <row r="545" spans="1:20">
      <c r="A545">
        <v>54</v>
      </c>
      <c r="B545" s="21">
        <v>72</v>
      </c>
      <c r="C545" s="22">
        <v>8204</v>
      </c>
      <c r="D545" s="22" t="s">
        <v>171</v>
      </c>
      <c r="E545" s="23" t="s">
        <v>15</v>
      </c>
      <c r="F545" s="24">
        <v>19610710</v>
      </c>
      <c r="G545" s="16">
        <f t="shared" si="32"/>
        <v>22472</v>
      </c>
      <c r="H545" s="2">
        <f t="shared" si="33"/>
        <v>60</v>
      </c>
      <c r="I545" s="17"/>
      <c r="J545" s="25">
        <v>19840326</v>
      </c>
      <c r="K545" s="16">
        <f t="shared" si="34"/>
        <v>30767</v>
      </c>
      <c r="L545" s="2">
        <f t="shared" si="35"/>
        <v>37</v>
      </c>
      <c r="M545" s="25"/>
      <c r="N545" s="26"/>
      <c r="O545" s="27" t="s">
        <v>16</v>
      </c>
      <c r="P545" s="70">
        <v>80020</v>
      </c>
      <c r="Q545" s="70" t="s">
        <v>172</v>
      </c>
      <c r="R545" s="22">
        <v>0</v>
      </c>
      <c r="S545" s="22"/>
      <c r="T545" s="22">
        <v>1</v>
      </c>
    </row>
    <row r="546" spans="1:20">
      <c r="A546">
        <v>82</v>
      </c>
      <c r="B546" s="21">
        <v>81</v>
      </c>
      <c r="C546" s="22">
        <v>8205</v>
      </c>
      <c r="D546" s="22" t="s">
        <v>148</v>
      </c>
      <c r="E546" s="23" t="s">
        <v>15</v>
      </c>
      <c r="F546" s="24">
        <v>19610802</v>
      </c>
      <c r="G546" s="16">
        <f t="shared" si="32"/>
        <v>22495</v>
      </c>
      <c r="H546" s="2">
        <f t="shared" si="33"/>
        <v>60</v>
      </c>
      <c r="I546" s="17"/>
      <c r="J546" s="25">
        <v>19850325</v>
      </c>
      <c r="K546" s="16">
        <f t="shared" si="34"/>
        <v>31131</v>
      </c>
      <c r="L546" s="2">
        <f t="shared" si="35"/>
        <v>36</v>
      </c>
      <c r="M546" s="25"/>
      <c r="N546" s="26"/>
      <c r="O546" s="27" t="s">
        <v>16</v>
      </c>
      <c r="P546" s="70">
        <v>61020</v>
      </c>
      <c r="Q546" s="70" t="s">
        <v>147</v>
      </c>
      <c r="R546" s="22">
        <v>0</v>
      </c>
      <c r="S546" s="22"/>
      <c r="T546" s="22">
        <v>1</v>
      </c>
    </row>
    <row r="547" spans="1:20">
      <c r="A547">
        <v>55</v>
      </c>
      <c r="B547" s="21">
        <v>470</v>
      </c>
      <c r="C547" s="22">
        <v>7644</v>
      </c>
      <c r="D547" s="22" t="s">
        <v>585</v>
      </c>
      <c r="E547" s="23" t="s">
        <v>34</v>
      </c>
      <c r="F547" s="24">
        <v>19671022</v>
      </c>
      <c r="G547" s="16">
        <f t="shared" si="32"/>
        <v>24767</v>
      </c>
      <c r="H547" s="2">
        <f t="shared" si="33"/>
        <v>53</v>
      </c>
      <c r="I547" s="17"/>
      <c r="J547" s="25">
        <v>20000216</v>
      </c>
      <c r="K547" s="16">
        <f t="shared" si="34"/>
        <v>36572</v>
      </c>
      <c r="L547" s="2">
        <f t="shared" si="35"/>
        <v>21</v>
      </c>
      <c r="M547" s="25"/>
      <c r="N547" s="26"/>
      <c r="O547" s="27">
        <v>0</v>
      </c>
      <c r="P547" s="70">
        <v>66021</v>
      </c>
      <c r="Q547" s="70" t="s">
        <v>449</v>
      </c>
      <c r="R547" s="22">
        <v>2</v>
      </c>
      <c r="S547" s="22"/>
      <c r="T547" s="22">
        <v>3</v>
      </c>
    </row>
    <row r="548" spans="1:20">
      <c r="A548">
        <v>56</v>
      </c>
      <c r="B548" s="21">
        <v>472</v>
      </c>
      <c r="C548" s="22">
        <v>7676</v>
      </c>
      <c r="D548" s="22" t="s">
        <v>586</v>
      </c>
      <c r="E548" s="23" t="s">
        <v>34</v>
      </c>
      <c r="F548" s="24">
        <v>19520806</v>
      </c>
      <c r="G548" s="16">
        <f t="shared" si="32"/>
        <v>19212</v>
      </c>
      <c r="H548" s="2">
        <f t="shared" si="33"/>
        <v>69</v>
      </c>
      <c r="I548" s="17"/>
      <c r="J548" s="25">
        <v>20010831</v>
      </c>
      <c r="K548" s="16">
        <f t="shared" si="34"/>
        <v>37134</v>
      </c>
      <c r="L548" s="2">
        <f t="shared" si="35"/>
        <v>20</v>
      </c>
      <c r="M548" s="25"/>
      <c r="N548" s="26"/>
      <c r="O548" s="27">
        <v>0</v>
      </c>
      <c r="P548" s="70">
        <v>42421</v>
      </c>
      <c r="Q548" s="70" t="s">
        <v>339</v>
      </c>
      <c r="R548" s="22">
        <v>2</v>
      </c>
      <c r="S548" s="22"/>
      <c r="T548" s="22">
        <v>3</v>
      </c>
    </row>
    <row r="549" spans="1:20">
      <c r="A549">
        <v>58</v>
      </c>
      <c r="B549" s="21">
        <v>475</v>
      </c>
      <c r="C549" s="22">
        <v>7776</v>
      </c>
      <c r="D549" s="22" t="s">
        <v>588</v>
      </c>
      <c r="E549" s="23" t="s">
        <v>34</v>
      </c>
      <c r="F549" s="24">
        <v>19760203</v>
      </c>
      <c r="G549" s="16">
        <f t="shared" si="32"/>
        <v>27793</v>
      </c>
      <c r="H549" s="2">
        <f t="shared" si="33"/>
        <v>45</v>
      </c>
      <c r="I549" s="17"/>
      <c r="J549" s="25">
        <v>20030903</v>
      </c>
      <c r="K549" s="16">
        <f t="shared" si="34"/>
        <v>37867</v>
      </c>
      <c r="L549" s="2">
        <f t="shared" si="35"/>
        <v>17</v>
      </c>
      <c r="M549" s="25"/>
      <c r="N549" s="26"/>
      <c r="O549" s="27">
        <v>0</v>
      </c>
      <c r="P549" s="70">
        <v>43221</v>
      </c>
      <c r="Q549" s="70" t="s">
        <v>364</v>
      </c>
      <c r="R549" s="22">
        <v>2</v>
      </c>
      <c r="S549" s="22"/>
      <c r="T549" s="22">
        <v>3</v>
      </c>
    </row>
    <row r="550" spans="1:20">
      <c r="A550">
        <v>59</v>
      </c>
      <c r="B550" s="21">
        <v>477</v>
      </c>
      <c r="C550" s="22">
        <v>7839</v>
      </c>
      <c r="D550" s="22" t="s">
        <v>589</v>
      </c>
      <c r="E550" s="23" t="s">
        <v>34</v>
      </c>
      <c r="F550" s="24">
        <v>19540320</v>
      </c>
      <c r="G550" s="16">
        <f t="shared" si="32"/>
        <v>19803</v>
      </c>
      <c r="H550" s="2">
        <f t="shared" si="33"/>
        <v>67</v>
      </c>
      <c r="I550" s="17"/>
      <c r="J550" s="25">
        <v>20050210</v>
      </c>
      <c r="K550" s="16">
        <f t="shared" si="34"/>
        <v>38393</v>
      </c>
      <c r="L550" s="2">
        <f t="shared" si="35"/>
        <v>16</v>
      </c>
      <c r="M550" s="25"/>
      <c r="N550" s="26"/>
      <c r="O550" s="27">
        <v>0</v>
      </c>
      <c r="P550" s="70">
        <v>43221</v>
      </c>
      <c r="Q550" s="70" t="s">
        <v>364</v>
      </c>
      <c r="R550" s="22">
        <v>2</v>
      </c>
      <c r="S550" s="22"/>
      <c r="T550" s="22">
        <v>3</v>
      </c>
    </row>
    <row r="551" spans="1:20">
      <c r="A551">
        <v>60</v>
      </c>
      <c r="B551" s="21">
        <v>479</v>
      </c>
      <c r="C551" s="22">
        <v>7874</v>
      </c>
      <c r="D551" s="22" t="s">
        <v>590</v>
      </c>
      <c r="E551" s="23" t="s">
        <v>34</v>
      </c>
      <c r="F551" s="24">
        <v>19540214</v>
      </c>
      <c r="G551" s="16">
        <f t="shared" si="32"/>
        <v>19769</v>
      </c>
      <c r="H551" s="2">
        <f t="shared" si="33"/>
        <v>67</v>
      </c>
      <c r="I551" s="17"/>
      <c r="J551" s="25">
        <v>20051121</v>
      </c>
      <c r="K551" s="16">
        <f t="shared" si="34"/>
        <v>38677</v>
      </c>
      <c r="L551" s="2">
        <f t="shared" si="35"/>
        <v>15</v>
      </c>
      <c r="M551" s="25"/>
      <c r="N551" s="26"/>
      <c r="O551" s="27">
        <v>0</v>
      </c>
      <c r="P551" s="70">
        <v>69221</v>
      </c>
      <c r="Q551" s="70" t="s">
        <v>508</v>
      </c>
      <c r="R551" s="22">
        <v>2</v>
      </c>
      <c r="S551" s="22"/>
      <c r="T551" s="22">
        <v>3</v>
      </c>
    </row>
    <row r="552" spans="1:20">
      <c r="A552">
        <v>61</v>
      </c>
      <c r="B552" s="21">
        <v>480</v>
      </c>
      <c r="C552" s="22">
        <v>7907</v>
      </c>
      <c r="D552" s="22" t="s">
        <v>591</v>
      </c>
      <c r="E552" s="23" t="s">
        <v>34</v>
      </c>
      <c r="F552" s="24">
        <v>19680111</v>
      </c>
      <c r="G552" s="16">
        <f t="shared" si="32"/>
        <v>24848</v>
      </c>
      <c r="H552" s="2">
        <f t="shared" si="33"/>
        <v>53</v>
      </c>
      <c r="I552" s="17"/>
      <c r="J552" s="25">
        <v>20060727</v>
      </c>
      <c r="K552" s="16">
        <f t="shared" si="34"/>
        <v>38925</v>
      </c>
      <c r="L552" s="2">
        <f t="shared" si="35"/>
        <v>15</v>
      </c>
      <c r="M552" s="25"/>
      <c r="N552" s="26"/>
      <c r="O552" s="27">
        <v>0</v>
      </c>
      <c r="P552" s="70">
        <v>69021</v>
      </c>
      <c r="Q552" s="70" t="s">
        <v>489</v>
      </c>
      <c r="R552" s="22">
        <v>2</v>
      </c>
      <c r="S552" s="22"/>
      <c r="T552" s="22">
        <v>3</v>
      </c>
    </row>
    <row r="553" spans="1:20">
      <c r="A553">
        <v>62</v>
      </c>
      <c r="B553" s="21">
        <v>482</v>
      </c>
      <c r="C553" s="22">
        <v>7934</v>
      </c>
      <c r="D553" s="22" t="s">
        <v>592</v>
      </c>
      <c r="E553" s="23" t="s">
        <v>34</v>
      </c>
      <c r="F553" s="24">
        <v>19670125</v>
      </c>
      <c r="G553" s="16">
        <f t="shared" si="32"/>
        <v>24497</v>
      </c>
      <c r="H553" s="2">
        <f t="shared" si="33"/>
        <v>54</v>
      </c>
      <c r="I553" s="17"/>
      <c r="J553" s="25">
        <v>20070507</v>
      </c>
      <c r="K553" s="16">
        <f t="shared" si="34"/>
        <v>39209</v>
      </c>
      <c r="L553" s="2">
        <f t="shared" si="35"/>
        <v>14</v>
      </c>
      <c r="M553" s="25"/>
      <c r="N553" s="26"/>
      <c r="O553" s="27">
        <v>0</v>
      </c>
      <c r="P553" s="70">
        <v>43221</v>
      </c>
      <c r="Q553" s="70" t="s">
        <v>364</v>
      </c>
      <c r="R553" s="22">
        <v>2</v>
      </c>
      <c r="S553" s="22"/>
      <c r="T553" s="22">
        <v>3</v>
      </c>
    </row>
    <row r="554" spans="1:20">
      <c r="A554">
        <v>63</v>
      </c>
      <c r="B554" s="21">
        <v>484</v>
      </c>
      <c r="C554" s="22">
        <v>7941</v>
      </c>
      <c r="D554" s="22" t="s">
        <v>593</v>
      </c>
      <c r="E554" s="23" t="s">
        <v>34</v>
      </c>
      <c r="F554" s="24">
        <v>19771127</v>
      </c>
      <c r="G554" s="16">
        <f t="shared" si="32"/>
        <v>28456</v>
      </c>
      <c r="H554" s="2">
        <f t="shared" si="33"/>
        <v>43</v>
      </c>
      <c r="I554" s="17"/>
      <c r="J554" s="25">
        <v>20070621</v>
      </c>
      <c r="K554" s="16">
        <f t="shared" si="34"/>
        <v>39254</v>
      </c>
      <c r="L554" s="2">
        <f t="shared" si="35"/>
        <v>14</v>
      </c>
      <c r="M554" s="25"/>
      <c r="N554" s="26"/>
      <c r="O554" s="27">
        <v>0</v>
      </c>
      <c r="P554" s="70">
        <v>43021</v>
      </c>
      <c r="Q554" s="70" t="s">
        <v>349</v>
      </c>
      <c r="R554" s="22">
        <v>2</v>
      </c>
      <c r="S554" s="22"/>
      <c r="T554" s="22">
        <v>3</v>
      </c>
    </row>
    <row r="555" spans="1:20">
      <c r="A555">
        <v>64</v>
      </c>
      <c r="B555" s="21">
        <v>485</v>
      </c>
      <c r="C555" s="22">
        <v>7953</v>
      </c>
      <c r="D555" s="22" t="s">
        <v>594</v>
      </c>
      <c r="E555" s="23" t="s">
        <v>34</v>
      </c>
      <c r="F555" s="24">
        <v>19761028</v>
      </c>
      <c r="G555" s="16">
        <f t="shared" si="32"/>
        <v>28061</v>
      </c>
      <c r="H555" s="2">
        <f t="shared" si="33"/>
        <v>44</v>
      </c>
      <c r="I555" s="17"/>
      <c r="J555" s="25">
        <v>20070806</v>
      </c>
      <c r="K555" s="16">
        <f t="shared" si="34"/>
        <v>39300</v>
      </c>
      <c r="L555" s="2">
        <f t="shared" si="35"/>
        <v>14</v>
      </c>
      <c r="M555" s="25"/>
      <c r="N555" s="26"/>
      <c r="O555" s="27">
        <v>0</v>
      </c>
      <c r="P555" s="70">
        <v>42421</v>
      </c>
      <c r="Q555" s="70" t="s">
        <v>339</v>
      </c>
      <c r="R555" s="22">
        <v>2</v>
      </c>
      <c r="S555" s="22"/>
      <c r="T555" s="22">
        <v>3</v>
      </c>
    </row>
    <row r="556" spans="1:20">
      <c r="A556">
        <v>65</v>
      </c>
      <c r="B556" s="21">
        <v>486</v>
      </c>
      <c r="C556" s="22">
        <v>7963</v>
      </c>
      <c r="D556" s="22" t="s">
        <v>595</v>
      </c>
      <c r="E556" s="23" t="s">
        <v>34</v>
      </c>
      <c r="F556" s="24">
        <v>19580305</v>
      </c>
      <c r="G556" s="16">
        <f t="shared" si="32"/>
        <v>21249</v>
      </c>
      <c r="H556" s="2">
        <f t="shared" si="33"/>
        <v>63</v>
      </c>
      <c r="I556" s="17"/>
      <c r="J556" s="25">
        <v>20070903</v>
      </c>
      <c r="K556" s="16">
        <f t="shared" si="34"/>
        <v>39328</v>
      </c>
      <c r="L556" s="2">
        <f t="shared" si="35"/>
        <v>13</v>
      </c>
      <c r="M556" s="25"/>
      <c r="N556" s="26"/>
      <c r="O556" s="27">
        <v>0</v>
      </c>
      <c r="P556" s="70">
        <v>44220</v>
      </c>
      <c r="Q556" s="70" t="s">
        <v>114</v>
      </c>
      <c r="R556" s="22">
        <v>2</v>
      </c>
      <c r="S556" s="22"/>
      <c r="T556" s="22">
        <v>3</v>
      </c>
    </row>
    <row r="557" spans="1:20">
      <c r="A557">
        <v>66</v>
      </c>
      <c r="B557" s="21">
        <v>489</v>
      </c>
      <c r="C557" s="22">
        <v>8033</v>
      </c>
      <c r="D557" s="22" t="s">
        <v>596</v>
      </c>
      <c r="E557" s="23" t="s">
        <v>34</v>
      </c>
      <c r="F557" s="24">
        <v>19710131</v>
      </c>
      <c r="G557" s="16">
        <f t="shared" si="32"/>
        <v>25964</v>
      </c>
      <c r="H557" s="2">
        <f t="shared" si="33"/>
        <v>50</v>
      </c>
      <c r="I557" s="17"/>
      <c r="J557" s="25">
        <v>20100521</v>
      </c>
      <c r="K557" s="16">
        <f t="shared" si="34"/>
        <v>40319</v>
      </c>
      <c r="L557" s="2">
        <f t="shared" si="35"/>
        <v>11</v>
      </c>
      <c r="M557" s="25"/>
      <c r="N557" s="26"/>
      <c r="O557" s="27">
        <v>0</v>
      </c>
      <c r="P557" s="70">
        <v>60421</v>
      </c>
      <c r="Q557" s="70" t="s">
        <v>411</v>
      </c>
      <c r="R557" s="22">
        <v>2</v>
      </c>
      <c r="S557" s="22"/>
      <c r="T557" s="22">
        <v>3</v>
      </c>
    </row>
    <row r="558" spans="1:20">
      <c r="A558">
        <v>67</v>
      </c>
      <c r="B558" s="21">
        <v>496</v>
      </c>
      <c r="C558" s="22">
        <v>8071</v>
      </c>
      <c r="D558" s="22" t="s">
        <v>597</v>
      </c>
      <c r="E558" s="23" t="s">
        <v>34</v>
      </c>
      <c r="F558" s="24">
        <v>19700223</v>
      </c>
      <c r="G558" s="16">
        <f t="shared" si="32"/>
        <v>25622</v>
      </c>
      <c r="H558" s="2">
        <f t="shared" si="33"/>
        <v>51</v>
      </c>
      <c r="I558" s="17"/>
      <c r="J558" s="25">
        <v>20110621</v>
      </c>
      <c r="K558" s="16">
        <f t="shared" si="34"/>
        <v>40715</v>
      </c>
      <c r="L558" s="2">
        <f t="shared" si="35"/>
        <v>10</v>
      </c>
      <c r="M558" s="25"/>
      <c r="N558" s="26"/>
      <c r="O558" s="27">
        <v>0</v>
      </c>
      <c r="P558" s="70">
        <v>41021</v>
      </c>
      <c r="Q558" s="70" t="s">
        <v>258</v>
      </c>
      <c r="R558" s="22">
        <v>2</v>
      </c>
      <c r="S558" s="22"/>
      <c r="T558" s="22">
        <v>3</v>
      </c>
    </row>
    <row r="559" spans="1:20">
      <c r="A559">
        <v>68</v>
      </c>
      <c r="B559" s="21">
        <v>500</v>
      </c>
      <c r="C559" s="22">
        <v>8092</v>
      </c>
      <c r="D559" s="22" t="s">
        <v>598</v>
      </c>
      <c r="E559" s="23" t="s">
        <v>34</v>
      </c>
      <c r="F559" s="24">
        <v>19660728</v>
      </c>
      <c r="G559" s="16">
        <f t="shared" si="32"/>
        <v>24316</v>
      </c>
      <c r="H559" s="2">
        <f t="shared" si="33"/>
        <v>55</v>
      </c>
      <c r="I559" s="17"/>
      <c r="J559" s="25">
        <v>20120221</v>
      </c>
      <c r="K559" s="16">
        <f t="shared" si="34"/>
        <v>40960</v>
      </c>
      <c r="L559" s="2">
        <f t="shared" si="35"/>
        <v>9</v>
      </c>
      <c r="M559" s="25"/>
      <c r="N559" s="26"/>
      <c r="O559" s="27">
        <v>0</v>
      </c>
      <c r="P559" s="70">
        <v>65021</v>
      </c>
      <c r="Q559" s="70" t="s">
        <v>433</v>
      </c>
      <c r="R559" s="22">
        <v>2</v>
      </c>
      <c r="S559" s="22"/>
      <c r="T559" s="22">
        <v>3</v>
      </c>
    </row>
    <row r="560" spans="1:20">
      <c r="A560">
        <v>69</v>
      </c>
      <c r="B560" s="21">
        <v>501</v>
      </c>
      <c r="C560" s="22">
        <v>8093</v>
      </c>
      <c r="D560" s="22" t="s">
        <v>599</v>
      </c>
      <c r="E560" s="23" t="s">
        <v>34</v>
      </c>
      <c r="F560" s="24">
        <v>19650214</v>
      </c>
      <c r="G560" s="16">
        <f t="shared" si="32"/>
        <v>23787</v>
      </c>
      <c r="H560" s="2">
        <f t="shared" si="33"/>
        <v>56</v>
      </c>
      <c r="I560" s="17"/>
      <c r="J560" s="25">
        <v>20120314</v>
      </c>
      <c r="K560" s="16">
        <f t="shared" si="34"/>
        <v>40982</v>
      </c>
      <c r="L560" s="2">
        <f t="shared" si="35"/>
        <v>9</v>
      </c>
      <c r="M560" s="25"/>
      <c r="N560" s="26"/>
      <c r="O560" s="27">
        <v>0</v>
      </c>
      <c r="P560" s="70">
        <v>61220</v>
      </c>
      <c r="Q560" s="70" t="s">
        <v>158</v>
      </c>
      <c r="R560" s="22">
        <v>2</v>
      </c>
      <c r="S560" s="22"/>
      <c r="T560" s="22">
        <v>3</v>
      </c>
    </row>
    <row r="561" spans="1:20">
      <c r="A561">
        <v>70</v>
      </c>
      <c r="B561" s="21">
        <v>507</v>
      </c>
      <c r="C561" s="22">
        <v>8126</v>
      </c>
      <c r="D561" s="22" t="s">
        <v>600</v>
      </c>
      <c r="E561" s="23" t="s">
        <v>34</v>
      </c>
      <c r="F561" s="24">
        <v>19900319</v>
      </c>
      <c r="G561" s="16">
        <f t="shared" si="32"/>
        <v>32951</v>
      </c>
      <c r="H561" s="2">
        <f t="shared" si="33"/>
        <v>31</v>
      </c>
      <c r="I561" s="17"/>
      <c r="J561" s="25">
        <v>20140107</v>
      </c>
      <c r="K561" s="16">
        <f t="shared" si="34"/>
        <v>41646</v>
      </c>
      <c r="L561" s="2">
        <f t="shared" si="35"/>
        <v>7</v>
      </c>
      <c r="M561" s="25"/>
      <c r="N561" s="26"/>
      <c r="O561" s="27">
        <v>0</v>
      </c>
      <c r="P561" s="70">
        <v>60421</v>
      </c>
      <c r="Q561" s="70" t="s">
        <v>411</v>
      </c>
      <c r="R561" s="22">
        <v>2</v>
      </c>
      <c r="S561" s="22"/>
      <c r="T561" s="22">
        <v>3</v>
      </c>
    </row>
    <row r="562" spans="1:20">
      <c r="A562">
        <v>71</v>
      </c>
      <c r="B562" s="21">
        <v>510</v>
      </c>
      <c r="C562" s="22">
        <v>8140</v>
      </c>
      <c r="D562" s="22" t="s">
        <v>601</v>
      </c>
      <c r="E562" s="23" t="s">
        <v>34</v>
      </c>
      <c r="F562" s="24">
        <v>19651211</v>
      </c>
      <c r="G562" s="16">
        <f t="shared" si="32"/>
        <v>24087</v>
      </c>
      <c r="H562" s="2">
        <f t="shared" si="33"/>
        <v>55</v>
      </c>
      <c r="I562" s="17"/>
      <c r="J562" s="25">
        <v>20140816</v>
      </c>
      <c r="K562" s="16">
        <f t="shared" si="34"/>
        <v>41867</v>
      </c>
      <c r="L562" s="2">
        <f t="shared" si="35"/>
        <v>7</v>
      </c>
      <c r="M562" s="25"/>
      <c r="N562" s="26"/>
      <c r="O562" s="27">
        <v>0</v>
      </c>
      <c r="P562" s="70">
        <v>69021</v>
      </c>
      <c r="Q562" s="70" t="s">
        <v>489</v>
      </c>
      <c r="R562" s="22">
        <v>2</v>
      </c>
      <c r="S562" s="22"/>
      <c r="T562" s="22">
        <v>3</v>
      </c>
    </row>
    <row r="563" spans="1:20">
      <c r="A563">
        <v>72</v>
      </c>
      <c r="B563" s="21">
        <v>514</v>
      </c>
      <c r="C563" s="22">
        <v>8148</v>
      </c>
      <c r="D563" s="22" t="s">
        <v>602</v>
      </c>
      <c r="E563" s="23" t="s">
        <v>34</v>
      </c>
      <c r="F563" s="24">
        <v>19840803</v>
      </c>
      <c r="G563" s="16">
        <f t="shared" si="32"/>
        <v>30897</v>
      </c>
      <c r="H563" s="2">
        <f t="shared" si="33"/>
        <v>37</v>
      </c>
      <c r="I563" s="17"/>
      <c r="J563" s="25">
        <v>20150525</v>
      </c>
      <c r="K563" s="16">
        <f t="shared" si="34"/>
        <v>42149</v>
      </c>
      <c r="L563" s="2">
        <f t="shared" si="35"/>
        <v>6</v>
      </c>
      <c r="M563" s="25"/>
      <c r="N563" s="26"/>
      <c r="O563" s="27">
        <v>0</v>
      </c>
      <c r="P563" s="70">
        <v>42421</v>
      </c>
      <c r="Q563" s="70" t="s">
        <v>339</v>
      </c>
      <c r="R563" s="22">
        <v>2</v>
      </c>
      <c r="S563" s="22"/>
      <c r="T563" s="22">
        <v>3</v>
      </c>
    </row>
    <row r="564" spans="1:20">
      <c r="A564">
        <v>73</v>
      </c>
      <c r="B564" s="21">
        <v>519</v>
      </c>
      <c r="C564" s="22">
        <v>8162</v>
      </c>
      <c r="D564" s="22" t="s">
        <v>603</v>
      </c>
      <c r="E564" s="23" t="s">
        <v>34</v>
      </c>
      <c r="F564" s="24">
        <v>19600902</v>
      </c>
      <c r="G564" s="16">
        <f t="shared" si="32"/>
        <v>22161</v>
      </c>
      <c r="H564" s="2">
        <f t="shared" si="33"/>
        <v>60</v>
      </c>
      <c r="I564" s="17"/>
      <c r="J564" s="25">
        <v>20170313</v>
      </c>
      <c r="K564" s="16">
        <f t="shared" si="34"/>
        <v>42807</v>
      </c>
      <c r="L564" s="2">
        <f t="shared" si="35"/>
        <v>4</v>
      </c>
      <c r="M564" s="25"/>
      <c r="N564" s="26"/>
      <c r="O564" s="27">
        <v>0</v>
      </c>
      <c r="P564" s="70">
        <v>43321</v>
      </c>
      <c r="Q564" s="70" t="s">
        <v>377</v>
      </c>
      <c r="R564" s="22">
        <v>2</v>
      </c>
      <c r="S564" s="22"/>
      <c r="T564" s="22">
        <v>3</v>
      </c>
    </row>
    <row r="565" spans="1:20">
      <c r="A565">
        <v>74</v>
      </c>
      <c r="B565" s="21">
        <v>521</v>
      </c>
      <c r="C565" s="22">
        <v>8165</v>
      </c>
      <c r="D565" s="22" t="s">
        <v>604</v>
      </c>
      <c r="E565" s="23" t="s">
        <v>34</v>
      </c>
      <c r="F565" s="24">
        <v>19860731</v>
      </c>
      <c r="G565" s="16">
        <f t="shared" si="32"/>
        <v>31624</v>
      </c>
      <c r="H565" s="2">
        <f t="shared" si="33"/>
        <v>35</v>
      </c>
      <c r="I565" s="17"/>
      <c r="J565" s="25">
        <v>20170601</v>
      </c>
      <c r="K565" s="16">
        <f t="shared" si="34"/>
        <v>42887</v>
      </c>
      <c r="L565" s="2">
        <f t="shared" si="35"/>
        <v>4</v>
      </c>
      <c r="M565" s="25"/>
      <c r="N565" s="26"/>
      <c r="O565" s="27">
        <v>0</v>
      </c>
      <c r="P565" s="70">
        <v>60421</v>
      </c>
      <c r="Q565" s="70" t="s">
        <v>411</v>
      </c>
      <c r="R565" s="22">
        <v>2</v>
      </c>
      <c r="S565" s="22"/>
      <c r="T565" s="22">
        <v>3</v>
      </c>
    </row>
    <row r="566" spans="1:20">
      <c r="A566">
        <v>75</v>
      </c>
      <c r="B566" s="37">
        <v>523</v>
      </c>
      <c r="C566" s="38">
        <v>8169</v>
      </c>
      <c r="D566" s="37" t="s">
        <v>605</v>
      </c>
      <c r="E566" s="39" t="s">
        <v>34</v>
      </c>
      <c r="F566" s="19">
        <v>19560221</v>
      </c>
      <c r="G566" s="16">
        <f t="shared" si="32"/>
        <v>20506</v>
      </c>
      <c r="H566" s="2">
        <f t="shared" si="33"/>
        <v>65</v>
      </c>
      <c r="I566" s="17"/>
      <c r="J566" s="19">
        <v>20171016</v>
      </c>
      <c r="K566" s="16">
        <f t="shared" si="34"/>
        <v>43024</v>
      </c>
      <c r="L566" s="2">
        <f t="shared" si="35"/>
        <v>3</v>
      </c>
      <c r="M566" s="19"/>
      <c r="N566" s="19"/>
      <c r="O566" s="40">
        <v>0</v>
      </c>
      <c r="P566" s="70">
        <v>10020</v>
      </c>
      <c r="Q566" s="70" t="s">
        <v>26</v>
      </c>
      <c r="R566" s="37">
        <v>2</v>
      </c>
      <c r="S566" s="37"/>
      <c r="T566" s="37">
        <v>3</v>
      </c>
    </row>
    <row r="567" spans="1:20">
      <c r="A567">
        <v>76</v>
      </c>
      <c r="B567" s="37">
        <v>527</v>
      </c>
      <c r="C567" s="38">
        <v>8178</v>
      </c>
      <c r="D567" s="37" t="s">
        <v>606</v>
      </c>
      <c r="E567" s="39" t="s">
        <v>34</v>
      </c>
      <c r="F567" s="19">
        <v>19780919</v>
      </c>
      <c r="G567" s="16">
        <f t="shared" si="32"/>
        <v>28752</v>
      </c>
      <c r="H567" s="2">
        <f t="shared" si="33"/>
        <v>42</v>
      </c>
      <c r="I567" s="17"/>
      <c r="J567" s="19">
        <v>20190108</v>
      </c>
      <c r="K567" s="16">
        <f t="shared" si="34"/>
        <v>43473</v>
      </c>
      <c r="L567" s="2">
        <f t="shared" si="35"/>
        <v>2</v>
      </c>
      <c r="M567" s="19"/>
      <c r="N567" s="19"/>
      <c r="O567" s="40">
        <v>0</v>
      </c>
      <c r="P567" s="70">
        <v>65021</v>
      </c>
      <c r="Q567" s="70" t="s">
        <v>433</v>
      </c>
      <c r="R567" s="37">
        <v>2</v>
      </c>
      <c r="S567" s="37"/>
      <c r="T567" s="37">
        <v>3</v>
      </c>
    </row>
    <row r="568" spans="1:20">
      <c r="A568">
        <v>77</v>
      </c>
      <c r="B568" s="37">
        <v>528</v>
      </c>
      <c r="C568" s="38">
        <v>8179</v>
      </c>
      <c r="D568" s="37" t="s">
        <v>607</v>
      </c>
      <c r="E568" s="39" t="s">
        <v>34</v>
      </c>
      <c r="F568" s="19">
        <v>19700514</v>
      </c>
      <c r="G568" s="16">
        <f t="shared" si="32"/>
        <v>25702</v>
      </c>
      <c r="H568" s="2">
        <f t="shared" si="33"/>
        <v>51</v>
      </c>
      <c r="I568" s="17"/>
      <c r="J568" s="19">
        <v>20190123</v>
      </c>
      <c r="K568" s="16">
        <f t="shared" si="34"/>
        <v>43488</v>
      </c>
      <c r="L568" s="2">
        <f t="shared" si="35"/>
        <v>2</v>
      </c>
      <c r="M568" s="19"/>
      <c r="N568" s="19"/>
      <c r="O568" s="40">
        <v>0</v>
      </c>
      <c r="P568" s="70">
        <v>60320</v>
      </c>
      <c r="Q568" s="70" t="s">
        <v>138</v>
      </c>
      <c r="R568" s="37">
        <v>2</v>
      </c>
      <c r="S568" s="37"/>
      <c r="T568" s="37">
        <v>3</v>
      </c>
    </row>
    <row r="569" spans="1:20">
      <c r="A569">
        <v>78</v>
      </c>
      <c r="B569" s="37">
        <v>537</v>
      </c>
      <c r="C569" s="38">
        <v>8191</v>
      </c>
      <c r="D569" s="37" t="s">
        <v>608</v>
      </c>
      <c r="E569" s="39" t="s">
        <v>677</v>
      </c>
      <c r="F569" s="19">
        <v>19600131</v>
      </c>
      <c r="G569" s="16">
        <f t="shared" si="32"/>
        <v>21946</v>
      </c>
      <c r="H569" s="2">
        <f t="shared" si="33"/>
        <v>61</v>
      </c>
      <c r="I569" s="17"/>
      <c r="J569" s="19">
        <v>19910521</v>
      </c>
      <c r="K569" s="16">
        <f t="shared" si="34"/>
        <v>33379</v>
      </c>
      <c r="L569" s="2">
        <f t="shared" si="35"/>
        <v>30</v>
      </c>
      <c r="M569" s="19"/>
      <c r="N569" s="19"/>
      <c r="O569" s="40">
        <v>0</v>
      </c>
      <c r="P569" s="70">
        <v>66021</v>
      </c>
      <c r="Q569" s="70" t="s">
        <v>449</v>
      </c>
      <c r="R569" s="37">
        <v>2</v>
      </c>
      <c r="S569" s="37"/>
      <c r="T569" s="37">
        <v>3</v>
      </c>
    </row>
    <row r="570" spans="1:20">
      <c r="A570">
        <v>79</v>
      </c>
      <c r="C570" s="42">
        <v>6135</v>
      </c>
      <c r="D570" s="43" t="s">
        <v>609</v>
      </c>
      <c r="P570" s="70">
        <v>1020</v>
      </c>
      <c r="Q570" s="70" t="s">
        <v>17</v>
      </c>
    </row>
    <row r="572" spans="1:20">
      <c r="D572" t="s">
        <v>680</v>
      </c>
    </row>
    <row r="573" spans="1:20">
      <c r="D573" t="s">
        <v>681</v>
      </c>
    </row>
  </sheetData>
  <sortState ref="A5:T453">
    <sortCondition ref="E5:E453"/>
  </sortState>
  <mergeCells count="10">
    <mergeCell ref="O3:O4"/>
    <mergeCell ref="R3:R4"/>
    <mergeCell ref="S3:S4"/>
    <mergeCell ref="T3:T4"/>
    <mergeCell ref="D2:F2"/>
    <mergeCell ref="C3:C4"/>
    <mergeCell ref="D3:D4"/>
    <mergeCell ref="E3:E4"/>
    <mergeCell ref="F3:F4"/>
    <mergeCell ref="J3:J4"/>
  </mergeCells>
  <phoneticPr fontId="2"/>
  <pageMargins left="0.7" right="0.7" top="0.75" bottom="0.75" header="0.3" footer="0.3"/>
  <pageSetup paperSize="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2"/>
  <sheetViews>
    <sheetView topLeftCell="A79" workbookViewId="0">
      <selection activeCell="D76" sqref="D76"/>
    </sheetView>
  </sheetViews>
  <sheetFormatPr defaultRowHeight="18"/>
  <cols>
    <col min="2" max="2" width="5.59765625" customWidth="1"/>
    <col min="4" max="4" width="14.19921875" customWidth="1"/>
    <col min="5" max="5" width="4.3984375" customWidth="1"/>
    <col min="6" max="6" width="9.3984375" style="2" customWidth="1"/>
    <col min="7" max="7" width="11.69921875" style="3" customWidth="1"/>
    <col min="8" max="9" width="9.3984375" style="3" customWidth="1"/>
    <col min="10" max="13" width="10.69921875" style="2" customWidth="1"/>
    <col min="14" max="14" width="8.5" style="2" customWidth="1"/>
    <col min="15" max="15" width="4.19921875" style="55" hidden="1" customWidth="1"/>
    <col min="16" max="16" width="8" style="67" customWidth="1"/>
    <col min="17" max="17" width="18.59765625" customWidth="1"/>
    <col min="18" max="19" width="4.09765625" customWidth="1"/>
    <col min="20" max="20" width="4.5" customWidth="1"/>
  </cols>
  <sheetData>
    <row r="1" spans="1:31">
      <c r="D1" s="55"/>
    </row>
    <row r="2" spans="1:31" ht="18.75" customHeight="1" thickBot="1">
      <c r="D2" s="566" t="s">
        <v>0</v>
      </c>
      <c r="E2" s="567"/>
      <c r="F2" s="568"/>
      <c r="G2" s="4"/>
      <c r="H2" s="4"/>
      <c r="I2" s="4"/>
      <c r="J2" s="5"/>
      <c r="K2" s="5"/>
      <c r="L2" s="5"/>
      <c r="M2" s="5"/>
      <c r="N2" s="5"/>
    </row>
    <row r="3" spans="1:31" ht="18.75" customHeight="1">
      <c r="B3" s="6"/>
      <c r="C3" s="552" t="s">
        <v>1</v>
      </c>
      <c r="D3" s="552" t="s">
        <v>2</v>
      </c>
      <c r="E3" s="554" t="s">
        <v>3</v>
      </c>
      <c r="F3" s="556" t="s">
        <v>4</v>
      </c>
      <c r="G3" s="7"/>
      <c r="H3" s="7"/>
      <c r="I3" s="7"/>
      <c r="J3" s="558" t="s">
        <v>5</v>
      </c>
      <c r="K3" s="8"/>
      <c r="L3" s="8"/>
      <c r="M3" s="8"/>
      <c r="N3" s="8"/>
      <c r="O3" s="560" t="s">
        <v>6</v>
      </c>
      <c r="P3" s="68" t="s">
        <v>7</v>
      </c>
      <c r="Q3" s="53" t="s">
        <v>7</v>
      </c>
      <c r="R3" s="562" t="s">
        <v>8</v>
      </c>
      <c r="S3" s="562" t="s">
        <v>8</v>
      </c>
      <c r="T3" s="564" t="s">
        <v>9</v>
      </c>
    </row>
    <row r="4" spans="1:31" ht="18.75" customHeight="1" thickBot="1">
      <c r="B4" s="9"/>
      <c r="C4" s="553"/>
      <c r="D4" s="553"/>
      <c r="E4" s="555"/>
      <c r="F4" s="557"/>
      <c r="G4" s="10">
        <v>44409</v>
      </c>
      <c r="H4" s="7"/>
      <c r="I4" s="7"/>
      <c r="J4" s="559"/>
      <c r="K4" s="11"/>
      <c r="L4" s="8"/>
      <c r="M4" s="8"/>
      <c r="N4" s="8"/>
      <c r="O4" s="561"/>
      <c r="P4" s="69" t="s">
        <v>632</v>
      </c>
      <c r="Q4" s="54" t="s">
        <v>11</v>
      </c>
      <c r="R4" s="563"/>
      <c r="S4" s="563"/>
      <c r="T4" s="565"/>
    </row>
    <row r="5" spans="1:31" ht="18.75" customHeight="1">
      <c r="A5">
        <v>1</v>
      </c>
      <c r="B5" s="12">
        <v>61</v>
      </c>
      <c r="C5" s="13">
        <v>1408</v>
      </c>
      <c r="D5" s="13" t="s">
        <v>12</v>
      </c>
      <c r="E5" s="14" t="s">
        <v>633</v>
      </c>
      <c r="F5" s="15">
        <v>19630327</v>
      </c>
      <c r="G5" s="16">
        <f t="shared" ref="G5:G18" si="0">DATE(INT(F5/10000),INT(MOD(F5,10000)/100),MOD(F5,100))</f>
        <v>23097</v>
      </c>
      <c r="H5" s="2">
        <f t="shared" ref="H5:H18" si="1">DATEDIF(G5,$G$4,"Y")</f>
        <v>58</v>
      </c>
      <c r="I5" s="17"/>
      <c r="J5" s="18">
        <v>20200413</v>
      </c>
      <c r="K5" s="16">
        <f t="shared" ref="K5:K18" si="2">DATE(INT(J5/10000),INT(MOD(J5,10000)/100),MOD(J5,100))</f>
        <v>43934</v>
      </c>
      <c r="L5" s="2">
        <f t="shared" ref="L5:L18" si="3">DATEDIF(K5,$G$4,"Y")</f>
        <v>1</v>
      </c>
      <c r="M5" s="19"/>
      <c r="N5" s="19"/>
      <c r="O5" s="20">
        <v>8</v>
      </c>
      <c r="P5" s="70">
        <v>1100</v>
      </c>
      <c r="Q5" s="70" t="s">
        <v>13</v>
      </c>
      <c r="R5" s="13">
        <v>0</v>
      </c>
      <c r="S5" s="13"/>
      <c r="T5" s="13">
        <v>1</v>
      </c>
      <c r="AE5">
        <f>ROUNDDOWN(P5*1,0)</f>
        <v>1100</v>
      </c>
    </row>
    <row r="6" spans="1:31">
      <c r="A6">
        <v>2</v>
      </c>
      <c r="B6" s="21">
        <v>3</v>
      </c>
      <c r="C6" s="22">
        <v>1278</v>
      </c>
      <c r="D6" s="22" t="s">
        <v>14</v>
      </c>
      <c r="E6" s="23" t="s">
        <v>15</v>
      </c>
      <c r="F6" s="24">
        <v>19620707</v>
      </c>
      <c r="G6" s="16">
        <f t="shared" si="0"/>
        <v>22834</v>
      </c>
      <c r="H6" s="2">
        <f t="shared" si="1"/>
        <v>59</v>
      </c>
      <c r="I6" s="17"/>
      <c r="J6" s="25">
        <v>19920130</v>
      </c>
      <c r="K6" s="16">
        <f t="shared" si="2"/>
        <v>33633</v>
      </c>
      <c r="L6" s="2">
        <f t="shared" si="3"/>
        <v>29</v>
      </c>
      <c r="M6" s="25"/>
      <c r="N6" s="26"/>
      <c r="O6" s="27" t="s">
        <v>16</v>
      </c>
      <c r="P6" s="70">
        <v>1000</v>
      </c>
      <c r="Q6" s="70" t="s">
        <v>17</v>
      </c>
      <c r="R6" s="22">
        <v>0</v>
      </c>
      <c r="S6" s="22"/>
      <c r="T6" s="22">
        <v>1</v>
      </c>
      <c r="AE6">
        <f t="shared" ref="AE6:AE69" si="4">ROUNDDOWN(P6*1,0)</f>
        <v>1000</v>
      </c>
    </row>
    <row r="7" spans="1:31">
      <c r="A7">
        <v>3</v>
      </c>
      <c r="B7" s="21">
        <v>404</v>
      </c>
      <c r="C7" s="22">
        <v>3936</v>
      </c>
      <c r="D7" s="22" t="s">
        <v>18</v>
      </c>
      <c r="E7" s="23" t="s">
        <v>15</v>
      </c>
      <c r="F7" s="24">
        <v>19770909</v>
      </c>
      <c r="G7" s="16">
        <f t="shared" si="0"/>
        <v>28377</v>
      </c>
      <c r="H7" s="2">
        <f t="shared" si="1"/>
        <v>43</v>
      </c>
      <c r="I7" s="17"/>
      <c r="J7" s="25">
        <v>20060221</v>
      </c>
      <c r="K7" s="16">
        <f t="shared" si="2"/>
        <v>38769</v>
      </c>
      <c r="L7" s="2">
        <f t="shared" si="3"/>
        <v>15</v>
      </c>
      <c r="M7" s="25"/>
      <c r="N7" s="26"/>
      <c r="O7" s="27" t="s">
        <v>19</v>
      </c>
      <c r="P7" s="70">
        <v>1000</v>
      </c>
      <c r="Q7" s="70" t="s">
        <v>17</v>
      </c>
      <c r="R7" s="22">
        <v>0</v>
      </c>
      <c r="S7" s="22"/>
      <c r="T7" s="22">
        <v>1</v>
      </c>
      <c r="AE7">
        <f t="shared" si="4"/>
        <v>1000</v>
      </c>
    </row>
    <row r="8" spans="1:31">
      <c r="A8">
        <v>4</v>
      </c>
      <c r="B8" s="21">
        <v>37</v>
      </c>
      <c r="C8" s="22">
        <v>1376</v>
      </c>
      <c r="D8" s="22" t="s">
        <v>20</v>
      </c>
      <c r="E8" s="23" t="s">
        <v>15</v>
      </c>
      <c r="F8" s="24">
        <v>19811204</v>
      </c>
      <c r="G8" s="16">
        <f t="shared" si="0"/>
        <v>29924</v>
      </c>
      <c r="H8" s="2">
        <f t="shared" si="1"/>
        <v>39</v>
      </c>
      <c r="I8" s="17"/>
      <c r="J8" s="25">
        <v>20120221</v>
      </c>
      <c r="K8" s="16">
        <f t="shared" si="2"/>
        <v>40960</v>
      </c>
      <c r="L8" s="2">
        <f t="shared" si="3"/>
        <v>9</v>
      </c>
      <c r="M8" s="25"/>
      <c r="N8" s="26"/>
      <c r="O8" s="27" t="s">
        <v>16</v>
      </c>
      <c r="P8" s="70">
        <v>1000</v>
      </c>
      <c r="Q8" s="70" t="s">
        <v>17</v>
      </c>
      <c r="R8" s="22">
        <v>0</v>
      </c>
      <c r="S8" s="22"/>
      <c r="T8" s="22">
        <v>1</v>
      </c>
      <c r="AE8">
        <f t="shared" si="4"/>
        <v>1000</v>
      </c>
    </row>
    <row r="9" spans="1:31">
      <c r="A9">
        <v>5</v>
      </c>
      <c r="B9" s="21">
        <v>53</v>
      </c>
      <c r="C9" s="22">
        <v>1399</v>
      </c>
      <c r="D9" s="22" t="s">
        <v>21</v>
      </c>
      <c r="E9" s="23" t="s">
        <v>15</v>
      </c>
      <c r="F9" s="24">
        <v>19660615</v>
      </c>
      <c r="G9" s="16">
        <f t="shared" si="0"/>
        <v>24273</v>
      </c>
      <c r="H9" s="2">
        <f t="shared" si="1"/>
        <v>55</v>
      </c>
      <c r="I9" s="17"/>
      <c r="J9" s="25">
        <v>20181001</v>
      </c>
      <c r="K9" s="16">
        <f t="shared" si="2"/>
        <v>43374</v>
      </c>
      <c r="L9" s="2">
        <f t="shared" si="3"/>
        <v>2</v>
      </c>
      <c r="M9" s="25"/>
      <c r="N9" s="19"/>
      <c r="O9" s="27">
        <v>8</v>
      </c>
      <c r="P9" s="70">
        <v>1000</v>
      </c>
      <c r="Q9" s="70" t="s">
        <v>17</v>
      </c>
      <c r="R9" s="22">
        <v>0</v>
      </c>
      <c r="S9" s="22"/>
      <c r="T9" s="22">
        <v>2</v>
      </c>
      <c r="AE9">
        <f t="shared" si="4"/>
        <v>1000</v>
      </c>
    </row>
    <row r="10" spans="1:31">
      <c r="A10">
        <v>6</v>
      </c>
      <c r="B10" s="21">
        <v>294</v>
      </c>
      <c r="C10" s="22">
        <v>3415</v>
      </c>
      <c r="D10" s="22" t="s">
        <v>22</v>
      </c>
      <c r="E10" s="23" t="s">
        <v>15</v>
      </c>
      <c r="F10" s="24">
        <v>19890705</v>
      </c>
      <c r="G10" s="16">
        <f t="shared" si="0"/>
        <v>32694</v>
      </c>
      <c r="H10" s="2">
        <f t="shared" si="1"/>
        <v>32</v>
      </c>
      <c r="I10" s="17"/>
      <c r="J10" s="25">
        <v>20140321</v>
      </c>
      <c r="K10" s="16">
        <f t="shared" si="2"/>
        <v>41719</v>
      </c>
      <c r="L10" s="2">
        <f t="shared" si="3"/>
        <v>7</v>
      </c>
      <c r="M10" s="25"/>
      <c r="N10" s="26"/>
      <c r="O10" s="27" t="s">
        <v>16</v>
      </c>
      <c r="P10" s="70">
        <v>1100</v>
      </c>
      <c r="Q10" s="70" t="s">
        <v>13</v>
      </c>
      <c r="R10" s="22">
        <v>0</v>
      </c>
      <c r="S10" s="22"/>
      <c r="T10" s="22">
        <v>1</v>
      </c>
      <c r="AE10">
        <f t="shared" si="4"/>
        <v>1100</v>
      </c>
    </row>
    <row r="11" spans="1:31">
      <c r="A11">
        <v>7</v>
      </c>
      <c r="B11" s="21">
        <v>262</v>
      </c>
      <c r="C11" s="22">
        <v>3361</v>
      </c>
      <c r="D11" s="22" t="s">
        <v>23</v>
      </c>
      <c r="E11" s="23" t="s">
        <v>15</v>
      </c>
      <c r="F11" s="24">
        <v>19891109</v>
      </c>
      <c r="G11" s="16">
        <f t="shared" si="0"/>
        <v>32821</v>
      </c>
      <c r="H11" s="2">
        <f t="shared" si="1"/>
        <v>31</v>
      </c>
      <c r="I11" s="17"/>
      <c r="J11" s="25">
        <v>20120321</v>
      </c>
      <c r="K11" s="16">
        <f t="shared" si="2"/>
        <v>40989</v>
      </c>
      <c r="L11" s="2">
        <f t="shared" si="3"/>
        <v>9</v>
      </c>
      <c r="M11" s="25"/>
      <c r="N11" s="26"/>
      <c r="O11" s="27" t="s">
        <v>16</v>
      </c>
      <c r="P11" s="70">
        <v>3000</v>
      </c>
      <c r="Q11" s="70" t="s">
        <v>24</v>
      </c>
      <c r="R11" s="22">
        <v>0</v>
      </c>
      <c r="S11" s="22"/>
      <c r="T11" s="22">
        <v>1</v>
      </c>
      <c r="AE11">
        <f t="shared" si="4"/>
        <v>3000</v>
      </c>
    </row>
    <row r="12" spans="1:31">
      <c r="A12">
        <v>8</v>
      </c>
      <c r="B12" s="21">
        <v>5</v>
      </c>
      <c r="C12" s="22">
        <v>1291</v>
      </c>
      <c r="D12" s="22" t="s">
        <v>25</v>
      </c>
      <c r="E12" s="23" t="s">
        <v>15</v>
      </c>
      <c r="F12" s="24">
        <v>19671101</v>
      </c>
      <c r="G12" s="16">
        <f t="shared" si="0"/>
        <v>24777</v>
      </c>
      <c r="H12" s="2">
        <f t="shared" si="1"/>
        <v>53</v>
      </c>
      <c r="I12" s="17"/>
      <c r="J12" s="25">
        <v>19940322</v>
      </c>
      <c r="K12" s="16">
        <f t="shared" si="2"/>
        <v>34415</v>
      </c>
      <c r="L12" s="2">
        <f t="shared" si="3"/>
        <v>27</v>
      </c>
      <c r="M12" s="25"/>
      <c r="N12" s="26"/>
      <c r="O12" s="27" t="s">
        <v>16</v>
      </c>
      <c r="P12" s="70">
        <v>10000</v>
      </c>
      <c r="Q12" s="70" t="s">
        <v>26</v>
      </c>
      <c r="R12" s="22">
        <v>0</v>
      </c>
      <c r="S12" s="22"/>
      <c r="T12" s="22">
        <v>1</v>
      </c>
      <c r="AE12">
        <f t="shared" si="4"/>
        <v>10000</v>
      </c>
    </row>
    <row r="13" spans="1:31">
      <c r="A13">
        <v>9</v>
      </c>
      <c r="B13" s="21">
        <v>12</v>
      </c>
      <c r="C13" s="22">
        <v>1323</v>
      </c>
      <c r="D13" s="22" t="s">
        <v>27</v>
      </c>
      <c r="E13" s="23" t="s">
        <v>15</v>
      </c>
      <c r="F13" s="24">
        <v>19721018</v>
      </c>
      <c r="G13" s="16">
        <f t="shared" si="0"/>
        <v>26590</v>
      </c>
      <c r="H13" s="2">
        <f t="shared" si="1"/>
        <v>48</v>
      </c>
      <c r="I13" s="17"/>
      <c r="J13" s="25">
        <v>20030506</v>
      </c>
      <c r="K13" s="16">
        <f t="shared" si="2"/>
        <v>37747</v>
      </c>
      <c r="L13" s="2">
        <f t="shared" si="3"/>
        <v>18</v>
      </c>
      <c r="M13" s="25"/>
      <c r="N13" s="19"/>
      <c r="O13" s="27" t="s">
        <v>16</v>
      </c>
      <c r="P13" s="70">
        <v>10000</v>
      </c>
      <c r="Q13" s="70" t="s">
        <v>26</v>
      </c>
      <c r="R13" s="22">
        <v>0</v>
      </c>
      <c r="S13" s="22"/>
      <c r="T13" s="22">
        <v>1</v>
      </c>
      <c r="AE13">
        <f t="shared" si="4"/>
        <v>10000</v>
      </c>
    </row>
    <row r="14" spans="1:31">
      <c r="A14">
        <v>10</v>
      </c>
      <c r="B14" s="21">
        <v>192</v>
      </c>
      <c r="C14" s="22">
        <v>3210</v>
      </c>
      <c r="D14" s="22" t="s">
        <v>28</v>
      </c>
      <c r="E14" s="23" t="s">
        <v>15</v>
      </c>
      <c r="F14" s="24">
        <v>19810520</v>
      </c>
      <c r="G14" s="16">
        <f t="shared" si="0"/>
        <v>29726</v>
      </c>
      <c r="H14" s="2">
        <f t="shared" si="1"/>
        <v>40</v>
      </c>
      <c r="I14" s="17"/>
      <c r="J14" s="25">
        <v>20040322</v>
      </c>
      <c r="K14" s="16">
        <f t="shared" si="2"/>
        <v>38068</v>
      </c>
      <c r="L14" s="2">
        <f t="shared" si="3"/>
        <v>17</v>
      </c>
      <c r="M14" s="25"/>
      <c r="N14" s="26"/>
      <c r="O14" s="27" t="s">
        <v>16</v>
      </c>
      <c r="P14" s="70">
        <v>10000</v>
      </c>
      <c r="Q14" s="70" t="s">
        <v>26</v>
      </c>
      <c r="R14" s="22">
        <v>0</v>
      </c>
      <c r="S14" s="22"/>
      <c r="T14" s="22">
        <v>1</v>
      </c>
      <c r="AE14">
        <f t="shared" si="4"/>
        <v>10000</v>
      </c>
    </row>
    <row r="15" spans="1:31">
      <c r="A15">
        <v>11</v>
      </c>
      <c r="B15" s="21">
        <v>51</v>
      </c>
      <c r="C15" s="22">
        <v>1397</v>
      </c>
      <c r="D15" s="22" t="s">
        <v>29</v>
      </c>
      <c r="E15" s="23" t="s">
        <v>15</v>
      </c>
      <c r="F15" s="24">
        <v>19801023</v>
      </c>
      <c r="G15" s="16">
        <f t="shared" si="0"/>
        <v>29517</v>
      </c>
      <c r="H15" s="2">
        <f t="shared" si="1"/>
        <v>40</v>
      </c>
      <c r="I15" s="17"/>
      <c r="J15" s="25">
        <v>20180201</v>
      </c>
      <c r="K15" s="16">
        <f t="shared" si="2"/>
        <v>43132</v>
      </c>
      <c r="L15" s="2">
        <f t="shared" si="3"/>
        <v>3</v>
      </c>
      <c r="M15" s="25"/>
      <c r="N15" s="26"/>
      <c r="O15" s="27">
        <v>8</v>
      </c>
      <c r="P15" s="70">
        <v>10000</v>
      </c>
      <c r="Q15" s="70" t="s">
        <v>26</v>
      </c>
      <c r="R15" s="22">
        <v>0</v>
      </c>
      <c r="S15" s="22"/>
      <c r="T15" s="22">
        <v>1</v>
      </c>
      <c r="AE15">
        <f t="shared" si="4"/>
        <v>10000</v>
      </c>
    </row>
    <row r="16" spans="1:31">
      <c r="A16">
        <v>12</v>
      </c>
      <c r="B16" s="21">
        <v>244</v>
      </c>
      <c r="C16" s="22">
        <v>3331</v>
      </c>
      <c r="D16" s="22" t="s">
        <v>30</v>
      </c>
      <c r="E16" s="23" t="s">
        <v>15</v>
      </c>
      <c r="F16" s="24">
        <v>19880505</v>
      </c>
      <c r="G16" s="16">
        <f t="shared" si="0"/>
        <v>32268</v>
      </c>
      <c r="H16" s="2">
        <f t="shared" si="1"/>
        <v>33</v>
      </c>
      <c r="I16" s="17"/>
      <c r="J16" s="25">
        <v>20110321</v>
      </c>
      <c r="K16" s="16">
        <f t="shared" si="2"/>
        <v>40623</v>
      </c>
      <c r="L16" s="2">
        <f t="shared" si="3"/>
        <v>10</v>
      </c>
      <c r="M16" s="25"/>
      <c r="N16" s="26"/>
      <c r="O16" s="27" t="s">
        <v>16</v>
      </c>
      <c r="P16" s="70">
        <v>10000</v>
      </c>
      <c r="Q16" s="70" t="s">
        <v>26</v>
      </c>
      <c r="R16" s="22">
        <v>0</v>
      </c>
      <c r="S16" s="22"/>
      <c r="T16" s="22">
        <v>1</v>
      </c>
      <c r="AE16">
        <f t="shared" si="4"/>
        <v>10000</v>
      </c>
    </row>
    <row r="17" spans="1:31">
      <c r="A17">
        <v>13</v>
      </c>
      <c r="B17" s="21">
        <v>351</v>
      </c>
      <c r="C17" s="22">
        <v>3500</v>
      </c>
      <c r="D17" s="22" t="s">
        <v>31</v>
      </c>
      <c r="E17" s="23" t="s">
        <v>15</v>
      </c>
      <c r="F17" s="24">
        <v>19960812</v>
      </c>
      <c r="G17" s="16">
        <f t="shared" si="0"/>
        <v>35289</v>
      </c>
      <c r="H17" s="2">
        <f t="shared" si="1"/>
        <v>24</v>
      </c>
      <c r="I17" s="17"/>
      <c r="J17" s="25">
        <v>20190401</v>
      </c>
      <c r="K17" s="16">
        <f t="shared" si="2"/>
        <v>43556</v>
      </c>
      <c r="L17" s="2">
        <f t="shared" si="3"/>
        <v>2</v>
      </c>
      <c r="M17" s="25"/>
      <c r="N17" s="26"/>
      <c r="O17" s="27">
        <v>8</v>
      </c>
      <c r="P17" s="70">
        <v>10000</v>
      </c>
      <c r="Q17" s="70" t="s">
        <v>26</v>
      </c>
      <c r="R17" s="22">
        <v>0</v>
      </c>
      <c r="S17" s="22"/>
      <c r="T17" s="22">
        <v>2</v>
      </c>
      <c r="AE17">
        <f t="shared" si="4"/>
        <v>10000</v>
      </c>
    </row>
    <row r="18" spans="1:31">
      <c r="A18">
        <v>14</v>
      </c>
      <c r="B18" s="21">
        <v>344</v>
      </c>
      <c r="C18" s="22">
        <v>3491</v>
      </c>
      <c r="D18" s="22" t="s">
        <v>32</v>
      </c>
      <c r="E18" s="23" t="s">
        <v>15</v>
      </c>
      <c r="F18" s="24">
        <v>19950424</v>
      </c>
      <c r="G18" s="16">
        <f t="shared" si="0"/>
        <v>34813</v>
      </c>
      <c r="H18" s="2">
        <f t="shared" si="1"/>
        <v>26</v>
      </c>
      <c r="I18" s="17"/>
      <c r="J18" s="25">
        <v>20180402</v>
      </c>
      <c r="K18" s="16">
        <f t="shared" si="2"/>
        <v>43192</v>
      </c>
      <c r="L18" s="2">
        <f t="shared" si="3"/>
        <v>3</v>
      </c>
      <c r="M18" s="25"/>
      <c r="N18" s="26"/>
      <c r="O18" s="27">
        <v>8</v>
      </c>
      <c r="P18" s="70">
        <v>10000</v>
      </c>
      <c r="Q18" s="70" t="s">
        <v>26</v>
      </c>
      <c r="R18" s="22">
        <v>0</v>
      </c>
      <c r="S18" s="22"/>
      <c r="T18" s="22">
        <v>2</v>
      </c>
      <c r="AE18">
        <f t="shared" si="4"/>
        <v>10000</v>
      </c>
    </row>
    <row r="19" spans="1:31">
      <c r="AE19">
        <f t="shared" si="4"/>
        <v>0</v>
      </c>
    </row>
    <row r="20" spans="1:31">
      <c r="B20" s="21"/>
      <c r="C20" s="22"/>
      <c r="D20" s="22"/>
      <c r="E20" s="23"/>
      <c r="F20" s="24"/>
      <c r="G20" s="16"/>
      <c r="H20" s="2"/>
      <c r="I20" s="17"/>
      <c r="J20" s="25"/>
      <c r="K20" s="16"/>
      <c r="M20" s="25"/>
      <c r="N20" s="26"/>
      <c r="O20" s="27"/>
      <c r="P20" s="71"/>
      <c r="Q20" s="28"/>
      <c r="R20" s="22"/>
      <c r="S20" s="22"/>
      <c r="T20" s="22"/>
      <c r="AE20">
        <f t="shared" si="4"/>
        <v>0</v>
      </c>
    </row>
    <row r="21" spans="1:31">
      <c r="B21" s="21"/>
      <c r="C21" s="22"/>
      <c r="D21" s="22"/>
      <c r="E21" s="23"/>
      <c r="F21" s="24"/>
      <c r="G21" s="16"/>
      <c r="H21" s="2">
        <f>SUM(H5:H20)</f>
        <v>581</v>
      </c>
      <c r="I21" s="17">
        <f>H21/$A$18</f>
        <v>41.5</v>
      </c>
      <c r="J21" s="25"/>
      <c r="K21" s="16"/>
      <c r="L21" s="2">
        <f>SUM(L5:L20)</f>
        <v>152</v>
      </c>
      <c r="M21" s="17">
        <f>L21/$A$18</f>
        <v>10.857142857142858</v>
      </c>
      <c r="N21" s="26"/>
      <c r="O21" s="27"/>
      <c r="P21" s="71"/>
      <c r="Q21" s="28"/>
      <c r="R21" s="22"/>
      <c r="S21" s="22"/>
      <c r="T21" s="22"/>
      <c r="AE21">
        <f t="shared" si="4"/>
        <v>0</v>
      </c>
    </row>
    <row r="22" spans="1:31">
      <c r="B22" s="21"/>
      <c r="C22" s="22"/>
      <c r="D22" s="22"/>
      <c r="E22" s="23"/>
      <c r="F22" s="24"/>
      <c r="G22" s="16"/>
      <c r="H22" s="2"/>
      <c r="I22" s="17"/>
      <c r="J22" s="25"/>
      <c r="K22" s="16"/>
      <c r="M22" s="25"/>
      <c r="N22" s="26"/>
      <c r="O22" s="27"/>
      <c r="P22" s="71"/>
      <c r="Q22" s="28"/>
      <c r="R22" s="22"/>
      <c r="S22" s="22"/>
      <c r="T22" s="22"/>
      <c r="AE22">
        <f t="shared" si="4"/>
        <v>0</v>
      </c>
    </row>
    <row r="23" spans="1:31">
      <c r="B23" s="21"/>
      <c r="C23" s="22"/>
      <c r="D23" s="22"/>
      <c r="E23" s="23"/>
      <c r="F23" s="24"/>
      <c r="G23" s="16"/>
      <c r="H23" s="2"/>
      <c r="I23" s="17"/>
      <c r="J23" s="25"/>
      <c r="K23" s="16"/>
      <c r="M23" s="25"/>
      <c r="N23" s="26"/>
      <c r="O23" s="27"/>
      <c r="P23" s="71"/>
      <c r="Q23" s="28"/>
      <c r="R23" s="22"/>
      <c r="S23" s="22"/>
      <c r="T23" s="22"/>
      <c r="AE23">
        <f t="shared" si="4"/>
        <v>0</v>
      </c>
    </row>
    <row r="24" spans="1:31">
      <c r="A24">
        <v>1</v>
      </c>
      <c r="B24" s="21">
        <v>271</v>
      </c>
      <c r="C24" s="22">
        <v>3375</v>
      </c>
      <c r="D24" s="22" t="s">
        <v>33</v>
      </c>
      <c r="E24" s="23" t="s">
        <v>34</v>
      </c>
      <c r="F24" s="24">
        <v>19931205</v>
      </c>
      <c r="G24" s="16">
        <f t="shared" ref="G24:G30" si="5">DATE(INT(F24/10000),INT(MOD(F24,10000)/100),MOD(F24,100))</f>
        <v>34308</v>
      </c>
      <c r="H24" s="2">
        <f t="shared" ref="H24:H30" si="6">DATEDIF(G24,$G$4,"Y")</f>
        <v>27</v>
      </c>
      <c r="I24" s="17"/>
      <c r="J24" s="25">
        <v>20120321</v>
      </c>
      <c r="K24" s="16">
        <f t="shared" ref="K24:K30" si="7">DATE(INT(J24/10000),INT(MOD(J24,10000)/100),MOD(J24,100))</f>
        <v>40989</v>
      </c>
      <c r="L24" s="2">
        <f t="shared" ref="L24:L30" si="8">DATEDIF(K24,$G$4,"Y")</f>
        <v>9</v>
      </c>
      <c r="M24" s="25"/>
      <c r="N24" s="26"/>
      <c r="O24" s="27" t="s">
        <v>35</v>
      </c>
      <c r="P24" s="70">
        <v>1000</v>
      </c>
      <c r="Q24" s="70" t="s">
        <v>17</v>
      </c>
      <c r="R24" s="22">
        <v>0</v>
      </c>
      <c r="S24" s="22"/>
      <c r="T24" s="22">
        <v>2</v>
      </c>
      <c r="AE24">
        <f t="shared" si="4"/>
        <v>1000</v>
      </c>
    </row>
    <row r="25" spans="1:31">
      <c r="A25">
        <v>2</v>
      </c>
      <c r="B25" s="21">
        <v>130</v>
      </c>
      <c r="C25" s="22">
        <v>3002</v>
      </c>
      <c r="D25" s="22" t="s">
        <v>36</v>
      </c>
      <c r="E25" s="23" t="s">
        <v>34</v>
      </c>
      <c r="F25" s="24">
        <v>19760123</v>
      </c>
      <c r="G25" s="16">
        <f t="shared" si="5"/>
        <v>27782</v>
      </c>
      <c r="H25" s="2">
        <f t="shared" si="6"/>
        <v>45</v>
      </c>
      <c r="I25" s="17"/>
      <c r="J25" s="25">
        <v>19940322</v>
      </c>
      <c r="K25" s="16">
        <f t="shared" si="7"/>
        <v>34415</v>
      </c>
      <c r="L25" s="2">
        <f t="shared" si="8"/>
        <v>27</v>
      </c>
      <c r="M25" s="25"/>
      <c r="N25" s="26"/>
      <c r="O25" s="27" t="s">
        <v>35</v>
      </c>
      <c r="P25" s="70">
        <v>1100</v>
      </c>
      <c r="Q25" s="70" t="s">
        <v>13</v>
      </c>
      <c r="R25" s="22">
        <v>0</v>
      </c>
      <c r="S25" s="22"/>
      <c r="T25" s="22">
        <v>2</v>
      </c>
      <c r="AE25">
        <f t="shared" si="4"/>
        <v>1100</v>
      </c>
    </row>
    <row r="26" spans="1:31">
      <c r="A26">
        <v>3</v>
      </c>
      <c r="B26" s="21">
        <v>150</v>
      </c>
      <c r="C26" s="22">
        <v>3062</v>
      </c>
      <c r="D26" s="22" t="s">
        <v>37</v>
      </c>
      <c r="E26" s="23" t="s">
        <v>34</v>
      </c>
      <c r="F26" s="24">
        <v>19750302</v>
      </c>
      <c r="G26" s="16">
        <f t="shared" si="5"/>
        <v>27455</v>
      </c>
      <c r="H26" s="2">
        <f t="shared" si="6"/>
        <v>46</v>
      </c>
      <c r="I26" s="17"/>
      <c r="J26" s="25">
        <v>19950322</v>
      </c>
      <c r="K26" s="16">
        <f t="shared" si="7"/>
        <v>34780</v>
      </c>
      <c r="L26" s="2">
        <f t="shared" si="8"/>
        <v>26</v>
      </c>
      <c r="M26" s="25"/>
      <c r="N26" s="26"/>
      <c r="O26" s="27" t="s">
        <v>19</v>
      </c>
      <c r="P26" s="70">
        <v>3000</v>
      </c>
      <c r="Q26" s="70" t="s">
        <v>24</v>
      </c>
      <c r="R26" s="22">
        <v>0</v>
      </c>
      <c r="S26" s="22"/>
      <c r="T26" s="22">
        <v>2</v>
      </c>
      <c r="AE26">
        <f t="shared" si="4"/>
        <v>3000</v>
      </c>
    </row>
    <row r="27" spans="1:31">
      <c r="A27">
        <v>4</v>
      </c>
      <c r="B27" s="21">
        <v>280</v>
      </c>
      <c r="C27" s="22">
        <v>3392</v>
      </c>
      <c r="D27" s="22" t="s">
        <v>38</v>
      </c>
      <c r="E27" s="23" t="s">
        <v>34</v>
      </c>
      <c r="F27" s="24">
        <v>19910308</v>
      </c>
      <c r="G27" s="16">
        <f t="shared" si="5"/>
        <v>33305</v>
      </c>
      <c r="H27" s="2">
        <f t="shared" si="6"/>
        <v>30</v>
      </c>
      <c r="I27" s="17"/>
      <c r="J27" s="25">
        <v>20130321</v>
      </c>
      <c r="K27" s="16">
        <f t="shared" si="7"/>
        <v>41354</v>
      </c>
      <c r="L27" s="2">
        <f t="shared" si="8"/>
        <v>8</v>
      </c>
      <c r="M27" s="25"/>
      <c r="N27" s="26"/>
      <c r="O27" s="27" t="s">
        <v>16</v>
      </c>
      <c r="P27" s="70">
        <v>3000</v>
      </c>
      <c r="Q27" s="70" t="s">
        <v>24</v>
      </c>
      <c r="R27" s="22">
        <v>0</v>
      </c>
      <c r="S27" s="22"/>
      <c r="T27" s="22">
        <v>2</v>
      </c>
      <c r="AE27">
        <f t="shared" si="4"/>
        <v>3000</v>
      </c>
    </row>
    <row r="28" spans="1:31">
      <c r="A28">
        <v>5</v>
      </c>
      <c r="B28" s="21">
        <v>112</v>
      </c>
      <c r="C28" s="22">
        <v>2912</v>
      </c>
      <c r="D28" s="22" t="s">
        <v>39</v>
      </c>
      <c r="E28" s="23" t="s">
        <v>34</v>
      </c>
      <c r="F28" s="24">
        <v>19731124</v>
      </c>
      <c r="G28" s="16">
        <f t="shared" si="5"/>
        <v>26992</v>
      </c>
      <c r="H28" s="2">
        <f t="shared" si="6"/>
        <v>47</v>
      </c>
      <c r="I28" s="17"/>
      <c r="J28" s="25">
        <v>19920323</v>
      </c>
      <c r="K28" s="16">
        <f t="shared" si="7"/>
        <v>33686</v>
      </c>
      <c r="L28" s="2">
        <f t="shared" si="8"/>
        <v>29</v>
      </c>
      <c r="M28" s="25"/>
      <c r="N28" s="26"/>
      <c r="O28" s="27" t="s">
        <v>35</v>
      </c>
      <c r="P28" s="70">
        <v>10000</v>
      </c>
      <c r="Q28" s="70" t="s">
        <v>26</v>
      </c>
      <c r="R28" s="22">
        <v>0</v>
      </c>
      <c r="S28" s="22"/>
      <c r="T28" s="22">
        <v>2</v>
      </c>
      <c r="AE28">
        <f t="shared" si="4"/>
        <v>10000</v>
      </c>
    </row>
    <row r="29" spans="1:31">
      <c r="A29">
        <v>6</v>
      </c>
      <c r="B29" s="21">
        <v>229</v>
      </c>
      <c r="C29" s="22">
        <v>3297</v>
      </c>
      <c r="D29" s="22" t="s">
        <v>40</v>
      </c>
      <c r="E29" s="23" t="s">
        <v>34</v>
      </c>
      <c r="F29" s="24">
        <v>19900313</v>
      </c>
      <c r="G29" s="16">
        <f t="shared" si="5"/>
        <v>32945</v>
      </c>
      <c r="H29" s="2">
        <f t="shared" si="6"/>
        <v>31</v>
      </c>
      <c r="I29" s="17"/>
      <c r="J29" s="25">
        <v>20080321</v>
      </c>
      <c r="K29" s="16">
        <f t="shared" si="7"/>
        <v>39528</v>
      </c>
      <c r="L29" s="2">
        <f t="shared" si="8"/>
        <v>13</v>
      </c>
      <c r="M29" s="25"/>
      <c r="N29" s="26"/>
      <c r="O29" s="27" t="s">
        <v>35</v>
      </c>
      <c r="P29" s="70">
        <v>10000</v>
      </c>
      <c r="Q29" s="70" t="s">
        <v>26</v>
      </c>
      <c r="R29" s="22">
        <v>0</v>
      </c>
      <c r="S29" s="22"/>
      <c r="T29" s="22">
        <v>2</v>
      </c>
      <c r="AE29">
        <f t="shared" si="4"/>
        <v>10000</v>
      </c>
    </row>
    <row r="30" spans="1:31">
      <c r="A30">
        <v>7</v>
      </c>
      <c r="B30" s="21">
        <v>62</v>
      </c>
      <c r="C30" s="22">
        <v>1410</v>
      </c>
      <c r="D30" s="22" t="s">
        <v>41</v>
      </c>
      <c r="E30" s="23" t="s">
        <v>634</v>
      </c>
      <c r="F30" s="24">
        <v>19941107</v>
      </c>
      <c r="G30" s="16">
        <f t="shared" si="5"/>
        <v>34645</v>
      </c>
      <c r="H30" s="2">
        <f t="shared" si="6"/>
        <v>26</v>
      </c>
      <c r="I30" s="17"/>
      <c r="J30" s="25">
        <v>20200922</v>
      </c>
      <c r="K30" s="16">
        <f t="shared" si="7"/>
        <v>44096</v>
      </c>
      <c r="L30" s="2">
        <f t="shared" si="8"/>
        <v>0</v>
      </c>
      <c r="M30" s="25"/>
      <c r="N30" s="26"/>
      <c r="O30" s="29">
        <v>8</v>
      </c>
      <c r="P30" s="70">
        <v>10000</v>
      </c>
      <c r="Q30" s="70" t="s">
        <v>26</v>
      </c>
      <c r="R30" s="22">
        <v>0</v>
      </c>
      <c r="S30" s="22"/>
      <c r="T30" s="22">
        <v>2</v>
      </c>
      <c r="AE30">
        <f t="shared" si="4"/>
        <v>10000</v>
      </c>
    </row>
    <row r="31" spans="1:31">
      <c r="B31" s="21"/>
      <c r="C31" s="22"/>
      <c r="D31" s="22"/>
      <c r="E31" s="23"/>
      <c r="F31" s="24"/>
      <c r="G31" s="16"/>
      <c r="H31" s="2"/>
      <c r="I31" s="17"/>
      <c r="J31" s="25"/>
      <c r="K31" s="16"/>
      <c r="M31" s="25"/>
      <c r="N31" s="26"/>
      <c r="O31" s="29"/>
      <c r="P31" s="71"/>
      <c r="Q31" s="28"/>
      <c r="R31" s="22"/>
      <c r="S31" s="22"/>
      <c r="T31" s="22"/>
      <c r="AE31">
        <f t="shared" si="4"/>
        <v>0</v>
      </c>
    </row>
    <row r="32" spans="1:31">
      <c r="B32" s="21"/>
      <c r="C32" s="22"/>
      <c r="D32" s="22"/>
      <c r="E32" s="23"/>
      <c r="F32" s="24"/>
      <c r="G32" s="16"/>
      <c r="H32" s="2">
        <f>SUM(H24:H30)</f>
        <v>252</v>
      </c>
      <c r="I32" s="17">
        <f>H32/$A$30</f>
        <v>36</v>
      </c>
      <c r="J32" s="25"/>
      <c r="K32" s="16"/>
      <c r="L32" s="2">
        <f>SUM(L24:L30)</f>
        <v>112</v>
      </c>
      <c r="M32" s="17">
        <f>L32/$A$30</f>
        <v>16</v>
      </c>
      <c r="N32" s="26"/>
      <c r="O32" s="29"/>
      <c r="P32" s="71"/>
      <c r="Q32" s="28"/>
      <c r="R32" s="22"/>
      <c r="S32" s="22"/>
      <c r="T32" s="22"/>
      <c r="AE32">
        <f t="shared" si="4"/>
        <v>0</v>
      </c>
    </row>
    <row r="33" spans="1:31">
      <c r="B33" s="21"/>
      <c r="C33" s="22"/>
      <c r="D33" s="22"/>
      <c r="E33" s="23"/>
      <c r="F33" s="24"/>
      <c r="G33" s="16"/>
      <c r="H33" s="2"/>
      <c r="I33" s="17"/>
      <c r="J33" s="25"/>
      <c r="K33" s="16"/>
      <c r="M33" s="25"/>
      <c r="N33" s="26"/>
      <c r="O33" s="29"/>
      <c r="P33" s="71"/>
      <c r="Q33" s="28"/>
      <c r="R33" s="22"/>
      <c r="S33" s="22"/>
      <c r="T33" s="22"/>
      <c r="AE33">
        <f t="shared" si="4"/>
        <v>0</v>
      </c>
    </row>
    <row r="34" spans="1:31">
      <c r="B34" s="21"/>
      <c r="C34" s="22"/>
      <c r="D34" s="22"/>
      <c r="E34" s="23"/>
      <c r="F34" s="24"/>
      <c r="G34" s="16"/>
      <c r="H34" s="2"/>
      <c r="I34" s="17"/>
      <c r="J34" s="25"/>
      <c r="K34" s="16"/>
      <c r="M34" s="25"/>
      <c r="N34" s="26"/>
      <c r="O34" s="29"/>
      <c r="P34" s="71"/>
      <c r="Q34" s="28"/>
      <c r="R34" s="22"/>
      <c r="S34" s="22"/>
      <c r="T34" s="22"/>
      <c r="AE34">
        <f t="shared" si="4"/>
        <v>0</v>
      </c>
    </row>
    <row r="35" spans="1:31">
      <c r="B35" s="21"/>
      <c r="C35" s="22"/>
      <c r="D35" s="22"/>
      <c r="E35" s="23"/>
      <c r="F35" s="24"/>
      <c r="G35" s="16"/>
      <c r="H35" s="2"/>
      <c r="I35" s="17"/>
      <c r="J35" s="25"/>
      <c r="K35" s="16"/>
      <c r="M35" s="25"/>
      <c r="N35" s="26"/>
      <c r="O35" s="29"/>
      <c r="P35" s="71"/>
      <c r="Q35" s="28"/>
      <c r="R35" s="22"/>
      <c r="S35" s="22"/>
      <c r="T35" s="22"/>
      <c r="AE35">
        <f t="shared" si="4"/>
        <v>0</v>
      </c>
    </row>
    <row r="36" spans="1:31">
      <c r="A36">
        <v>1</v>
      </c>
      <c r="B36" s="21">
        <v>436</v>
      </c>
      <c r="C36" s="22">
        <v>3992</v>
      </c>
      <c r="D36" s="22" t="s">
        <v>43</v>
      </c>
      <c r="E36" s="23" t="s">
        <v>15</v>
      </c>
      <c r="F36" s="24">
        <v>19750708</v>
      </c>
      <c r="G36" s="16">
        <f t="shared" ref="G36:G99" si="9">DATE(INT(F36/10000),INT(MOD(F36,10000)/100),MOD(F36,100))</f>
        <v>27583</v>
      </c>
      <c r="H36" s="2">
        <f t="shared" ref="H36:H99" si="10">DATEDIF(G36,$G$4,"Y")</f>
        <v>46</v>
      </c>
      <c r="I36" s="17"/>
      <c r="J36" s="25">
        <v>20071211</v>
      </c>
      <c r="K36" s="16">
        <f t="shared" ref="K36:K99" si="11">DATE(INT(J36/10000),INT(MOD(J36,10000)/100),MOD(J36,100))</f>
        <v>39427</v>
      </c>
      <c r="L36" s="2">
        <f t="shared" ref="L36:L99" si="12">DATEDIF(K36,$G$4,"Y")</f>
        <v>13</v>
      </c>
      <c r="M36" s="25"/>
      <c r="N36" s="26"/>
      <c r="O36" s="27" t="s">
        <v>16</v>
      </c>
      <c r="P36" s="70">
        <v>80000</v>
      </c>
      <c r="Q36" s="70" t="s">
        <v>172</v>
      </c>
      <c r="R36" s="22">
        <v>0</v>
      </c>
      <c r="S36" s="22"/>
      <c r="T36" s="22">
        <v>1</v>
      </c>
      <c r="AE36">
        <f t="shared" si="4"/>
        <v>80000</v>
      </c>
    </row>
    <row r="37" spans="1:31">
      <c r="A37">
        <v>2</v>
      </c>
      <c r="B37" s="21">
        <v>4</v>
      </c>
      <c r="C37" s="22">
        <v>1290</v>
      </c>
      <c r="D37" s="22" t="s">
        <v>44</v>
      </c>
      <c r="E37" s="23" t="s">
        <v>15</v>
      </c>
      <c r="F37" s="24">
        <v>19650109</v>
      </c>
      <c r="G37" s="16">
        <f t="shared" si="9"/>
        <v>23751</v>
      </c>
      <c r="H37" s="2">
        <f t="shared" si="10"/>
        <v>56</v>
      </c>
      <c r="I37" s="17"/>
      <c r="J37" s="25">
        <v>19940321</v>
      </c>
      <c r="K37" s="16">
        <f t="shared" si="11"/>
        <v>34414</v>
      </c>
      <c r="L37" s="2">
        <f t="shared" si="12"/>
        <v>27</v>
      </c>
      <c r="M37" s="25"/>
      <c r="N37" s="26"/>
      <c r="O37" s="27" t="s">
        <v>16</v>
      </c>
      <c r="P37" s="70">
        <v>20000</v>
      </c>
      <c r="Q37" s="70" t="s">
        <v>45</v>
      </c>
      <c r="R37" s="22">
        <v>0</v>
      </c>
      <c r="S37" s="22"/>
      <c r="T37" s="22">
        <v>1</v>
      </c>
      <c r="AE37">
        <f t="shared" si="4"/>
        <v>20000</v>
      </c>
    </row>
    <row r="38" spans="1:31">
      <c r="A38">
        <v>3</v>
      </c>
      <c r="B38" s="21">
        <v>16</v>
      </c>
      <c r="C38" s="22">
        <v>1340</v>
      </c>
      <c r="D38" s="22" t="s">
        <v>46</v>
      </c>
      <c r="E38" s="23" t="s">
        <v>15</v>
      </c>
      <c r="F38" s="24">
        <v>19750827</v>
      </c>
      <c r="G38" s="16">
        <f t="shared" si="9"/>
        <v>27633</v>
      </c>
      <c r="H38" s="2">
        <f t="shared" si="10"/>
        <v>45</v>
      </c>
      <c r="I38" s="17"/>
      <c r="J38" s="25">
        <v>20060306</v>
      </c>
      <c r="K38" s="16">
        <f t="shared" si="11"/>
        <v>38782</v>
      </c>
      <c r="L38" s="2">
        <f t="shared" si="12"/>
        <v>15</v>
      </c>
      <c r="M38" s="25"/>
      <c r="N38" s="26"/>
      <c r="O38" s="27" t="s">
        <v>16</v>
      </c>
      <c r="P38" s="70">
        <v>20000</v>
      </c>
      <c r="Q38" s="70" t="s">
        <v>45</v>
      </c>
      <c r="R38" s="22">
        <v>0</v>
      </c>
      <c r="S38" s="22"/>
      <c r="T38" s="22">
        <v>1</v>
      </c>
      <c r="AE38">
        <f t="shared" si="4"/>
        <v>20000</v>
      </c>
    </row>
    <row r="39" spans="1:31">
      <c r="A39">
        <v>4</v>
      </c>
      <c r="B39" s="21">
        <v>208</v>
      </c>
      <c r="C39" s="22">
        <v>3248</v>
      </c>
      <c r="D39" s="22" t="s">
        <v>47</v>
      </c>
      <c r="E39" s="23" t="s">
        <v>15</v>
      </c>
      <c r="F39" s="24">
        <v>19840203</v>
      </c>
      <c r="G39" s="16">
        <f t="shared" si="9"/>
        <v>30715</v>
      </c>
      <c r="H39" s="2">
        <f t="shared" si="10"/>
        <v>37</v>
      </c>
      <c r="I39" s="17"/>
      <c r="J39" s="25">
        <v>20060321</v>
      </c>
      <c r="K39" s="16">
        <f t="shared" si="11"/>
        <v>38797</v>
      </c>
      <c r="L39" s="2">
        <f t="shared" si="12"/>
        <v>15</v>
      </c>
      <c r="M39" s="25"/>
      <c r="N39" s="26"/>
      <c r="O39" s="27" t="s">
        <v>16</v>
      </c>
      <c r="P39" s="70">
        <v>20000</v>
      </c>
      <c r="Q39" s="70" t="s">
        <v>45</v>
      </c>
      <c r="R39" s="22">
        <v>0</v>
      </c>
      <c r="S39" s="22"/>
      <c r="T39" s="22">
        <v>1</v>
      </c>
      <c r="AE39">
        <f t="shared" si="4"/>
        <v>20000</v>
      </c>
    </row>
    <row r="40" spans="1:31">
      <c r="A40">
        <v>5</v>
      </c>
      <c r="B40" s="21">
        <v>131</v>
      </c>
      <c r="C40" s="22">
        <v>3007</v>
      </c>
      <c r="D40" s="22" t="s">
        <v>48</v>
      </c>
      <c r="E40" s="23" t="s">
        <v>15</v>
      </c>
      <c r="F40" s="24">
        <v>19730203</v>
      </c>
      <c r="G40" s="16">
        <f t="shared" si="9"/>
        <v>26698</v>
      </c>
      <c r="H40" s="2">
        <f t="shared" si="10"/>
        <v>48</v>
      </c>
      <c r="I40" s="17"/>
      <c r="J40" s="25">
        <v>19950322</v>
      </c>
      <c r="K40" s="16">
        <f t="shared" si="11"/>
        <v>34780</v>
      </c>
      <c r="L40" s="2">
        <f t="shared" si="12"/>
        <v>26</v>
      </c>
      <c r="M40" s="25"/>
      <c r="N40" s="26"/>
      <c r="O40" s="27" t="s">
        <v>16</v>
      </c>
      <c r="P40" s="70">
        <v>22000</v>
      </c>
      <c r="Q40" s="70" t="s">
        <v>49</v>
      </c>
      <c r="R40" s="22">
        <v>0</v>
      </c>
      <c r="S40" s="22"/>
      <c r="T40" s="22">
        <v>1</v>
      </c>
      <c r="AE40">
        <f t="shared" si="4"/>
        <v>22000</v>
      </c>
    </row>
    <row r="41" spans="1:31">
      <c r="A41">
        <v>6</v>
      </c>
      <c r="B41" s="21">
        <v>128</v>
      </c>
      <c r="C41" s="22">
        <v>2984</v>
      </c>
      <c r="D41" s="22" t="s">
        <v>50</v>
      </c>
      <c r="E41" s="23" t="s">
        <v>15</v>
      </c>
      <c r="F41" s="24">
        <v>19740128</v>
      </c>
      <c r="G41" s="16">
        <f t="shared" si="9"/>
        <v>27057</v>
      </c>
      <c r="H41" s="2">
        <f t="shared" si="10"/>
        <v>47</v>
      </c>
      <c r="I41" s="17"/>
      <c r="J41" s="25">
        <v>19940322</v>
      </c>
      <c r="K41" s="16">
        <f t="shared" si="11"/>
        <v>34415</v>
      </c>
      <c r="L41" s="2">
        <f t="shared" si="12"/>
        <v>27</v>
      </c>
      <c r="M41" s="25"/>
      <c r="N41" s="26"/>
      <c r="O41" s="27" t="s">
        <v>19</v>
      </c>
      <c r="P41" s="70">
        <v>22000</v>
      </c>
      <c r="Q41" s="70" t="s">
        <v>49</v>
      </c>
      <c r="R41" s="22">
        <v>0</v>
      </c>
      <c r="S41" s="22"/>
      <c r="T41" s="22">
        <v>1</v>
      </c>
      <c r="AE41">
        <f t="shared" si="4"/>
        <v>22000</v>
      </c>
    </row>
    <row r="42" spans="1:31">
      <c r="A42">
        <v>7</v>
      </c>
      <c r="B42" s="21">
        <v>123</v>
      </c>
      <c r="C42" s="22">
        <v>2972</v>
      </c>
      <c r="D42" s="22" t="s">
        <v>51</v>
      </c>
      <c r="E42" s="23" t="s">
        <v>15</v>
      </c>
      <c r="F42" s="24">
        <v>19730919</v>
      </c>
      <c r="G42" s="16">
        <f t="shared" si="9"/>
        <v>26926</v>
      </c>
      <c r="H42" s="2">
        <f t="shared" si="10"/>
        <v>47</v>
      </c>
      <c r="I42" s="17"/>
      <c r="J42" s="25">
        <v>19940322</v>
      </c>
      <c r="K42" s="16">
        <f t="shared" si="11"/>
        <v>34415</v>
      </c>
      <c r="L42" s="2">
        <f t="shared" si="12"/>
        <v>27</v>
      </c>
      <c r="M42" s="25"/>
      <c r="N42" s="26"/>
      <c r="O42" s="27" t="s">
        <v>19</v>
      </c>
      <c r="P42" s="70">
        <v>22000</v>
      </c>
      <c r="Q42" s="70" t="s">
        <v>49</v>
      </c>
      <c r="R42" s="22">
        <v>0</v>
      </c>
      <c r="S42" s="22"/>
      <c r="T42" s="22">
        <v>1</v>
      </c>
      <c r="AE42">
        <f t="shared" si="4"/>
        <v>22000</v>
      </c>
    </row>
    <row r="43" spans="1:31">
      <c r="A43">
        <v>8</v>
      </c>
      <c r="B43" s="21">
        <v>42</v>
      </c>
      <c r="C43" s="22">
        <v>1386</v>
      </c>
      <c r="D43" s="22" t="s">
        <v>52</v>
      </c>
      <c r="E43" s="23" t="s">
        <v>15</v>
      </c>
      <c r="F43" s="24">
        <v>19810623</v>
      </c>
      <c r="G43" s="16">
        <f t="shared" si="9"/>
        <v>29760</v>
      </c>
      <c r="H43" s="2">
        <f t="shared" si="10"/>
        <v>40</v>
      </c>
      <c r="I43" s="17"/>
      <c r="J43" s="25">
        <v>20131021</v>
      </c>
      <c r="K43" s="16">
        <f t="shared" si="11"/>
        <v>41568</v>
      </c>
      <c r="L43" s="2">
        <f t="shared" si="12"/>
        <v>7</v>
      </c>
      <c r="M43" s="25"/>
      <c r="N43" s="26"/>
      <c r="O43" s="27" t="s">
        <v>16</v>
      </c>
      <c r="P43" s="70">
        <v>30000</v>
      </c>
      <c r="Q43" s="70" t="s">
        <v>53</v>
      </c>
      <c r="R43" s="22">
        <v>0</v>
      </c>
      <c r="S43" s="22"/>
      <c r="T43" s="22">
        <v>1</v>
      </c>
      <c r="AE43">
        <f t="shared" si="4"/>
        <v>30000</v>
      </c>
    </row>
    <row r="44" spans="1:31">
      <c r="A44">
        <v>9</v>
      </c>
      <c r="B44" s="21">
        <v>6</v>
      </c>
      <c r="C44" s="22">
        <v>1292</v>
      </c>
      <c r="D44" s="22" t="s">
        <v>54</v>
      </c>
      <c r="E44" s="23" t="s">
        <v>15</v>
      </c>
      <c r="F44" s="24">
        <v>19730829</v>
      </c>
      <c r="G44" s="16">
        <f t="shared" si="9"/>
        <v>26905</v>
      </c>
      <c r="H44" s="2">
        <f t="shared" si="10"/>
        <v>47</v>
      </c>
      <c r="I44" s="17"/>
      <c r="J44" s="25">
        <v>19940321</v>
      </c>
      <c r="K44" s="16">
        <f t="shared" si="11"/>
        <v>34414</v>
      </c>
      <c r="L44" s="2">
        <f t="shared" si="12"/>
        <v>27</v>
      </c>
      <c r="M44" s="25"/>
      <c r="N44" s="26"/>
      <c r="O44" s="27" t="s">
        <v>35</v>
      </c>
      <c r="P44" s="70">
        <v>30000</v>
      </c>
      <c r="Q44" s="70" t="s">
        <v>53</v>
      </c>
      <c r="R44" s="22">
        <v>0</v>
      </c>
      <c r="S44" s="22"/>
      <c r="T44" s="22">
        <v>1</v>
      </c>
      <c r="AE44">
        <f t="shared" si="4"/>
        <v>30000</v>
      </c>
    </row>
    <row r="45" spans="1:31">
      <c r="A45">
        <v>10</v>
      </c>
      <c r="B45" s="21">
        <v>111</v>
      </c>
      <c r="C45" s="22">
        <v>2910</v>
      </c>
      <c r="D45" s="22" t="s">
        <v>55</v>
      </c>
      <c r="E45" s="23" t="s">
        <v>15</v>
      </c>
      <c r="F45" s="24">
        <v>19740126</v>
      </c>
      <c r="G45" s="16">
        <f t="shared" si="9"/>
        <v>27055</v>
      </c>
      <c r="H45" s="2">
        <f t="shared" si="10"/>
        <v>47</v>
      </c>
      <c r="I45" s="17"/>
      <c r="J45" s="25">
        <v>19920323</v>
      </c>
      <c r="K45" s="16">
        <f t="shared" si="11"/>
        <v>33686</v>
      </c>
      <c r="L45" s="2">
        <f t="shared" si="12"/>
        <v>29</v>
      </c>
      <c r="M45" s="25"/>
      <c r="N45" s="26"/>
      <c r="O45" s="27" t="s">
        <v>35</v>
      </c>
      <c r="P45" s="70">
        <v>30000</v>
      </c>
      <c r="Q45" s="70" t="s">
        <v>53</v>
      </c>
      <c r="R45" s="22">
        <v>0</v>
      </c>
      <c r="S45" s="22"/>
      <c r="T45" s="22">
        <v>1</v>
      </c>
      <c r="AE45">
        <f t="shared" si="4"/>
        <v>30000</v>
      </c>
    </row>
    <row r="46" spans="1:31">
      <c r="A46">
        <v>11</v>
      </c>
      <c r="B46" s="21">
        <v>134</v>
      </c>
      <c r="C46" s="22">
        <v>3020</v>
      </c>
      <c r="D46" s="22" t="s">
        <v>56</v>
      </c>
      <c r="E46" s="23" t="s">
        <v>15</v>
      </c>
      <c r="F46" s="24">
        <v>19710909</v>
      </c>
      <c r="G46" s="16">
        <f t="shared" si="9"/>
        <v>26185</v>
      </c>
      <c r="H46" s="2">
        <f t="shared" si="10"/>
        <v>49</v>
      </c>
      <c r="I46" s="17"/>
      <c r="J46" s="25">
        <v>19950322</v>
      </c>
      <c r="K46" s="16">
        <f t="shared" si="11"/>
        <v>34780</v>
      </c>
      <c r="L46" s="2">
        <f t="shared" si="12"/>
        <v>26</v>
      </c>
      <c r="M46" s="25"/>
      <c r="N46" s="26"/>
      <c r="O46" s="27" t="s">
        <v>16</v>
      </c>
      <c r="P46" s="70">
        <v>30000</v>
      </c>
      <c r="Q46" s="70" t="s">
        <v>53</v>
      </c>
      <c r="R46" s="22">
        <v>0</v>
      </c>
      <c r="S46" s="22"/>
      <c r="T46" s="22">
        <v>1</v>
      </c>
      <c r="AE46">
        <f t="shared" si="4"/>
        <v>30000</v>
      </c>
    </row>
    <row r="47" spans="1:31">
      <c r="A47">
        <v>12</v>
      </c>
      <c r="B47" s="21">
        <v>160</v>
      </c>
      <c r="C47" s="22">
        <v>3109</v>
      </c>
      <c r="D47" s="22" t="s">
        <v>57</v>
      </c>
      <c r="E47" s="23" t="s">
        <v>15</v>
      </c>
      <c r="F47" s="24">
        <v>19771025</v>
      </c>
      <c r="G47" s="16">
        <f t="shared" si="9"/>
        <v>28423</v>
      </c>
      <c r="H47" s="2">
        <f t="shared" si="10"/>
        <v>43</v>
      </c>
      <c r="I47" s="17"/>
      <c r="J47" s="25">
        <v>19960321</v>
      </c>
      <c r="K47" s="16">
        <f t="shared" si="11"/>
        <v>35145</v>
      </c>
      <c r="L47" s="2">
        <f t="shared" si="12"/>
        <v>25</v>
      </c>
      <c r="M47" s="25"/>
      <c r="N47" s="26"/>
      <c r="O47" s="27" t="s">
        <v>58</v>
      </c>
      <c r="P47" s="70">
        <v>30000</v>
      </c>
      <c r="Q47" s="70" t="s">
        <v>53</v>
      </c>
      <c r="R47" s="22">
        <v>0</v>
      </c>
      <c r="S47" s="22"/>
      <c r="T47" s="22">
        <v>1</v>
      </c>
      <c r="AE47">
        <f t="shared" si="4"/>
        <v>30000</v>
      </c>
    </row>
    <row r="48" spans="1:31">
      <c r="A48">
        <v>13</v>
      </c>
      <c r="B48" s="21">
        <v>188</v>
      </c>
      <c r="C48" s="22">
        <v>3195</v>
      </c>
      <c r="D48" s="22" t="s">
        <v>59</v>
      </c>
      <c r="E48" s="23" t="s">
        <v>15</v>
      </c>
      <c r="F48" s="24">
        <v>19710710</v>
      </c>
      <c r="G48" s="16">
        <f t="shared" si="9"/>
        <v>26124</v>
      </c>
      <c r="H48" s="2">
        <f t="shared" si="10"/>
        <v>50</v>
      </c>
      <c r="I48" s="17"/>
      <c r="J48" s="25">
        <v>20030321</v>
      </c>
      <c r="K48" s="16">
        <f t="shared" si="11"/>
        <v>37701</v>
      </c>
      <c r="L48" s="2">
        <f t="shared" si="12"/>
        <v>18</v>
      </c>
      <c r="M48" s="25"/>
      <c r="N48" s="26"/>
      <c r="O48" s="27" t="s">
        <v>60</v>
      </c>
      <c r="P48" s="70">
        <v>30000</v>
      </c>
      <c r="Q48" s="70" t="s">
        <v>53</v>
      </c>
      <c r="R48" s="22">
        <v>0</v>
      </c>
      <c r="S48" s="22"/>
      <c r="T48" s="22">
        <v>1</v>
      </c>
      <c r="AE48">
        <f t="shared" si="4"/>
        <v>30000</v>
      </c>
    </row>
    <row r="49" spans="1:31">
      <c r="A49">
        <v>14</v>
      </c>
      <c r="B49" s="21">
        <v>196</v>
      </c>
      <c r="C49" s="22">
        <v>3214</v>
      </c>
      <c r="D49" s="22" t="s">
        <v>61</v>
      </c>
      <c r="E49" s="23" t="s">
        <v>15</v>
      </c>
      <c r="F49" s="24">
        <v>19780107</v>
      </c>
      <c r="G49" s="16">
        <f t="shared" si="9"/>
        <v>28497</v>
      </c>
      <c r="H49" s="2">
        <f t="shared" si="10"/>
        <v>43</v>
      </c>
      <c r="I49" s="17"/>
      <c r="J49" s="25">
        <v>20040322</v>
      </c>
      <c r="K49" s="16">
        <f t="shared" si="11"/>
        <v>38068</v>
      </c>
      <c r="L49" s="2">
        <f t="shared" si="12"/>
        <v>17</v>
      </c>
      <c r="M49" s="25"/>
      <c r="N49" s="26"/>
      <c r="O49" s="27" t="s">
        <v>19</v>
      </c>
      <c r="P49" s="70">
        <v>30000</v>
      </c>
      <c r="Q49" s="70" t="s">
        <v>53</v>
      </c>
      <c r="R49" s="22">
        <v>0</v>
      </c>
      <c r="S49" s="22"/>
      <c r="T49" s="22">
        <v>1</v>
      </c>
      <c r="AE49">
        <f t="shared" si="4"/>
        <v>30000</v>
      </c>
    </row>
    <row r="50" spans="1:31">
      <c r="A50">
        <v>15</v>
      </c>
      <c r="B50" s="21">
        <v>195</v>
      </c>
      <c r="C50" s="22">
        <v>3213</v>
      </c>
      <c r="D50" s="22" t="s">
        <v>62</v>
      </c>
      <c r="E50" s="23" t="s">
        <v>15</v>
      </c>
      <c r="F50" s="24">
        <v>19810421</v>
      </c>
      <c r="G50" s="16">
        <f t="shared" si="9"/>
        <v>29697</v>
      </c>
      <c r="H50" s="2">
        <f t="shared" si="10"/>
        <v>40</v>
      </c>
      <c r="I50" s="17"/>
      <c r="J50" s="25">
        <v>20040322</v>
      </c>
      <c r="K50" s="16">
        <f t="shared" si="11"/>
        <v>38068</v>
      </c>
      <c r="L50" s="2">
        <f t="shared" si="12"/>
        <v>17</v>
      </c>
      <c r="M50" s="25"/>
      <c r="N50" s="26"/>
      <c r="O50" s="27" t="s">
        <v>16</v>
      </c>
      <c r="P50" s="70">
        <v>30000</v>
      </c>
      <c r="Q50" s="70" t="s">
        <v>53</v>
      </c>
      <c r="R50" s="22">
        <v>0</v>
      </c>
      <c r="S50" s="22"/>
      <c r="T50" s="22">
        <v>1</v>
      </c>
      <c r="AE50">
        <f t="shared" si="4"/>
        <v>30000</v>
      </c>
    </row>
    <row r="51" spans="1:31">
      <c r="A51">
        <v>16</v>
      </c>
      <c r="B51" s="21">
        <v>246</v>
      </c>
      <c r="C51" s="22">
        <v>3333</v>
      </c>
      <c r="D51" s="22" t="s">
        <v>63</v>
      </c>
      <c r="E51" s="23" t="s">
        <v>15</v>
      </c>
      <c r="F51" s="24">
        <v>19880527</v>
      </c>
      <c r="G51" s="16">
        <f t="shared" si="9"/>
        <v>32290</v>
      </c>
      <c r="H51" s="2">
        <f t="shared" si="10"/>
        <v>33</v>
      </c>
      <c r="I51" s="17"/>
      <c r="J51" s="25">
        <v>20110321</v>
      </c>
      <c r="K51" s="16">
        <f t="shared" si="11"/>
        <v>40623</v>
      </c>
      <c r="L51" s="2">
        <f t="shared" si="12"/>
        <v>10</v>
      </c>
      <c r="M51" s="25"/>
      <c r="N51" s="26"/>
      <c r="O51" s="27" t="s">
        <v>16</v>
      </c>
      <c r="P51" s="70">
        <v>30000</v>
      </c>
      <c r="Q51" s="70" t="s">
        <v>53</v>
      </c>
      <c r="R51" s="22">
        <v>0</v>
      </c>
      <c r="S51" s="22"/>
      <c r="T51" s="22">
        <v>1</v>
      </c>
      <c r="AE51">
        <f t="shared" si="4"/>
        <v>30000</v>
      </c>
    </row>
    <row r="52" spans="1:31">
      <c r="A52">
        <v>17</v>
      </c>
      <c r="B52" s="21">
        <v>290</v>
      </c>
      <c r="C52" s="22">
        <v>3411</v>
      </c>
      <c r="D52" s="22" t="s">
        <v>64</v>
      </c>
      <c r="E52" s="23" t="s">
        <v>15</v>
      </c>
      <c r="F52" s="24">
        <v>19911225</v>
      </c>
      <c r="G52" s="16">
        <f t="shared" si="9"/>
        <v>33597</v>
      </c>
      <c r="H52" s="2">
        <f t="shared" si="10"/>
        <v>29</v>
      </c>
      <c r="I52" s="17"/>
      <c r="J52" s="25">
        <v>20140321</v>
      </c>
      <c r="K52" s="16">
        <f t="shared" si="11"/>
        <v>41719</v>
      </c>
      <c r="L52" s="2">
        <f t="shared" si="12"/>
        <v>7</v>
      </c>
      <c r="M52" s="25"/>
      <c r="N52" s="26"/>
      <c r="O52" s="27" t="s">
        <v>16</v>
      </c>
      <c r="P52" s="70">
        <v>30000</v>
      </c>
      <c r="Q52" s="70" t="s">
        <v>53</v>
      </c>
      <c r="R52" s="22">
        <v>0</v>
      </c>
      <c r="S52" s="22"/>
      <c r="T52" s="22">
        <v>1</v>
      </c>
      <c r="AE52">
        <f t="shared" si="4"/>
        <v>30000</v>
      </c>
    </row>
    <row r="53" spans="1:31">
      <c r="A53">
        <v>18</v>
      </c>
      <c r="B53" s="21">
        <v>302</v>
      </c>
      <c r="C53" s="22">
        <v>3432</v>
      </c>
      <c r="D53" s="22" t="s">
        <v>65</v>
      </c>
      <c r="E53" s="23" t="s">
        <v>15</v>
      </c>
      <c r="F53" s="24">
        <v>19911110</v>
      </c>
      <c r="G53" s="16">
        <f t="shared" si="9"/>
        <v>33552</v>
      </c>
      <c r="H53" s="2">
        <f t="shared" si="10"/>
        <v>29</v>
      </c>
      <c r="I53" s="17"/>
      <c r="J53" s="25">
        <v>20150401</v>
      </c>
      <c r="K53" s="16">
        <f t="shared" si="11"/>
        <v>42095</v>
      </c>
      <c r="L53" s="2">
        <f t="shared" si="12"/>
        <v>6</v>
      </c>
      <c r="M53" s="25"/>
      <c r="N53" s="26"/>
      <c r="O53" s="27" t="s">
        <v>16</v>
      </c>
      <c r="P53" s="70">
        <v>30000</v>
      </c>
      <c r="Q53" s="70" t="s">
        <v>53</v>
      </c>
      <c r="R53" s="22">
        <v>0</v>
      </c>
      <c r="S53" s="22"/>
      <c r="T53" s="22">
        <v>2</v>
      </c>
      <c r="AE53">
        <f t="shared" si="4"/>
        <v>30000</v>
      </c>
    </row>
    <row r="54" spans="1:31">
      <c r="A54">
        <v>19</v>
      </c>
      <c r="B54" s="21">
        <v>315</v>
      </c>
      <c r="C54" s="22">
        <v>3451</v>
      </c>
      <c r="D54" s="22" t="s">
        <v>66</v>
      </c>
      <c r="E54" s="23" t="s">
        <v>15</v>
      </c>
      <c r="F54" s="24">
        <v>19930902</v>
      </c>
      <c r="G54" s="16">
        <f t="shared" si="9"/>
        <v>34214</v>
      </c>
      <c r="H54" s="2">
        <f t="shared" si="10"/>
        <v>27</v>
      </c>
      <c r="I54" s="17"/>
      <c r="J54" s="25">
        <v>20160401</v>
      </c>
      <c r="K54" s="16">
        <f t="shared" si="11"/>
        <v>42461</v>
      </c>
      <c r="L54" s="2">
        <f t="shared" si="12"/>
        <v>5</v>
      </c>
      <c r="M54" s="25"/>
      <c r="N54" s="26"/>
      <c r="O54" s="27" t="s">
        <v>16</v>
      </c>
      <c r="P54" s="70">
        <v>30000</v>
      </c>
      <c r="Q54" s="70" t="s">
        <v>53</v>
      </c>
      <c r="R54" s="22">
        <v>0</v>
      </c>
      <c r="S54" s="22"/>
      <c r="T54" s="22">
        <v>2</v>
      </c>
      <c r="AE54">
        <f t="shared" si="4"/>
        <v>30000</v>
      </c>
    </row>
    <row r="55" spans="1:31">
      <c r="A55">
        <v>20</v>
      </c>
      <c r="B55" s="21">
        <v>329</v>
      </c>
      <c r="C55" s="22">
        <v>3471</v>
      </c>
      <c r="D55" s="22" t="s">
        <v>67</v>
      </c>
      <c r="E55" s="23" t="s">
        <v>15</v>
      </c>
      <c r="F55" s="24">
        <v>19940827</v>
      </c>
      <c r="G55" s="16">
        <f t="shared" si="9"/>
        <v>34573</v>
      </c>
      <c r="H55" s="2">
        <f t="shared" si="10"/>
        <v>26</v>
      </c>
      <c r="I55" s="17"/>
      <c r="J55" s="25">
        <v>20170403</v>
      </c>
      <c r="K55" s="16">
        <f t="shared" si="11"/>
        <v>42828</v>
      </c>
      <c r="L55" s="2">
        <f t="shared" si="12"/>
        <v>4</v>
      </c>
      <c r="M55" s="25"/>
      <c r="N55" s="26"/>
      <c r="O55" s="27">
        <v>8</v>
      </c>
      <c r="P55" s="70">
        <v>30000</v>
      </c>
      <c r="Q55" s="70" t="s">
        <v>53</v>
      </c>
      <c r="R55" s="22">
        <v>0</v>
      </c>
      <c r="S55" s="22"/>
      <c r="T55" s="22">
        <v>2</v>
      </c>
      <c r="AE55">
        <f t="shared" si="4"/>
        <v>30000</v>
      </c>
    </row>
    <row r="56" spans="1:31">
      <c r="A56">
        <v>21</v>
      </c>
      <c r="B56" s="21">
        <v>362</v>
      </c>
      <c r="C56" s="22">
        <v>3515</v>
      </c>
      <c r="D56" s="22" t="s">
        <v>68</v>
      </c>
      <c r="E56" s="23" t="s">
        <v>635</v>
      </c>
      <c r="F56" s="24">
        <v>19970618</v>
      </c>
      <c r="G56" s="16">
        <f t="shared" si="9"/>
        <v>35599</v>
      </c>
      <c r="H56" s="2">
        <f t="shared" si="10"/>
        <v>24</v>
      </c>
      <c r="I56" s="17"/>
      <c r="J56" s="25">
        <v>20200401</v>
      </c>
      <c r="K56" s="16">
        <f t="shared" si="11"/>
        <v>43922</v>
      </c>
      <c r="L56" s="2">
        <f t="shared" si="12"/>
        <v>1</v>
      </c>
      <c r="M56" s="25"/>
      <c r="N56" s="26"/>
      <c r="O56" s="27">
        <v>8</v>
      </c>
      <c r="P56" s="70">
        <v>30000</v>
      </c>
      <c r="Q56" s="70" t="s">
        <v>53</v>
      </c>
      <c r="R56" s="22">
        <v>1</v>
      </c>
      <c r="S56" s="22" t="s">
        <v>636</v>
      </c>
      <c r="T56" s="22">
        <v>2</v>
      </c>
      <c r="AE56">
        <f t="shared" si="4"/>
        <v>30000</v>
      </c>
    </row>
    <row r="57" spans="1:31">
      <c r="A57">
        <v>22</v>
      </c>
      <c r="B57" s="21">
        <v>87</v>
      </c>
      <c r="C57" s="22">
        <v>2759</v>
      </c>
      <c r="D57" s="22" t="s">
        <v>71</v>
      </c>
      <c r="E57" s="23" t="s">
        <v>15</v>
      </c>
      <c r="F57" s="24">
        <v>19630116</v>
      </c>
      <c r="G57" s="16">
        <f t="shared" si="9"/>
        <v>23027</v>
      </c>
      <c r="H57" s="2">
        <f t="shared" si="10"/>
        <v>58</v>
      </c>
      <c r="I57" s="17"/>
      <c r="J57" s="25">
        <v>19860326</v>
      </c>
      <c r="K57" s="16">
        <f t="shared" si="11"/>
        <v>31497</v>
      </c>
      <c r="L57" s="2">
        <f t="shared" si="12"/>
        <v>35</v>
      </c>
      <c r="M57" s="25"/>
      <c r="N57" s="26"/>
      <c r="O57" s="27" t="s">
        <v>16</v>
      </c>
      <c r="P57" s="70">
        <v>31000</v>
      </c>
      <c r="Q57" s="70" t="s">
        <v>72</v>
      </c>
      <c r="R57" s="22">
        <v>0</v>
      </c>
      <c r="S57" s="22"/>
      <c r="T57" s="22">
        <v>1</v>
      </c>
      <c r="AE57">
        <f t="shared" si="4"/>
        <v>31000</v>
      </c>
    </row>
    <row r="58" spans="1:31">
      <c r="A58">
        <v>23</v>
      </c>
      <c r="B58" s="21">
        <v>204</v>
      </c>
      <c r="C58" s="22">
        <v>3233</v>
      </c>
      <c r="D58" s="22" t="s">
        <v>73</v>
      </c>
      <c r="E58" s="23" t="s">
        <v>15</v>
      </c>
      <c r="F58" s="24">
        <v>19861015</v>
      </c>
      <c r="G58" s="16">
        <f t="shared" si="9"/>
        <v>31700</v>
      </c>
      <c r="H58" s="2">
        <f t="shared" si="10"/>
        <v>34</v>
      </c>
      <c r="I58" s="17"/>
      <c r="J58" s="25">
        <v>20050321</v>
      </c>
      <c r="K58" s="16">
        <f t="shared" si="11"/>
        <v>38432</v>
      </c>
      <c r="L58" s="2">
        <f t="shared" si="12"/>
        <v>16</v>
      </c>
      <c r="M58" s="25"/>
      <c r="N58" s="26"/>
      <c r="O58" s="27" t="s">
        <v>35</v>
      </c>
      <c r="P58" s="70">
        <v>31000</v>
      </c>
      <c r="Q58" s="70" t="s">
        <v>72</v>
      </c>
      <c r="R58" s="22">
        <v>0</v>
      </c>
      <c r="S58" s="22"/>
      <c r="T58" s="22">
        <v>1</v>
      </c>
      <c r="AE58">
        <f t="shared" si="4"/>
        <v>31000</v>
      </c>
    </row>
    <row r="59" spans="1:31">
      <c r="A59">
        <v>24</v>
      </c>
      <c r="B59" s="21">
        <v>455</v>
      </c>
      <c r="C59" s="22">
        <v>5119</v>
      </c>
      <c r="D59" s="22" t="s">
        <v>74</v>
      </c>
      <c r="E59" s="23" t="s">
        <v>15</v>
      </c>
      <c r="F59" s="24">
        <v>19670723</v>
      </c>
      <c r="G59" s="16">
        <f t="shared" si="9"/>
        <v>24676</v>
      </c>
      <c r="H59" s="2">
        <f t="shared" si="10"/>
        <v>54</v>
      </c>
      <c r="I59" s="17"/>
      <c r="J59" s="25">
        <v>19850326</v>
      </c>
      <c r="K59" s="16">
        <f t="shared" si="11"/>
        <v>31132</v>
      </c>
      <c r="L59" s="2">
        <f t="shared" si="12"/>
        <v>36</v>
      </c>
      <c r="M59" s="25"/>
      <c r="N59" s="26"/>
      <c r="O59" s="27" t="s">
        <v>75</v>
      </c>
      <c r="P59" s="70">
        <v>31000</v>
      </c>
      <c r="Q59" s="70" t="s">
        <v>72</v>
      </c>
      <c r="R59" s="22">
        <v>0</v>
      </c>
      <c r="S59" s="22"/>
      <c r="T59" s="22">
        <v>2</v>
      </c>
      <c r="AE59">
        <f t="shared" si="4"/>
        <v>31000</v>
      </c>
    </row>
    <row r="60" spans="1:31">
      <c r="A60">
        <v>25</v>
      </c>
      <c r="B60" s="21">
        <v>378</v>
      </c>
      <c r="C60" s="22">
        <v>3849</v>
      </c>
      <c r="D60" s="22" t="s">
        <v>76</v>
      </c>
      <c r="E60" s="23" t="s">
        <v>15</v>
      </c>
      <c r="F60" s="24">
        <v>19770824</v>
      </c>
      <c r="G60" s="16">
        <f t="shared" si="9"/>
        <v>28361</v>
      </c>
      <c r="H60" s="2">
        <f t="shared" si="10"/>
        <v>43</v>
      </c>
      <c r="I60" s="17"/>
      <c r="J60" s="25">
        <v>19941101</v>
      </c>
      <c r="K60" s="16">
        <f t="shared" si="11"/>
        <v>34639</v>
      </c>
      <c r="L60" s="2">
        <f t="shared" si="12"/>
        <v>26</v>
      </c>
      <c r="M60" s="25"/>
      <c r="N60" s="26"/>
      <c r="O60" s="27" t="s">
        <v>77</v>
      </c>
      <c r="P60" s="70">
        <v>31000</v>
      </c>
      <c r="Q60" s="70" t="s">
        <v>72</v>
      </c>
      <c r="R60" s="22">
        <v>0</v>
      </c>
      <c r="S60" s="22"/>
      <c r="T60" s="22">
        <v>2</v>
      </c>
      <c r="AE60">
        <f t="shared" si="4"/>
        <v>31000</v>
      </c>
    </row>
    <row r="61" spans="1:31">
      <c r="A61">
        <v>26</v>
      </c>
      <c r="B61" s="21">
        <v>295</v>
      </c>
      <c r="C61" s="22">
        <v>3417</v>
      </c>
      <c r="D61" s="22" t="s">
        <v>78</v>
      </c>
      <c r="E61" s="23" t="s">
        <v>15</v>
      </c>
      <c r="F61" s="24">
        <v>19951030</v>
      </c>
      <c r="G61" s="16">
        <f t="shared" si="9"/>
        <v>35002</v>
      </c>
      <c r="H61" s="2">
        <f t="shared" si="10"/>
        <v>25</v>
      </c>
      <c r="I61" s="17"/>
      <c r="J61" s="25">
        <v>20140321</v>
      </c>
      <c r="K61" s="16">
        <f t="shared" si="11"/>
        <v>41719</v>
      </c>
      <c r="L61" s="2">
        <f t="shared" si="12"/>
        <v>7</v>
      </c>
      <c r="M61" s="25"/>
      <c r="N61" s="26"/>
      <c r="O61" s="27" t="s">
        <v>35</v>
      </c>
      <c r="P61" s="70">
        <v>31000</v>
      </c>
      <c r="Q61" s="70" t="s">
        <v>72</v>
      </c>
      <c r="R61" s="22">
        <v>0</v>
      </c>
      <c r="S61" s="22"/>
      <c r="T61" s="22">
        <v>2</v>
      </c>
      <c r="AE61">
        <f t="shared" si="4"/>
        <v>31000</v>
      </c>
    </row>
    <row r="62" spans="1:31">
      <c r="A62">
        <v>27</v>
      </c>
      <c r="B62" s="21">
        <v>304</v>
      </c>
      <c r="C62" s="22">
        <v>3436</v>
      </c>
      <c r="D62" s="22" t="s">
        <v>79</v>
      </c>
      <c r="E62" s="23" t="s">
        <v>15</v>
      </c>
      <c r="F62" s="24">
        <v>19960601</v>
      </c>
      <c r="G62" s="16">
        <f t="shared" si="9"/>
        <v>35217</v>
      </c>
      <c r="H62" s="2">
        <f t="shared" si="10"/>
        <v>25</v>
      </c>
      <c r="I62" s="17"/>
      <c r="J62" s="25">
        <v>20150401</v>
      </c>
      <c r="K62" s="16">
        <f t="shared" si="11"/>
        <v>42095</v>
      </c>
      <c r="L62" s="2">
        <f t="shared" si="12"/>
        <v>6</v>
      </c>
      <c r="M62" s="25"/>
      <c r="N62" s="26"/>
      <c r="O62" s="27" t="s">
        <v>35</v>
      </c>
      <c r="P62" s="70">
        <v>31000</v>
      </c>
      <c r="Q62" s="70" t="s">
        <v>72</v>
      </c>
      <c r="R62" s="22">
        <v>0</v>
      </c>
      <c r="S62" s="22"/>
      <c r="T62" s="22">
        <v>2</v>
      </c>
      <c r="AE62">
        <f t="shared" si="4"/>
        <v>31000</v>
      </c>
    </row>
    <row r="63" spans="1:31">
      <c r="A63">
        <v>28</v>
      </c>
      <c r="B63" s="21">
        <v>224</v>
      </c>
      <c r="C63" s="22">
        <v>3283</v>
      </c>
      <c r="D63" s="22" t="s">
        <v>80</v>
      </c>
      <c r="E63" s="23" t="s">
        <v>15</v>
      </c>
      <c r="F63" s="24">
        <v>19891023</v>
      </c>
      <c r="G63" s="16">
        <f t="shared" si="9"/>
        <v>32804</v>
      </c>
      <c r="H63" s="2">
        <f t="shared" si="10"/>
        <v>31</v>
      </c>
      <c r="I63" s="17"/>
      <c r="J63" s="25">
        <v>20080321</v>
      </c>
      <c r="K63" s="16">
        <f t="shared" si="11"/>
        <v>39528</v>
      </c>
      <c r="L63" s="2">
        <f t="shared" si="12"/>
        <v>13</v>
      </c>
      <c r="M63" s="25"/>
      <c r="N63" s="26"/>
      <c r="O63" s="27" t="s">
        <v>35</v>
      </c>
      <c r="P63" s="70">
        <v>32000</v>
      </c>
      <c r="Q63" s="70" t="s">
        <v>81</v>
      </c>
      <c r="R63" s="22">
        <v>0</v>
      </c>
      <c r="S63" s="22"/>
      <c r="T63" s="22">
        <v>1</v>
      </c>
      <c r="AE63">
        <f t="shared" si="4"/>
        <v>32000</v>
      </c>
    </row>
    <row r="64" spans="1:31">
      <c r="A64">
        <v>29</v>
      </c>
      <c r="B64" s="21">
        <v>373</v>
      </c>
      <c r="C64" s="22">
        <v>3787</v>
      </c>
      <c r="D64" s="22" t="s">
        <v>82</v>
      </c>
      <c r="E64" s="23" t="s">
        <v>15</v>
      </c>
      <c r="F64" s="24">
        <v>19700222</v>
      </c>
      <c r="G64" s="16">
        <f t="shared" si="9"/>
        <v>25621</v>
      </c>
      <c r="H64" s="2">
        <f t="shared" si="10"/>
        <v>51</v>
      </c>
      <c r="I64" s="17"/>
      <c r="J64" s="25">
        <v>19891204</v>
      </c>
      <c r="K64" s="16">
        <f t="shared" si="11"/>
        <v>32846</v>
      </c>
      <c r="L64" s="2">
        <f t="shared" si="12"/>
        <v>31</v>
      </c>
      <c r="M64" s="25"/>
      <c r="N64" s="26"/>
      <c r="O64" s="27" t="s">
        <v>35</v>
      </c>
      <c r="P64" s="70">
        <v>32000</v>
      </c>
      <c r="Q64" s="70" t="s">
        <v>81</v>
      </c>
      <c r="R64" s="22">
        <v>0</v>
      </c>
      <c r="S64" s="22"/>
      <c r="T64" s="22">
        <v>2</v>
      </c>
      <c r="AE64">
        <f t="shared" si="4"/>
        <v>32000</v>
      </c>
    </row>
    <row r="65" spans="1:31">
      <c r="A65">
        <v>30</v>
      </c>
      <c r="B65" s="21">
        <v>114</v>
      </c>
      <c r="C65" s="22">
        <v>2932</v>
      </c>
      <c r="D65" s="22" t="s">
        <v>83</v>
      </c>
      <c r="E65" s="23" t="s">
        <v>15</v>
      </c>
      <c r="F65" s="24">
        <v>19750211</v>
      </c>
      <c r="G65" s="16">
        <f t="shared" si="9"/>
        <v>27436</v>
      </c>
      <c r="H65" s="2">
        <f t="shared" si="10"/>
        <v>46</v>
      </c>
      <c r="I65" s="17"/>
      <c r="J65" s="25">
        <v>19930322</v>
      </c>
      <c r="K65" s="16">
        <f t="shared" si="11"/>
        <v>34050</v>
      </c>
      <c r="L65" s="2">
        <f t="shared" si="12"/>
        <v>28</v>
      </c>
      <c r="M65" s="25"/>
      <c r="N65" s="26"/>
      <c r="O65" s="27" t="s">
        <v>35</v>
      </c>
      <c r="P65" s="70">
        <v>33000</v>
      </c>
      <c r="Q65" s="70" t="s">
        <v>84</v>
      </c>
      <c r="R65" s="22">
        <v>0</v>
      </c>
      <c r="S65" s="22"/>
      <c r="T65" s="22">
        <v>1</v>
      </c>
      <c r="AE65">
        <f t="shared" si="4"/>
        <v>33000</v>
      </c>
    </row>
    <row r="66" spans="1:31">
      <c r="A66">
        <v>31</v>
      </c>
      <c r="B66" s="21">
        <v>178</v>
      </c>
      <c r="C66" s="22">
        <v>3177</v>
      </c>
      <c r="D66" s="22" t="s">
        <v>85</v>
      </c>
      <c r="E66" s="23" t="s">
        <v>15</v>
      </c>
      <c r="F66" s="24">
        <v>19821219</v>
      </c>
      <c r="G66" s="16">
        <f t="shared" si="9"/>
        <v>30304</v>
      </c>
      <c r="H66" s="2">
        <f t="shared" si="10"/>
        <v>38</v>
      </c>
      <c r="I66" s="17"/>
      <c r="J66" s="25">
        <v>20010321</v>
      </c>
      <c r="K66" s="16">
        <f t="shared" si="11"/>
        <v>36971</v>
      </c>
      <c r="L66" s="2">
        <f t="shared" si="12"/>
        <v>20</v>
      </c>
      <c r="M66" s="25"/>
      <c r="N66" s="26"/>
      <c r="O66" s="27" t="s">
        <v>35</v>
      </c>
      <c r="P66" s="70">
        <v>33000</v>
      </c>
      <c r="Q66" s="70" t="s">
        <v>84</v>
      </c>
      <c r="R66" s="22">
        <v>0</v>
      </c>
      <c r="S66" s="22"/>
      <c r="T66" s="22">
        <v>1</v>
      </c>
      <c r="AE66">
        <f t="shared" si="4"/>
        <v>33000</v>
      </c>
    </row>
    <row r="67" spans="1:31">
      <c r="A67">
        <v>32</v>
      </c>
      <c r="B67" s="21">
        <v>68</v>
      </c>
      <c r="C67" s="22">
        <v>2612</v>
      </c>
      <c r="D67" s="22" t="s">
        <v>86</v>
      </c>
      <c r="E67" s="23" t="s">
        <v>15</v>
      </c>
      <c r="F67" s="24">
        <v>19630414</v>
      </c>
      <c r="G67" s="16">
        <f t="shared" si="9"/>
        <v>23115</v>
      </c>
      <c r="H67" s="2">
        <f t="shared" si="10"/>
        <v>58</v>
      </c>
      <c r="I67" s="17"/>
      <c r="J67" s="25">
        <v>19820323</v>
      </c>
      <c r="K67" s="16">
        <f t="shared" si="11"/>
        <v>30033</v>
      </c>
      <c r="L67" s="2">
        <f t="shared" si="12"/>
        <v>39</v>
      </c>
      <c r="M67" s="25"/>
      <c r="N67" s="26"/>
      <c r="O67" s="27" t="s">
        <v>35</v>
      </c>
      <c r="P67" s="70">
        <v>40000</v>
      </c>
      <c r="Q67" s="70" t="s">
        <v>87</v>
      </c>
      <c r="R67" s="22">
        <v>0</v>
      </c>
      <c r="S67" s="22"/>
      <c r="T67" s="22">
        <v>1</v>
      </c>
      <c r="AE67">
        <f t="shared" si="4"/>
        <v>40000</v>
      </c>
    </row>
    <row r="68" spans="1:31">
      <c r="A68">
        <v>33</v>
      </c>
      <c r="B68" s="21">
        <v>69</v>
      </c>
      <c r="C68" s="22">
        <v>2639</v>
      </c>
      <c r="D68" s="22" t="s">
        <v>88</v>
      </c>
      <c r="E68" s="23" t="s">
        <v>15</v>
      </c>
      <c r="F68" s="24">
        <v>19630212</v>
      </c>
      <c r="G68" s="16">
        <f t="shared" si="9"/>
        <v>23054</v>
      </c>
      <c r="H68" s="2">
        <f t="shared" si="10"/>
        <v>58</v>
      </c>
      <c r="I68" s="17"/>
      <c r="J68" s="25">
        <v>19820325</v>
      </c>
      <c r="K68" s="16">
        <f t="shared" si="11"/>
        <v>30035</v>
      </c>
      <c r="L68" s="2">
        <f t="shared" si="12"/>
        <v>39</v>
      </c>
      <c r="M68" s="25"/>
      <c r="N68" s="26"/>
      <c r="O68" s="27" t="s">
        <v>89</v>
      </c>
      <c r="P68" s="70">
        <v>40000</v>
      </c>
      <c r="Q68" s="70" t="s">
        <v>87</v>
      </c>
      <c r="R68" s="22">
        <v>0</v>
      </c>
      <c r="S68" s="22"/>
      <c r="T68" s="22">
        <v>1</v>
      </c>
      <c r="AE68">
        <f t="shared" si="4"/>
        <v>40000</v>
      </c>
    </row>
    <row r="69" spans="1:31">
      <c r="A69">
        <v>34</v>
      </c>
      <c r="B69" s="21">
        <v>96</v>
      </c>
      <c r="C69" s="22">
        <v>2806</v>
      </c>
      <c r="D69" s="22" t="s">
        <v>90</v>
      </c>
      <c r="E69" s="23" t="s">
        <v>15</v>
      </c>
      <c r="F69" s="24">
        <v>19680906</v>
      </c>
      <c r="G69" s="16">
        <f t="shared" si="9"/>
        <v>25087</v>
      </c>
      <c r="H69" s="2">
        <f t="shared" si="10"/>
        <v>52</v>
      </c>
      <c r="I69" s="17"/>
      <c r="J69" s="25">
        <v>19620326</v>
      </c>
      <c r="K69" s="16">
        <f t="shared" si="11"/>
        <v>22731</v>
      </c>
      <c r="L69" s="2">
        <f t="shared" si="12"/>
        <v>59</v>
      </c>
      <c r="M69" s="25"/>
      <c r="N69" s="26"/>
      <c r="O69" s="27" t="s">
        <v>35</v>
      </c>
      <c r="P69" s="70">
        <v>40000</v>
      </c>
      <c r="Q69" s="70" t="s">
        <v>87</v>
      </c>
      <c r="R69" s="22">
        <v>0</v>
      </c>
      <c r="S69" s="22"/>
      <c r="T69" s="22">
        <v>1</v>
      </c>
      <c r="AE69">
        <f t="shared" si="4"/>
        <v>40000</v>
      </c>
    </row>
    <row r="70" spans="1:31">
      <c r="A70">
        <v>35</v>
      </c>
      <c r="B70" s="21">
        <v>103</v>
      </c>
      <c r="C70" s="22">
        <v>2832</v>
      </c>
      <c r="D70" s="22" t="s">
        <v>91</v>
      </c>
      <c r="E70" s="23" t="s">
        <v>15</v>
      </c>
      <c r="F70" s="24">
        <v>19690409</v>
      </c>
      <c r="G70" s="16">
        <f t="shared" si="9"/>
        <v>25302</v>
      </c>
      <c r="H70" s="2">
        <f t="shared" si="10"/>
        <v>52</v>
      </c>
      <c r="I70" s="17"/>
      <c r="J70" s="25">
        <v>19880324</v>
      </c>
      <c r="K70" s="16">
        <f t="shared" si="11"/>
        <v>32226</v>
      </c>
      <c r="L70" s="2">
        <f t="shared" si="12"/>
        <v>33</v>
      </c>
      <c r="M70" s="25"/>
      <c r="N70" s="26"/>
      <c r="O70" s="27" t="s">
        <v>35</v>
      </c>
      <c r="P70" s="70">
        <v>61300</v>
      </c>
      <c r="Q70" s="70" t="s">
        <v>162</v>
      </c>
      <c r="R70" s="22">
        <v>0</v>
      </c>
      <c r="S70" s="22"/>
      <c r="T70" s="22">
        <v>1</v>
      </c>
      <c r="AE70">
        <f t="shared" ref="AE70:AE133" si="13">ROUNDDOWN(P70*1,0)</f>
        <v>61300</v>
      </c>
    </row>
    <row r="71" spans="1:31">
      <c r="A71">
        <v>36</v>
      </c>
      <c r="B71" s="21">
        <v>104</v>
      </c>
      <c r="C71" s="22">
        <v>2834</v>
      </c>
      <c r="D71" s="22" t="s">
        <v>92</v>
      </c>
      <c r="E71" s="23" t="s">
        <v>15</v>
      </c>
      <c r="F71" s="24">
        <v>19690713</v>
      </c>
      <c r="G71" s="16">
        <f t="shared" si="9"/>
        <v>25397</v>
      </c>
      <c r="H71" s="2">
        <f t="shared" si="10"/>
        <v>52</v>
      </c>
      <c r="I71" s="17"/>
      <c r="J71" s="25">
        <v>19880324</v>
      </c>
      <c r="K71" s="16">
        <f t="shared" si="11"/>
        <v>32226</v>
      </c>
      <c r="L71" s="2">
        <f t="shared" si="12"/>
        <v>33</v>
      </c>
      <c r="M71" s="25"/>
      <c r="N71" s="26"/>
      <c r="O71" s="27" t="s">
        <v>35</v>
      </c>
      <c r="P71" s="70">
        <v>40000</v>
      </c>
      <c r="Q71" s="70" t="s">
        <v>87</v>
      </c>
      <c r="R71" s="22">
        <v>0</v>
      </c>
      <c r="S71" s="22"/>
      <c r="T71" s="22">
        <v>1</v>
      </c>
      <c r="AE71">
        <f t="shared" si="13"/>
        <v>40000</v>
      </c>
    </row>
    <row r="72" spans="1:31">
      <c r="A72">
        <v>37</v>
      </c>
      <c r="B72" s="21">
        <v>107</v>
      </c>
      <c r="C72" s="22">
        <v>2892</v>
      </c>
      <c r="D72" s="22" t="s">
        <v>93</v>
      </c>
      <c r="E72" s="23" t="s">
        <v>15</v>
      </c>
      <c r="F72" s="24">
        <v>19720804</v>
      </c>
      <c r="G72" s="16">
        <f t="shared" si="9"/>
        <v>26515</v>
      </c>
      <c r="H72" s="2">
        <f t="shared" si="10"/>
        <v>48</v>
      </c>
      <c r="I72" s="17"/>
      <c r="J72" s="25">
        <v>19910325</v>
      </c>
      <c r="K72" s="16">
        <f t="shared" si="11"/>
        <v>33322</v>
      </c>
      <c r="L72" s="2">
        <f t="shared" si="12"/>
        <v>30</v>
      </c>
      <c r="M72" s="25"/>
      <c r="N72" s="26"/>
      <c r="O72" s="27" t="s">
        <v>35</v>
      </c>
      <c r="P72" s="70">
        <v>40000</v>
      </c>
      <c r="Q72" s="70" t="s">
        <v>87</v>
      </c>
      <c r="R72" s="22">
        <v>0</v>
      </c>
      <c r="S72" s="22"/>
      <c r="T72" s="22">
        <v>1</v>
      </c>
      <c r="AE72">
        <f t="shared" si="13"/>
        <v>40000</v>
      </c>
    </row>
    <row r="73" spans="1:31">
      <c r="A73">
        <v>38</v>
      </c>
      <c r="B73" s="21">
        <v>291</v>
      </c>
      <c r="C73" s="22">
        <v>3412</v>
      </c>
      <c r="D73" s="22" t="s">
        <v>94</v>
      </c>
      <c r="E73" s="23" t="s">
        <v>15</v>
      </c>
      <c r="F73" s="24">
        <v>19910218</v>
      </c>
      <c r="G73" s="16">
        <f t="shared" si="9"/>
        <v>33287</v>
      </c>
      <c r="H73" s="2">
        <f t="shared" si="10"/>
        <v>30</v>
      </c>
      <c r="I73" s="17"/>
      <c r="J73" s="25">
        <v>20140321</v>
      </c>
      <c r="K73" s="16">
        <f t="shared" si="11"/>
        <v>41719</v>
      </c>
      <c r="L73" s="2">
        <f t="shared" si="12"/>
        <v>7</v>
      </c>
      <c r="M73" s="25"/>
      <c r="N73" s="26"/>
      <c r="O73" s="27" t="s">
        <v>16</v>
      </c>
      <c r="P73" s="70">
        <v>40000</v>
      </c>
      <c r="Q73" s="70" t="s">
        <v>87</v>
      </c>
      <c r="R73" s="22">
        <v>0</v>
      </c>
      <c r="S73" s="22"/>
      <c r="T73" s="22">
        <v>1</v>
      </c>
      <c r="AE73">
        <f t="shared" si="13"/>
        <v>40000</v>
      </c>
    </row>
    <row r="74" spans="1:31">
      <c r="A74">
        <v>39</v>
      </c>
      <c r="B74" s="21">
        <v>52</v>
      </c>
      <c r="C74" s="22">
        <v>1398</v>
      </c>
      <c r="D74" s="22" t="s">
        <v>95</v>
      </c>
      <c r="E74" s="23" t="s">
        <v>15</v>
      </c>
      <c r="F74" s="24">
        <v>19880831</v>
      </c>
      <c r="G74" s="16">
        <f t="shared" si="9"/>
        <v>32386</v>
      </c>
      <c r="H74" s="2">
        <f t="shared" si="10"/>
        <v>32</v>
      </c>
      <c r="I74" s="17"/>
      <c r="J74" s="25">
        <v>20190301</v>
      </c>
      <c r="K74" s="16">
        <f t="shared" si="11"/>
        <v>43525</v>
      </c>
      <c r="L74" s="2">
        <f t="shared" si="12"/>
        <v>2</v>
      </c>
      <c r="M74" s="25"/>
      <c r="N74" s="26"/>
      <c r="O74" s="27">
        <v>8</v>
      </c>
      <c r="P74" s="70">
        <v>40000</v>
      </c>
      <c r="Q74" s="70" t="s">
        <v>87</v>
      </c>
      <c r="R74" s="22">
        <v>0</v>
      </c>
      <c r="S74" s="22"/>
      <c r="T74" s="22">
        <v>2</v>
      </c>
      <c r="AE74">
        <f t="shared" si="13"/>
        <v>40000</v>
      </c>
    </row>
    <row r="75" spans="1:31">
      <c r="A75">
        <v>40</v>
      </c>
      <c r="B75" s="21">
        <v>317</v>
      </c>
      <c r="C75" s="22">
        <v>3453</v>
      </c>
      <c r="D75" s="22" t="s">
        <v>96</v>
      </c>
      <c r="E75" s="23" t="s">
        <v>15</v>
      </c>
      <c r="F75" s="24">
        <v>19930110</v>
      </c>
      <c r="G75" s="16">
        <f t="shared" si="9"/>
        <v>33979</v>
      </c>
      <c r="H75" s="2">
        <f t="shared" si="10"/>
        <v>28</v>
      </c>
      <c r="I75" s="17"/>
      <c r="J75" s="25">
        <v>20160401</v>
      </c>
      <c r="K75" s="16">
        <f t="shared" si="11"/>
        <v>42461</v>
      </c>
      <c r="L75" s="2">
        <f t="shared" si="12"/>
        <v>5</v>
      </c>
      <c r="M75" s="25"/>
      <c r="N75" s="26"/>
      <c r="O75" s="27" t="s">
        <v>16</v>
      </c>
      <c r="P75" s="70">
        <v>40000</v>
      </c>
      <c r="Q75" s="70" t="s">
        <v>87</v>
      </c>
      <c r="R75" s="22">
        <v>0</v>
      </c>
      <c r="S75" s="22"/>
      <c r="T75" s="22">
        <v>2</v>
      </c>
      <c r="AE75">
        <f t="shared" si="13"/>
        <v>40000</v>
      </c>
    </row>
    <row r="76" spans="1:31">
      <c r="A76">
        <v>41</v>
      </c>
      <c r="B76" s="21">
        <v>145</v>
      </c>
      <c r="C76" s="22">
        <v>3048</v>
      </c>
      <c r="D76" s="22" t="s">
        <v>97</v>
      </c>
      <c r="E76" s="23" t="s">
        <v>15</v>
      </c>
      <c r="F76" s="24">
        <v>19760820</v>
      </c>
      <c r="G76" s="16">
        <f t="shared" si="9"/>
        <v>27992</v>
      </c>
      <c r="H76" s="2">
        <f t="shared" si="10"/>
        <v>44</v>
      </c>
      <c r="I76" s="17"/>
      <c r="J76" s="25">
        <v>19950322</v>
      </c>
      <c r="K76" s="16">
        <f t="shared" si="11"/>
        <v>34780</v>
      </c>
      <c r="L76" s="2">
        <f t="shared" si="12"/>
        <v>26</v>
      </c>
      <c r="M76" s="25"/>
      <c r="N76" s="26"/>
      <c r="O76" s="27" t="s">
        <v>35</v>
      </c>
      <c r="P76" s="70">
        <v>40400</v>
      </c>
      <c r="Q76" s="70" t="s">
        <v>98</v>
      </c>
      <c r="R76" s="22">
        <v>0</v>
      </c>
      <c r="S76" s="22"/>
      <c r="T76" s="22">
        <v>1</v>
      </c>
      <c r="AE76">
        <f t="shared" si="13"/>
        <v>40400</v>
      </c>
    </row>
    <row r="77" spans="1:31">
      <c r="A77">
        <v>42</v>
      </c>
      <c r="B77" s="21">
        <v>197</v>
      </c>
      <c r="C77" s="22">
        <v>3215</v>
      </c>
      <c r="D77" s="22" t="s">
        <v>99</v>
      </c>
      <c r="E77" s="23" t="s">
        <v>15</v>
      </c>
      <c r="F77" s="24">
        <v>19860121</v>
      </c>
      <c r="G77" s="16">
        <f t="shared" si="9"/>
        <v>31433</v>
      </c>
      <c r="H77" s="2">
        <f t="shared" si="10"/>
        <v>35</v>
      </c>
      <c r="I77" s="17"/>
      <c r="J77" s="25">
        <v>20040322</v>
      </c>
      <c r="K77" s="16">
        <f t="shared" si="11"/>
        <v>38068</v>
      </c>
      <c r="L77" s="2">
        <f t="shared" si="12"/>
        <v>17</v>
      </c>
      <c r="M77" s="25"/>
      <c r="N77" s="26"/>
      <c r="O77" s="27" t="s">
        <v>35</v>
      </c>
      <c r="P77" s="70">
        <v>40400</v>
      </c>
      <c r="Q77" s="70" t="s">
        <v>98</v>
      </c>
      <c r="R77" s="22">
        <v>0</v>
      </c>
      <c r="S77" s="22"/>
      <c r="T77" s="22">
        <v>1</v>
      </c>
      <c r="AE77">
        <f t="shared" si="13"/>
        <v>40400</v>
      </c>
    </row>
    <row r="78" spans="1:31">
      <c r="A78">
        <v>43</v>
      </c>
      <c r="B78" s="21">
        <v>95</v>
      </c>
      <c r="C78" s="22">
        <v>2805</v>
      </c>
      <c r="D78" s="22" t="s">
        <v>100</v>
      </c>
      <c r="E78" s="23" t="s">
        <v>15</v>
      </c>
      <c r="F78" s="24">
        <v>19681129</v>
      </c>
      <c r="G78" s="16">
        <f t="shared" si="9"/>
        <v>25171</v>
      </c>
      <c r="H78" s="2">
        <f t="shared" si="10"/>
        <v>52</v>
      </c>
      <c r="I78" s="17"/>
      <c r="J78" s="25">
        <v>19870326</v>
      </c>
      <c r="K78" s="16">
        <f t="shared" si="11"/>
        <v>31862</v>
      </c>
      <c r="L78" s="2">
        <f t="shared" si="12"/>
        <v>34</v>
      </c>
      <c r="M78" s="25"/>
      <c r="N78" s="26"/>
      <c r="O78" s="27" t="s">
        <v>35</v>
      </c>
      <c r="P78" s="70">
        <v>40400</v>
      </c>
      <c r="Q78" s="70" t="s">
        <v>98</v>
      </c>
      <c r="R78" s="22">
        <v>0</v>
      </c>
      <c r="S78" s="22"/>
      <c r="T78" s="22">
        <v>2</v>
      </c>
      <c r="AE78">
        <f t="shared" si="13"/>
        <v>40400</v>
      </c>
    </row>
    <row r="79" spans="1:31">
      <c r="A79">
        <v>44</v>
      </c>
      <c r="B79" s="21">
        <v>403</v>
      </c>
      <c r="C79" s="22">
        <v>3912</v>
      </c>
      <c r="D79" s="22" t="s">
        <v>101</v>
      </c>
      <c r="E79" s="23" t="s">
        <v>15</v>
      </c>
      <c r="F79" s="24">
        <v>19740419</v>
      </c>
      <c r="G79" s="16">
        <f t="shared" si="9"/>
        <v>27138</v>
      </c>
      <c r="H79" s="2">
        <f t="shared" si="10"/>
        <v>47</v>
      </c>
      <c r="I79" s="17"/>
      <c r="J79" s="25">
        <v>20030804</v>
      </c>
      <c r="K79" s="16">
        <f t="shared" si="11"/>
        <v>37837</v>
      </c>
      <c r="L79" s="2">
        <f t="shared" si="12"/>
        <v>17</v>
      </c>
      <c r="M79" s="25"/>
      <c r="N79" s="26"/>
      <c r="O79" s="27" t="s">
        <v>16</v>
      </c>
      <c r="P79" s="70">
        <v>40400</v>
      </c>
      <c r="Q79" s="70" t="s">
        <v>98</v>
      </c>
      <c r="R79" s="22">
        <v>0</v>
      </c>
      <c r="S79" s="22"/>
      <c r="T79" s="22">
        <v>2</v>
      </c>
      <c r="AE79">
        <f t="shared" si="13"/>
        <v>40400</v>
      </c>
    </row>
    <row r="80" spans="1:31">
      <c r="A80">
        <v>45</v>
      </c>
      <c r="B80" s="21">
        <v>100</v>
      </c>
      <c r="C80" s="22">
        <v>2829</v>
      </c>
      <c r="D80" s="22" t="s">
        <v>102</v>
      </c>
      <c r="E80" s="23" t="s">
        <v>15</v>
      </c>
      <c r="F80" s="24">
        <v>19700309</v>
      </c>
      <c r="G80" s="16">
        <f t="shared" si="9"/>
        <v>25636</v>
      </c>
      <c r="H80" s="2">
        <f t="shared" si="10"/>
        <v>51</v>
      </c>
      <c r="I80" s="17"/>
      <c r="J80" s="25">
        <v>19880324</v>
      </c>
      <c r="K80" s="16">
        <f t="shared" si="11"/>
        <v>32226</v>
      </c>
      <c r="L80" s="2">
        <f t="shared" si="12"/>
        <v>33</v>
      </c>
      <c r="M80" s="25"/>
      <c r="N80" s="26"/>
      <c r="O80" s="27" t="s">
        <v>35</v>
      </c>
      <c r="P80" s="70">
        <v>69011</v>
      </c>
      <c r="Q80" s="70" t="s">
        <v>489</v>
      </c>
      <c r="R80" s="22">
        <v>0</v>
      </c>
      <c r="S80" s="22"/>
      <c r="T80" s="22">
        <v>1</v>
      </c>
      <c r="AE80">
        <f t="shared" si="13"/>
        <v>69011</v>
      </c>
    </row>
    <row r="81" spans="1:31">
      <c r="A81">
        <v>46</v>
      </c>
      <c r="B81" s="21">
        <v>442</v>
      </c>
      <c r="C81" s="22">
        <v>4964</v>
      </c>
      <c r="D81" s="22" t="s">
        <v>104</v>
      </c>
      <c r="E81" s="23" t="s">
        <v>15</v>
      </c>
      <c r="F81" s="24">
        <v>19610924</v>
      </c>
      <c r="G81" s="16">
        <f t="shared" si="9"/>
        <v>22548</v>
      </c>
      <c r="H81" s="2">
        <f t="shared" si="10"/>
        <v>59</v>
      </c>
      <c r="I81" s="17"/>
      <c r="J81" s="25">
        <v>19780323</v>
      </c>
      <c r="K81" s="16">
        <f t="shared" si="11"/>
        <v>28572</v>
      </c>
      <c r="L81" s="2">
        <f t="shared" si="12"/>
        <v>43</v>
      </c>
      <c r="M81" s="25"/>
      <c r="N81" s="26"/>
      <c r="O81" s="27" t="s">
        <v>105</v>
      </c>
      <c r="P81" s="70">
        <v>41200</v>
      </c>
      <c r="Q81" s="70" t="s">
        <v>103</v>
      </c>
      <c r="R81" s="22">
        <v>0</v>
      </c>
      <c r="S81" s="22"/>
      <c r="T81" s="22">
        <v>2</v>
      </c>
      <c r="AE81">
        <f t="shared" si="13"/>
        <v>41200</v>
      </c>
    </row>
    <row r="82" spans="1:31">
      <c r="A82">
        <v>47</v>
      </c>
      <c r="B82" s="21">
        <v>67</v>
      </c>
      <c r="C82" s="22">
        <v>2611</v>
      </c>
      <c r="D82" s="22" t="s">
        <v>106</v>
      </c>
      <c r="E82" s="23" t="s">
        <v>15</v>
      </c>
      <c r="F82" s="24">
        <v>19630525</v>
      </c>
      <c r="G82" s="16">
        <f t="shared" si="9"/>
        <v>23156</v>
      </c>
      <c r="H82" s="2">
        <f t="shared" si="10"/>
        <v>58</v>
      </c>
      <c r="I82" s="17"/>
      <c r="J82" s="25">
        <v>19820326</v>
      </c>
      <c r="K82" s="16">
        <f t="shared" si="11"/>
        <v>30036</v>
      </c>
      <c r="L82" s="2">
        <f t="shared" si="12"/>
        <v>39</v>
      </c>
      <c r="M82" s="25"/>
      <c r="N82" s="26"/>
      <c r="O82" s="27" t="s">
        <v>35</v>
      </c>
      <c r="P82" s="70">
        <v>41200</v>
      </c>
      <c r="Q82" s="70" t="s">
        <v>103</v>
      </c>
      <c r="R82" s="22">
        <v>0</v>
      </c>
      <c r="S82" s="22"/>
      <c r="T82" s="22">
        <v>2</v>
      </c>
      <c r="AE82">
        <f t="shared" si="13"/>
        <v>41200</v>
      </c>
    </row>
    <row r="83" spans="1:31">
      <c r="A83">
        <v>48</v>
      </c>
      <c r="B83" s="21">
        <v>71</v>
      </c>
      <c r="C83" s="22">
        <v>2658</v>
      </c>
      <c r="D83" s="22" t="s">
        <v>107</v>
      </c>
      <c r="E83" s="23" t="s">
        <v>15</v>
      </c>
      <c r="F83" s="24">
        <v>19650202</v>
      </c>
      <c r="G83" s="16">
        <f t="shared" si="9"/>
        <v>23775</v>
      </c>
      <c r="H83" s="2">
        <f t="shared" si="10"/>
        <v>56</v>
      </c>
      <c r="I83" s="17"/>
      <c r="J83" s="25">
        <v>19830325</v>
      </c>
      <c r="K83" s="16">
        <f t="shared" si="11"/>
        <v>30400</v>
      </c>
      <c r="L83" s="2">
        <f t="shared" si="12"/>
        <v>38</v>
      </c>
      <c r="M83" s="25"/>
      <c r="N83" s="26"/>
      <c r="O83" s="27" t="s">
        <v>35</v>
      </c>
      <c r="P83" s="70">
        <v>41200</v>
      </c>
      <c r="Q83" s="70" t="s">
        <v>103</v>
      </c>
      <c r="R83" s="22">
        <v>0</v>
      </c>
      <c r="S83" s="22"/>
      <c r="T83" s="22">
        <v>2</v>
      </c>
      <c r="AE83">
        <f t="shared" si="13"/>
        <v>41200</v>
      </c>
    </row>
    <row r="84" spans="1:31">
      <c r="A84">
        <v>49</v>
      </c>
      <c r="B84" s="21">
        <v>370</v>
      </c>
      <c r="C84" s="22">
        <v>3710</v>
      </c>
      <c r="D84" s="22" t="s">
        <v>108</v>
      </c>
      <c r="E84" s="23" t="s">
        <v>15</v>
      </c>
      <c r="F84" s="24">
        <v>19611125</v>
      </c>
      <c r="G84" s="16">
        <f t="shared" si="9"/>
        <v>22610</v>
      </c>
      <c r="H84" s="2">
        <f t="shared" si="10"/>
        <v>59</v>
      </c>
      <c r="I84" s="17"/>
      <c r="J84" s="25">
        <v>19870801</v>
      </c>
      <c r="K84" s="16">
        <f t="shared" si="11"/>
        <v>31990</v>
      </c>
      <c r="L84" s="2">
        <f t="shared" si="12"/>
        <v>34</v>
      </c>
      <c r="M84" s="25"/>
      <c r="N84" s="26"/>
      <c r="O84" s="27" t="s">
        <v>35</v>
      </c>
      <c r="P84" s="70">
        <v>41200</v>
      </c>
      <c r="Q84" s="70" t="s">
        <v>103</v>
      </c>
      <c r="R84" s="22">
        <v>0</v>
      </c>
      <c r="S84" s="22"/>
      <c r="T84" s="22">
        <v>2</v>
      </c>
      <c r="AE84">
        <f t="shared" si="13"/>
        <v>41200</v>
      </c>
    </row>
    <row r="85" spans="1:31">
      <c r="A85">
        <v>50</v>
      </c>
      <c r="B85" s="21">
        <v>102</v>
      </c>
      <c r="C85" s="22">
        <v>2831</v>
      </c>
      <c r="D85" s="22" t="s">
        <v>109</v>
      </c>
      <c r="E85" s="23" t="s">
        <v>15</v>
      </c>
      <c r="F85" s="24">
        <v>19700224</v>
      </c>
      <c r="G85" s="16">
        <f t="shared" si="9"/>
        <v>25623</v>
      </c>
      <c r="H85" s="2">
        <f t="shared" si="10"/>
        <v>51</v>
      </c>
      <c r="I85" s="17"/>
      <c r="J85" s="25">
        <v>19880324</v>
      </c>
      <c r="K85" s="16">
        <f t="shared" si="11"/>
        <v>32226</v>
      </c>
      <c r="L85" s="2">
        <f t="shared" si="12"/>
        <v>33</v>
      </c>
      <c r="M85" s="25"/>
      <c r="N85" s="26"/>
      <c r="O85" s="27" t="s">
        <v>35</v>
      </c>
      <c r="P85" s="70">
        <v>41200</v>
      </c>
      <c r="Q85" s="70" t="s">
        <v>103</v>
      </c>
      <c r="R85" s="22">
        <v>0</v>
      </c>
      <c r="S85" s="22"/>
      <c r="T85" s="22">
        <v>2</v>
      </c>
      <c r="AE85">
        <f t="shared" si="13"/>
        <v>41200</v>
      </c>
    </row>
    <row r="86" spans="1:31">
      <c r="A86">
        <v>51</v>
      </c>
      <c r="B86" s="21">
        <v>113</v>
      </c>
      <c r="C86" s="22">
        <v>2930</v>
      </c>
      <c r="D86" s="22" t="s">
        <v>110</v>
      </c>
      <c r="E86" s="23" t="s">
        <v>15</v>
      </c>
      <c r="F86" s="24">
        <v>19671217</v>
      </c>
      <c r="G86" s="16">
        <f t="shared" si="9"/>
        <v>24823</v>
      </c>
      <c r="H86" s="2">
        <f t="shared" si="10"/>
        <v>53</v>
      </c>
      <c r="I86" s="17"/>
      <c r="J86" s="25">
        <v>19930322</v>
      </c>
      <c r="K86" s="16">
        <f t="shared" si="11"/>
        <v>34050</v>
      </c>
      <c r="L86" s="2">
        <f t="shared" si="12"/>
        <v>28</v>
      </c>
      <c r="M86" s="25"/>
      <c r="N86" s="26"/>
      <c r="O86" s="27" t="s">
        <v>16</v>
      </c>
      <c r="P86" s="70">
        <v>41200</v>
      </c>
      <c r="Q86" s="70" t="s">
        <v>103</v>
      </c>
      <c r="R86" s="22">
        <v>0</v>
      </c>
      <c r="S86" s="22"/>
      <c r="T86" s="22">
        <v>2</v>
      </c>
      <c r="AE86">
        <f t="shared" si="13"/>
        <v>41200</v>
      </c>
    </row>
    <row r="87" spans="1:31">
      <c r="A87">
        <v>52</v>
      </c>
      <c r="B87" s="21">
        <v>393</v>
      </c>
      <c r="C87" s="22">
        <v>3889</v>
      </c>
      <c r="D87" s="22" t="s">
        <v>111</v>
      </c>
      <c r="E87" s="23" t="s">
        <v>15</v>
      </c>
      <c r="F87" s="24">
        <v>19631215</v>
      </c>
      <c r="G87" s="16">
        <f t="shared" si="9"/>
        <v>23360</v>
      </c>
      <c r="H87" s="2">
        <f t="shared" si="10"/>
        <v>57</v>
      </c>
      <c r="I87" s="17"/>
      <c r="J87" s="25">
        <v>19941017</v>
      </c>
      <c r="K87" s="16">
        <f t="shared" si="11"/>
        <v>34624</v>
      </c>
      <c r="L87" s="2">
        <f t="shared" si="12"/>
        <v>26</v>
      </c>
      <c r="M87" s="25"/>
      <c r="N87" s="26"/>
      <c r="O87" s="27" t="s">
        <v>16</v>
      </c>
      <c r="P87" s="70">
        <v>41200</v>
      </c>
      <c r="Q87" s="70" t="s">
        <v>103</v>
      </c>
      <c r="R87" s="22">
        <v>0</v>
      </c>
      <c r="S87" s="22"/>
      <c r="T87" s="22">
        <v>2</v>
      </c>
      <c r="AE87">
        <f t="shared" si="13"/>
        <v>41200</v>
      </c>
    </row>
    <row r="88" spans="1:31">
      <c r="A88">
        <v>53</v>
      </c>
      <c r="B88" s="21">
        <v>41</v>
      </c>
      <c r="C88" s="22">
        <v>1385</v>
      </c>
      <c r="D88" s="22" t="s">
        <v>112</v>
      </c>
      <c r="E88" s="23" t="s">
        <v>15</v>
      </c>
      <c r="F88" s="24">
        <v>19760412</v>
      </c>
      <c r="G88" s="16">
        <f t="shared" si="9"/>
        <v>27862</v>
      </c>
      <c r="H88" s="2">
        <f t="shared" si="10"/>
        <v>45</v>
      </c>
      <c r="I88" s="17"/>
      <c r="J88" s="25">
        <v>20130921</v>
      </c>
      <c r="K88" s="16">
        <f t="shared" si="11"/>
        <v>41538</v>
      </c>
      <c r="L88" s="2">
        <f t="shared" si="12"/>
        <v>7</v>
      </c>
      <c r="M88" s="25"/>
      <c r="N88" s="26"/>
      <c r="O88" s="27" t="s">
        <v>35</v>
      </c>
      <c r="P88" s="70">
        <v>41200</v>
      </c>
      <c r="Q88" s="70" t="s">
        <v>103</v>
      </c>
      <c r="R88" s="22">
        <v>0</v>
      </c>
      <c r="S88" s="22"/>
      <c r="T88" s="22">
        <v>2</v>
      </c>
      <c r="AE88">
        <f t="shared" si="13"/>
        <v>41200</v>
      </c>
    </row>
    <row r="89" spans="1:31">
      <c r="A89">
        <v>54</v>
      </c>
      <c r="B89" s="21">
        <v>11</v>
      </c>
      <c r="C89" s="22">
        <v>1322</v>
      </c>
      <c r="D89" s="22" t="s">
        <v>113</v>
      </c>
      <c r="E89" s="23" t="s">
        <v>15</v>
      </c>
      <c r="F89" s="24">
        <v>19740628</v>
      </c>
      <c r="G89" s="16">
        <f t="shared" si="9"/>
        <v>27208</v>
      </c>
      <c r="H89" s="2">
        <f t="shared" si="10"/>
        <v>47</v>
      </c>
      <c r="I89" s="17"/>
      <c r="J89" s="25">
        <v>20020401</v>
      </c>
      <c r="K89" s="16">
        <f t="shared" si="11"/>
        <v>37347</v>
      </c>
      <c r="L89" s="2">
        <f t="shared" si="12"/>
        <v>19</v>
      </c>
      <c r="M89" s="25"/>
      <c r="N89" s="26"/>
      <c r="O89" s="27" t="s">
        <v>19</v>
      </c>
      <c r="P89" s="70">
        <v>44200</v>
      </c>
      <c r="Q89" s="70" t="s">
        <v>114</v>
      </c>
      <c r="R89" s="22">
        <v>0</v>
      </c>
      <c r="S89" s="22"/>
      <c r="T89" s="22">
        <v>1</v>
      </c>
      <c r="AE89">
        <f t="shared" si="13"/>
        <v>44200</v>
      </c>
    </row>
    <row r="90" spans="1:31">
      <c r="A90">
        <v>55</v>
      </c>
      <c r="B90" s="21">
        <v>10</v>
      </c>
      <c r="C90" s="22">
        <v>1316</v>
      </c>
      <c r="D90" s="22" t="s">
        <v>115</v>
      </c>
      <c r="E90" s="23" t="s">
        <v>15</v>
      </c>
      <c r="F90" s="24">
        <v>19740922</v>
      </c>
      <c r="G90" s="16">
        <f t="shared" si="9"/>
        <v>27294</v>
      </c>
      <c r="H90" s="2">
        <f t="shared" si="10"/>
        <v>46</v>
      </c>
      <c r="I90" s="17"/>
      <c r="J90" s="25">
        <v>19970321</v>
      </c>
      <c r="K90" s="16">
        <f t="shared" si="11"/>
        <v>35510</v>
      </c>
      <c r="L90" s="2">
        <f t="shared" si="12"/>
        <v>24</v>
      </c>
      <c r="M90" s="25"/>
      <c r="N90" s="26"/>
      <c r="O90" s="27" t="s">
        <v>19</v>
      </c>
      <c r="P90" s="70">
        <v>44200</v>
      </c>
      <c r="Q90" s="70" t="s">
        <v>114</v>
      </c>
      <c r="R90" s="22">
        <v>0</v>
      </c>
      <c r="S90" s="22"/>
      <c r="T90" s="22">
        <v>1</v>
      </c>
      <c r="AE90">
        <f t="shared" si="13"/>
        <v>44200</v>
      </c>
    </row>
    <row r="91" spans="1:31">
      <c r="A91">
        <v>56</v>
      </c>
      <c r="B91" s="21">
        <v>85</v>
      </c>
      <c r="C91" s="22">
        <v>2735</v>
      </c>
      <c r="D91" s="22" t="s">
        <v>116</v>
      </c>
      <c r="E91" s="23" t="s">
        <v>15</v>
      </c>
      <c r="F91" s="24">
        <v>19661003</v>
      </c>
      <c r="G91" s="16">
        <f t="shared" si="9"/>
        <v>24383</v>
      </c>
      <c r="H91" s="2">
        <f t="shared" si="10"/>
        <v>54</v>
      </c>
      <c r="I91" s="17"/>
      <c r="J91" s="25">
        <v>19850325</v>
      </c>
      <c r="K91" s="16">
        <f t="shared" si="11"/>
        <v>31131</v>
      </c>
      <c r="L91" s="2">
        <f t="shared" si="12"/>
        <v>36</v>
      </c>
      <c r="M91" s="25"/>
      <c r="N91" s="26"/>
      <c r="O91" s="27" t="s">
        <v>35</v>
      </c>
      <c r="P91" s="70">
        <v>44200</v>
      </c>
      <c r="Q91" s="70" t="s">
        <v>114</v>
      </c>
      <c r="R91" s="22">
        <v>0</v>
      </c>
      <c r="S91" s="22"/>
      <c r="T91" s="22">
        <v>2</v>
      </c>
      <c r="AE91">
        <f t="shared" si="13"/>
        <v>44200</v>
      </c>
    </row>
    <row r="92" spans="1:31">
      <c r="A92">
        <v>57</v>
      </c>
      <c r="B92" s="21">
        <v>13</v>
      </c>
      <c r="C92" s="22">
        <v>1326</v>
      </c>
      <c r="D92" s="22" t="s">
        <v>117</v>
      </c>
      <c r="E92" s="23" t="s">
        <v>15</v>
      </c>
      <c r="F92" s="24">
        <v>19750911</v>
      </c>
      <c r="G92" s="16">
        <f t="shared" si="9"/>
        <v>27648</v>
      </c>
      <c r="H92" s="2">
        <f t="shared" si="10"/>
        <v>45</v>
      </c>
      <c r="I92" s="17"/>
      <c r="J92" s="25">
        <v>20041102</v>
      </c>
      <c r="K92" s="16">
        <f t="shared" si="11"/>
        <v>38293</v>
      </c>
      <c r="L92" s="2">
        <f t="shared" si="12"/>
        <v>16</v>
      </c>
      <c r="M92" s="25"/>
      <c r="N92" s="26"/>
      <c r="O92" s="27" t="s">
        <v>16</v>
      </c>
      <c r="P92" s="70">
        <v>44200</v>
      </c>
      <c r="Q92" s="70" t="s">
        <v>114</v>
      </c>
      <c r="R92" s="22">
        <v>0</v>
      </c>
      <c r="S92" s="22"/>
      <c r="T92" s="22">
        <v>2</v>
      </c>
      <c r="AE92">
        <f t="shared" si="13"/>
        <v>44200</v>
      </c>
    </row>
    <row r="93" spans="1:31">
      <c r="A93">
        <v>58</v>
      </c>
      <c r="B93" s="21">
        <v>24</v>
      </c>
      <c r="C93" s="22">
        <v>1350</v>
      </c>
      <c r="D93" s="22" t="s">
        <v>118</v>
      </c>
      <c r="E93" s="23" t="s">
        <v>15</v>
      </c>
      <c r="F93" s="24">
        <v>19850331</v>
      </c>
      <c r="G93" s="16">
        <f t="shared" si="9"/>
        <v>31137</v>
      </c>
      <c r="H93" s="2">
        <f t="shared" si="10"/>
        <v>36</v>
      </c>
      <c r="I93" s="17"/>
      <c r="J93" s="25">
        <v>20080407</v>
      </c>
      <c r="K93" s="16">
        <f t="shared" si="11"/>
        <v>39545</v>
      </c>
      <c r="L93" s="2">
        <f t="shared" si="12"/>
        <v>13</v>
      </c>
      <c r="M93" s="25"/>
      <c r="N93" s="26"/>
      <c r="O93" s="27" t="s">
        <v>35</v>
      </c>
      <c r="P93" s="70">
        <v>44200</v>
      </c>
      <c r="Q93" s="70" t="s">
        <v>114</v>
      </c>
      <c r="R93" s="22">
        <v>0</v>
      </c>
      <c r="S93" s="22"/>
      <c r="T93" s="22">
        <v>2</v>
      </c>
      <c r="AE93">
        <f t="shared" si="13"/>
        <v>44200</v>
      </c>
    </row>
    <row r="94" spans="1:31">
      <c r="A94">
        <v>59</v>
      </c>
      <c r="B94" s="21">
        <v>447</v>
      </c>
      <c r="C94" s="22">
        <v>5062</v>
      </c>
      <c r="D94" s="22" t="s">
        <v>119</v>
      </c>
      <c r="E94" s="23" t="s">
        <v>15</v>
      </c>
      <c r="F94" s="24">
        <v>19660804</v>
      </c>
      <c r="G94" s="16">
        <f t="shared" si="9"/>
        <v>24323</v>
      </c>
      <c r="H94" s="2">
        <f t="shared" si="10"/>
        <v>54</v>
      </c>
      <c r="I94" s="17"/>
      <c r="J94" s="25">
        <v>19820325</v>
      </c>
      <c r="K94" s="16">
        <f t="shared" si="11"/>
        <v>30035</v>
      </c>
      <c r="L94" s="2">
        <f t="shared" si="12"/>
        <v>39</v>
      </c>
      <c r="M94" s="25"/>
      <c r="N94" s="26"/>
      <c r="O94" s="27" t="s">
        <v>77</v>
      </c>
      <c r="P94" s="70">
        <v>50000</v>
      </c>
      <c r="Q94" s="70" t="s">
        <v>120</v>
      </c>
      <c r="R94" s="22">
        <v>0</v>
      </c>
      <c r="S94" s="22"/>
      <c r="T94" s="22">
        <v>1</v>
      </c>
      <c r="AE94">
        <f t="shared" si="13"/>
        <v>50000</v>
      </c>
    </row>
    <row r="95" spans="1:31">
      <c r="A95">
        <v>60</v>
      </c>
      <c r="B95" s="21">
        <v>50</v>
      </c>
      <c r="C95" s="22">
        <v>1395</v>
      </c>
      <c r="D95" s="22" t="s">
        <v>121</v>
      </c>
      <c r="E95" s="23" t="s">
        <v>15</v>
      </c>
      <c r="F95" s="24">
        <v>19651101</v>
      </c>
      <c r="G95" s="16">
        <f t="shared" si="9"/>
        <v>24047</v>
      </c>
      <c r="H95" s="2">
        <f t="shared" si="10"/>
        <v>55</v>
      </c>
      <c r="I95" s="17"/>
      <c r="J95" s="25">
        <v>20170201</v>
      </c>
      <c r="K95" s="16">
        <f t="shared" si="11"/>
        <v>42767</v>
      </c>
      <c r="L95" s="2">
        <f t="shared" si="12"/>
        <v>4</v>
      </c>
      <c r="M95" s="25"/>
      <c r="N95" s="26"/>
      <c r="O95" s="27">
        <v>6</v>
      </c>
      <c r="P95" s="70">
        <v>50000</v>
      </c>
      <c r="Q95" s="70" t="s">
        <v>120</v>
      </c>
      <c r="R95" s="22">
        <v>0</v>
      </c>
      <c r="S95" s="22"/>
      <c r="T95" s="22">
        <v>2</v>
      </c>
      <c r="AE95">
        <f t="shared" si="13"/>
        <v>50000</v>
      </c>
    </row>
    <row r="96" spans="1:31">
      <c r="A96">
        <v>61</v>
      </c>
      <c r="B96" s="21">
        <v>343</v>
      </c>
      <c r="C96" s="22">
        <v>3489</v>
      </c>
      <c r="D96" s="22" t="s">
        <v>122</v>
      </c>
      <c r="E96" s="23" t="s">
        <v>15</v>
      </c>
      <c r="F96" s="24">
        <v>19950615</v>
      </c>
      <c r="G96" s="16">
        <f t="shared" si="9"/>
        <v>34865</v>
      </c>
      <c r="H96" s="2">
        <f t="shared" si="10"/>
        <v>26</v>
      </c>
      <c r="I96" s="17"/>
      <c r="J96" s="25">
        <v>20180402</v>
      </c>
      <c r="K96" s="16">
        <f t="shared" si="11"/>
        <v>43192</v>
      </c>
      <c r="L96" s="2">
        <f t="shared" si="12"/>
        <v>3</v>
      </c>
      <c r="M96" s="25"/>
      <c r="N96" s="26"/>
      <c r="O96" s="27">
        <v>8</v>
      </c>
      <c r="P96" s="70">
        <v>50000</v>
      </c>
      <c r="Q96" s="70" t="s">
        <v>120</v>
      </c>
      <c r="R96" s="22">
        <v>0</v>
      </c>
      <c r="S96" s="22"/>
      <c r="T96" s="22">
        <v>2</v>
      </c>
      <c r="AE96">
        <f t="shared" si="13"/>
        <v>50000</v>
      </c>
    </row>
    <row r="97" spans="1:31">
      <c r="A97">
        <v>62</v>
      </c>
      <c r="B97" s="21">
        <v>82</v>
      </c>
      <c r="C97" s="22">
        <v>2721</v>
      </c>
      <c r="D97" s="22" t="s">
        <v>123</v>
      </c>
      <c r="E97" s="23" t="s">
        <v>15</v>
      </c>
      <c r="F97" s="24">
        <v>19630105</v>
      </c>
      <c r="G97" s="16">
        <f t="shared" si="9"/>
        <v>23016</v>
      </c>
      <c r="H97" s="2">
        <f t="shared" si="10"/>
        <v>58</v>
      </c>
      <c r="I97" s="17"/>
      <c r="J97" s="25">
        <v>19850328</v>
      </c>
      <c r="K97" s="16">
        <f t="shared" si="11"/>
        <v>31134</v>
      </c>
      <c r="L97" s="2">
        <f t="shared" si="12"/>
        <v>36</v>
      </c>
      <c r="M97" s="25"/>
      <c r="N97" s="26"/>
      <c r="O97" s="27" t="s">
        <v>16</v>
      </c>
      <c r="P97" s="70">
        <v>51000</v>
      </c>
      <c r="Q97" s="70" t="s">
        <v>124</v>
      </c>
      <c r="R97" s="22">
        <v>0</v>
      </c>
      <c r="S97" s="22"/>
      <c r="T97" s="22">
        <v>1</v>
      </c>
      <c r="AE97">
        <f t="shared" si="13"/>
        <v>51000</v>
      </c>
    </row>
    <row r="98" spans="1:31">
      <c r="A98">
        <v>63</v>
      </c>
      <c r="B98" s="21">
        <v>179</v>
      </c>
      <c r="C98" s="22">
        <v>3178</v>
      </c>
      <c r="D98" s="22" t="s">
        <v>125</v>
      </c>
      <c r="E98" s="23" t="s">
        <v>15</v>
      </c>
      <c r="F98" s="24">
        <v>19791022</v>
      </c>
      <c r="G98" s="16">
        <f t="shared" si="9"/>
        <v>29150</v>
      </c>
      <c r="H98" s="2">
        <f t="shared" si="10"/>
        <v>41</v>
      </c>
      <c r="I98" s="17"/>
      <c r="J98" s="25">
        <v>20020322</v>
      </c>
      <c r="K98" s="16">
        <f t="shared" si="11"/>
        <v>37337</v>
      </c>
      <c r="L98" s="2">
        <f t="shared" si="12"/>
        <v>19</v>
      </c>
      <c r="M98" s="25"/>
      <c r="N98" s="26"/>
      <c r="O98" s="27" t="s">
        <v>16</v>
      </c>
      <c r="P98" s="70">
        <v>51000</v>
      </c>
      <c r="Q98" s="70" t="s">
        <v>124</v>
      </c>
      <c r="R98" s="22">
        <v>0</v>
      </c>
      <c r="S98" s="22"/>
      <c r="T98" s="22">
        <v>1</v>
      </c>
      <c r="AE98">
        <f t="shared" si="13"/>
        <v>51000</v>
      </c>
    </row>
    <row r="99" spans="1:31">
      <c r="A99">
        <v>64</v>
      </c>
      <c r="B99" s="21">
        <v>239</v>
      </c>
      <c r="C99" s="22">
        <v>3319</v>
      </c>
      <c r="D99" s="22" t="s">
        <v>126</v>
      </c>
      <c r="E99" s="23" t="s">
        <v>15</v>
      </c>
      <c r="F99" s="24">
        <v>19871212</v>
      </c>
      <c r="G99" s="16">
        <f t="shared" si="9"/>
        <v>32123</v>
      </c>
      <c r="H99" s="2">
        <f t="shared" si="10"/>
        <v>33</v>
      </c>
      <c r="I99" s="17"/>
      <c r="J99" s="25">
        <v>20100321</v>
      </c>
      <c r="K99" s="16">
        <f t="shared" si="11"/>
        <v>40258</v>
      </c>
      <c r="L99" s="2">
        <f t="shared" si="12"/>
        <v>11</v>
      </c>
      <c r="M99" s="25"/>
      <c r="N99" s="26"/>
      <c r="O99" s="27" t="s">
        <v>16</v>
      </c>
      <c r="P99" s="70">
        <v>51000</v>
      </c>
      <c r="Q99" s="70" t="s">
        <v>124</v>
      </c>
      <c r="R99" s="22">
        <v>0</v>
      </c>
      <c r="S99" s="22"/>
      <c r="T99" s="22">
        <v>1</v>
      </c>
      <c r="AE99">
        <f t="shared" si="13"/>
        <v>51000</v>
      </c>
    </row>
    <row r="100" spans="1:31">
      <c r="A100">
        <v>65</v>
      </c>
      <c r="B100" s="21">
        <v>261</v>
      </c>
      <c r="C100" s="22">
        <v>3360</v>
      </c>
      <c r="D100" s="22" t="s">
        <v>127</v>
      </c>
      <c r="E100" s="23" t="s">
        <v>15</v>
      </c>
      <c r="F100" s="24">
        <v>19891103</v>
      </c>
      <c r="G100" s="16">
        <f t="shared" ref="G100:G163" si="14">DATE(INT(F100/10000),INT(MOD(F100,10000)/100),MOD(F100,100))</f>
        <v>32815</v>
      </c>
      <c r="H100" s="2">
        <f t="shared" ref="H100:H163" si="15">DATEDIF(G100,$G$4,"Y")</f>
        <v>31</v>
      </c>
      <c r="I100" s="17"/>
      <c r="J100" s="25">
        <v>20120321</v>
      </c>
      <c r="K100" s="16">
        <f t="shared" ref="K100:K163" si="16">DATE(INT(J100/10000),INT(MOD(J100,10000)/100),MOD(J100,100))</f>
        <v>40989</v>
      </c>
      <c r="L100" s="2">
        <f t="shared" ref="L100:L163" si="17">DATEDIF(K100,$G$4,"Y")</f>
        <v>9</v>
      </c>
      <c r="M100" s="25"/>
      <c r="N100" s="26"/>
      <c r="O100" s="27" t="s">
        <v>16</v>
      </c>
      <c r="P100" s="70">
        <v>51000</v>
      </c>
      <c r="Q100" s="70" t="s">
        <v>124</v>
      </c>
      <c r="R100" s="22">
        <v>0</v>
      </c>
      <c r="S100" s="22"/>
      <c r="T100" s="22">
        <v>1</v>
      </c>
      <c r="AE100">
        <f t="shared" si="13"/>
        <v>51000</v>
      </c>
    </row>
    <row r="101" spans="1:31">
      <c r="A101">
        <v>66</v>
      </c>
      <c r="B101" s="21">
        <v>301</v>
      </c>
      <c r="C101" s="22">
        <v>3431</v>
      </c>
      <c r="D101" s="22" t="s">
        <v>128</v>
      </c>
      <c r="E101" s="23" t="s">
        <v>15</v>
      </c>
      <c r="F101" s="24">
        <v>19920811</v>
      </c>
      <c r="G101" s="16">
        <f t="shared" si="14"/>
        <v>33827</v>
      </c>
      <c r="H101" s="2">
        <f t="shared" si="15"/>
        <v>28</v>
      </c>
      <c r="I101" s="17"/>
      <c r="J101" s="25">
        <v>20150401</v>
      </c>
      <c r="K101" s="16">
        <f t="shared" si="16"/>
        <v>42095</v>
      </c>
      <c r="L101" s="2">
        <f t="shared" si="17"/>
        <v>6</v>
      </c>
      <c r="M101" s="25"/>
      <c r="N101" s="26"/>
      <c r="O101" s="27" t="s">
        <v>16</v>
      </c>
      <c r="P101" s="70">
        <v>51000</v>
      </c>
      <c r="Q101" s="70" t="s">
        <v>124</v>
      </c>
      <c r="R101" s="22">
        <v>0</v>
      </c>
      <c r="S101" s="22"/>
      <c r="T101" s="22">
        <v>2</v>
      </c>
      <c r="AE101">
        <f t="shared" si="13"/>
        <v>51000</v>
      </c>
    </row>
    <row r="102" spans="1:31">
      <c r="A102">
        <v>67</v>
      </c>
      <c r="B102" s="21">
        <v>354</v>
      </c>
      <c r="C102" s="22">
        <v>3503</v>
      </c>
      <c r="D102" s="22" t="s">
        <v>129</v>
      </c>
      <c r="E102" s="23" t="s">
        <v>15</v>
      </c>
      <c r="F102" s="24">
        <v>19960611</v>
      </c>
      <c r="G102" s="16">
        <f t="shared" si="14"/>
        <v>35227</v>
      </c>
      <c r="H102" s="2">
        <f t="shared" si="15"/>
        <v>25</v>
      </c>
      <c r="I102" s="17"/>
      <c r="J102" s="25">
        <v>20190401</v>
      </c>
      <c r="K102" s="16">
        <f t="shared" si="16"/>
        <v>43556</v>
      </c>
      <c r="L102" s="2">
        <f t="shared" si="17"/>
        <v>2</v>
      </c>
      <c r="M102" s="25"/>
      <c r="N102" s="26"/>
      <c r="O102" s="27">
        <v>8</v>
      </c>
      <c r="P102" s="70">
        <v>51000</v>
      </c>
      <c r="Q102" s="70" t="s">
        <v>124</v>
      </c>
      <c r="R102" s="22">
        <v>0</v>
      </c>
      <c r="S102" s="22"/>
      <c r="T102" s="22">
        <v>2</v>
      </c>
      <c r="AE102">
        <f t="shared" si="13"/>
        <v>51000</v>
      </c>
    </row>
    <row r="103" spans="1:31">
      <c r="A103">
        <v>68</v>
      </c>
      <c r="B103" s="21">
        <v>1</v>
      </c>
      <c r="C103" s="22">
        <v>1242</v>
      </c>
      <c r="D103" s="22" t="s">
        <v>130</v>
      </c>
      <c r="E103" s="23" t="s">
        <v>15</v>
      </c>
      <c r="F103" s="24">
        <v>19620113</v>
      </c>
      <c r="G103" s="16">
        <f t="shared" si="14"/>
        <v>22659</v>
      </c>
      <c r="H103" s="2">
        <f t="shared" si="15"/>
        <v>59</v>
      </c>
      <c r="I103" s="17"/>
      <c r="J103" s="25">
        <v>19881221</v>
      </c>
      <c r="K103" s="16">
        <f t="shared" si="16"/>
        <v>32498</v>
      </c>
      <c r="L103" s="2">
        <f t="shared" si="17"/>
        <v>32</v>
      </c>
      <c r="M103" s="25"/>
      <c r="N103" s="26"/>
      <c r="O103" s="27" t="s">
        <v>16</v>
      </c>
      <c r="P103" s="70">
        <v>60000</v>
      </c>
      <c r="Q103" s="70" t="s">
        <v>131</v>
      </c>
      <c r="R103" s="22">
        <v>0</v>
      </c>
      <c r="S103" s="22"/>
      <c r="T103" s="22">
        <v>1</v>
      </c>
      <c r="AE103">
        <f t="shared" si="13"/>
        <v>60000</v>
      </c>
    </row>
    <row r="104" spans="1:31">
      <c r="A104">
        <v>69</v>
      </c>
      <c r="B104" s="21">
        <v>14</v>
      </c>
      <c r="C104" s="22">
        <v>1338</v>
      </c>
      <c r="D104" s="22" t="s">
        <v>132</v>
      </c>
      <c r="E104" s="23" t="s">
        <v>15</v>
      </c>
      <c r="F104" s="24">
        <v>19700525</v>
      </c>
      <c r="G104" s="16">
        <f t="shared" si="14"/>
        <v>25713</v>
      </c>
      <c r="H104" s="2">
        <f t="shared" si="15"/>
        <v>51</v>
      </c>
      <c r="I104" s="17"/>
      <c r="J104" s="25">
        <v>20050901</v>
      </c>
      <c r="K104" s="16">
        <f t="shared" si="16"/>
        <v>38596</v>
      </c>
      <c r="L104" s="2">
        <f t="shared" si="17"/>
        <v>15</v>
      </c>
      <c r="M104" s="25"/>
      <c r="N104" s="26"/>
      <c r="O104" s="27" t="s">
        <v>35</v>
      </c>
      <c r="P104" s="70">
        <v>60000</v>
      </c>
      <c r="Q104" s="70" t="s">
        <v>131</v>
      </c>
      <c r="R104" s="22">
        <v>0</v>
      </c>
      <c r="S104" s="22"/>
      <c r="T104" s="22">
        <v>1</v>
      </c>
      <c r="AE104">
        <f t="shared" si="13"/>
        <v>60000</v>
      </c>
    </row>
    <row r="105" spans="1:31">
      <c r="A105">
        <v>70</v>
      </c>
      <c r="B105" s="21">
        <v>86</v>
      </c>
      <c r="C105" s="22">
        <v>2755</v>
      </c>
      <c r="D105" s="22" t="s">
        <v>133</v>
      </c>
      <c r="E105" s="23" t="s">
        <v>15</v>
      </c>
      <c r="F105" s="24">
        <v>19640104</v>
      </c>
      <c r="G105" s="16">
        <f t="shared" si="14"/>
        <v>23380</v>
      </c>
      <c r="H105" s="2">
        <f t="shared" si="15"/>
        <v>57</v>
      </c>
      <c r="I105" s="2"/>
      <c r="J105" s="25">
        <v>19860326</v>
      </c>
      <c r="K105" s="16">
        <f t="shared" si="16"/>
        <v>31497</v>
      </c>
      <c r="L105" s="2">
        <f t="shared" si="17"/>
        <v>35</v>
      </c>
      <c r="M105" s="30"/>
      <c r="N105" s="26"/>
      <c r="O105" s="27" t="s">
        <v>16</v>
      </c>
      <c r="P105" s="70">
        <v>60200</v>
      </c>
      <c r="Q105" s="70" t="s">
        <v>134</v>
      </c>
      <c r="R105" s="22">
        <v>0</v>
      </c>
      <c r="S105" s="22"/>
      <c r="T105" s="22">
        <v>1</v>
      </c>
      <c r="AE105">
        <f t="shared" si="13"/>
        <v>60200</v>
      </c>
    </row>
    <row r="106" spans="1:31">
      <c r="A106">
        <v>71</v>
      </c>
      <c r="B106" s="21">
        <v>29</v>
      </c>
      <c r="C106" s="22">
        <v>1361</v>
      </c>
      <c r="D106" s="22" t="s">
        <v>135</v>
      </c>
      <c r="E106" s="23" t="s">
        <v>15</v>
      </c>
      <c r="F106" s="24">
        <v>19800918</v>
      </c>
      <c r="G106" s="16">
        <f t="shared" si="14"/>
        <v>29482</v>
      </c>
      <c r="H106" s="2">
        <f t="shared" si="15"/>
        <v>40</v>
      </c>
      <c r="I106" s="17"/>
      <c r="J106" s="25">
        <v>20100401</v>
      </c>
      <c r="K106" s="16">
        <f t="shared" si="16"/>
        <v>40269</v>
      </c>
      <c r="L106" s="2">
        <f t="shared" si="17"/>
        <v>11</v>
      </c>
      <c r="M106" s="25"/>
      <c r="N106" s="26"/>
      <c r="O106" s="27" t="s">
        <v>16</v>
      </c>
      <c r="P106" s="70">
        <v>60200</v>
      </c>
      <c r="Q106" s="70" t="s">
        <v>134</v>
      </c>
      <c r="R106" s="22">
        <v>0</v>
      </c>
      <c r="S106" s="22"/>
      <c r="T106" s="22">
        <v>1</v>
      </c>
      <c r="AE106">
        <f t="shared" si="13"/>
        <v>60200</v>
      </c>
    </row>
    <row r="107" spans="1:31">
      <c r="A107">
        <v>72</v>
      </c>
      <c r="B107" s="21">
        <v>281</v>
      </c>
      <c r="C107" s="22">
        <v>3393</v>
      </c>
      <c r="D107" s="22" t="s">
        <v>136</v>
      </c>
      <c r="E107" s="23" t="s">
        <v>15</v>
      </c>
      <c r="F107" s="24">
        <v>19930104</v>
      </c>
      <c r="G107" s="16">
        <f t="shared" si="14"/>
        <v>33973</v>
      </c>
      <c r="H107" s="2">
        <f t="shared" si="15"/>
        <v>28</v>
      </c>
      <c r="I107" s="17"/>
      <c r="J107" s="25">
        <v>20130321</v>
      </c>
      <c r="K107" s="16">
        <f t="shared" si="16"/>
        <v>41354</v>
      </c>
      <c r="L107" s="2">
        <f t="shared" si="17"/>
        <v>8</v>
      </c>
      <c r="M107" s="25"/>
      <c r="N107" s="26"/>
      <c r="O107" s="27" t="s">
        <v>19</v>
      </c>
      <c r="P107" s="70">
        <v>60200</v>
      </c>
      <c r="Q107" s="70" t="s">
        <v>134</v>
      </c>
      <c r="R107" s="22">
        <v>0</v>
      </c>
      <c r="S107" s="22"/>
      <c r="T107" s="22">
        <v>2</v>
      </c>
      <c r="AE107">
        <f t="shared" si="13"/>
        <v>60200</v>
      </c>
    </row>
    <row r="108" spans="1:31">
      <c r="A108">
        <v>73</v>
      </c>
      <c r="B108" s="21">
        <v>17</v>
      </c>
      <c r="C108" s="22">
        <v>1341</v>
      </c>
      <c r="D108" s="22" t="s">
        <v>137</v>
      </c>
      <c r="E108" s="23" t="s">
        <v>15</v>
      </c>
      <c r="F108" s="24">
        <v>19710325</v>
      </c>
      <c r="G108" s="16">
        <f t="shared" si="14"/>
        <v>26017</v>
      </c>
      <c r="H108" s="2">
        <f t="shared" si="15"/>
        <v>50</v>
      </c>
      <c r="I108" s="17"/>
      <c r="J108" s="25">
        <v>20060321</v>
      </c>
      <c r="K108" s="16">
        <f t="shared" si="16"/>
        <v>38797</v>
      </c>
      <c r="L108" s="2">
        <f t="shared" si="17"/>
        <v>15</v>
      </c>
      <c r="M108" s="25"/>
      <c r="N108" s="26"/>
      <c r="O108" s="27" t="s">
        <v>35</v>
      </c>
      <c r="P108" s="70">
        <v>60300</v>
      </c>
      <c r="Q108" s="70" t="s">
        <v>138</v>
      </c>
      <c r="R108" s="22">
        <v>0</v>
      </c>
      <c r="S108" s="31"/>
      <c r="T108" s="22">
        <v>1</v>
      </c>
      <c r="AE108">
        <f t="shared" si="13"/>
        <v>60300</v>
      </c>
    </row>
    <row r="109" spans="1:31">
      <c r="A109">
        <v>74</v>
      </c>
      <c r="B109" s="21">
        <v>372</v>
      </c>
      <c r="C109" s="22">
        <v>3762</v>
      </c>
      <c r="D109" s="22" t="s">
        <v>139</v>
      </c>
      <c r="E109" s="23" t="s">
        <v>15</v>
      </c>
      <c r="F109" s="24">
        <v>19680423</v>
      </c>
      <c r="G109" s="16">
        <f t="shared" si="14"/>
        <v>24951</v>
      </c>
      <c r="H109" s="2">
        <f t="shared" si="15"/>
        <v>53</v>
      </c>
      <c r="I109" s="17"/>
      <c r="J109" s="25">
        <v>19890425</v>
      </c>
      <c r="K109" s="16">
        <f t="shared" si="16"/>
        <v>32623</v>
      </c>
      <c r="L109" s="2">
        <f t="shared" si="17"/>
        <v>32</v>
      </c>
      <c r="M109" s="25"/>
      <c r="N109" s="26"/>
      <c r="O109" s="27" t="s">
        <v>35</v>
      </c>
      <c r="P109" s="70">
        <v>60300</v>
      </c>
      <c r="Q109" s="70" t="s">
        <v>138</v>
      </c>
      <c r="R109" s="22">
        <v>0</v>
      </c>
      <c r="S109" s="31"/>
      <c r="T109" s="22">
        <v>2</v>
      </c>
      <c r="AE109">
        <f t="shared" si="13"/>
        <v>60300</v>
      </c>
    </row>
    <row r="110" spans="1:31">
      <c r="A110">
        <v>75</v>
      </c>
      <c r="B110" s="21">
        <v>165</v>
      </c>
      <c r="C110" s="22">
        <v>3137</v>
      </c>
      <c r="D110" s="22" t="s">
        <v>140</v>
      </c>
      <c r="E110" s="23" t="s">
        <v>15</v>
      </c>
      <c r="F110" s="24">
        <v>19761016</v>
      </c>
      <c r="G110" s="16">
        <f t="shared" si="14"/>
        <v>28049</v>
      </c>
      <c r="H110" s="2">
        <f t="shared" si="15"/>
        <v>44</v>
      </c>
      <c r="I110" s="17"/>
      <c r="J110" s="25">
        <v>19970321</v>
      </c>
      <c r="K110" s="16">
        <f t="shared" si="16"/>
        <v>35510</v>
      </c>
      <c r="L110" s="2">
        <f t="shared" si="17"/>
        <v>24</v>
      </c>
      <c r="M110" s="25"/>
      <c r="N110" s="26"/>
      <c r="O110" s="27" t="s">
        <v>19</v>
      </c>
      <c r="P110" s="70">
        <v>60300</v>
      </c>
      <c r="Q110" s="70" t="s">
        <v>138</v>
      </c>
      <c r="R110" s="22">
        <v>0</v>
      </c>
      <c r="S110" s="31"/>
      <c r="T110" s="22">
        <v>2</v>
      </c>
      <c r="AE110">
        <f t="shared" si="13"/>
        <v>60300</v>
      </c>
    </row>
    <row r="111" spans="1:31">
      <c r="A111">
        <v>76</v>
      </c>
      <c r="B111" s="21">
        <v>406</v>
      </c>
      <c r="C111" s="22">
        <v>3938</v>
      </c>
      <c r="D111" s="22" t="s">
        <v>141</v>
      </c>
      <c r="E111" s="23" t="s">
        <v>15</v>
      </c>
      <c r="F111" s="24">
        <v>19730807</v>
      </c>
      <c r="G111" s="16">
        <f t="shared" si="14"/>
        <v>26883</v>
      </c>
      <c r="H111" s="2">
        <f t="shared" si="15"/>
        <v>47</v>
      </c>
      <c r="I111" s="17"/>
      <c r="J111" s="25">
        <v>20060301</v>
      </c>
      <c r="K111" s="16">
        <f t="shared" si="16"/>
        <v>38777</v>
      </c>
      <c r="L111" s="2">
        <f t="shared" si="17"/>
        <v>15</v>
      </c>
      <c r="M111" s="25"/>
      <c r="N111" s="26"/>
      <c r="O111" s="27" t="s">
        <v>35</v>
      </c>
      <c r="P111" s="70">
        <v>60300</v>
      </c>
      <c r="Q111" s="70" t="s">
        <v>138</v>
      </c>
      <c r="R111" s="22">
        <v>0</v>
      </c>
      <c r="S111" s="31"/>
      <c r="T111" s="22">
        <v>2</v>
      </c>
      <c r="AE111">
        <f t="shared" si="13"/>
        <v>60300</v>
      </c>
    </row>
    <row r="112" spans="1:31">
      <c r="A112">
        <v>77</v>
      </c>
      <c r="B112" s="21">
        <v>418</v>
      </c>
      <c r="C112" s="22">
        <v>3959</v>
      </c>
      <c r="D112" s="22" t="s">
        <v>142</v>
      </c>
      <c r="E112" s="23" t="s">
        <v>15</v>
      </c>
      <c r="F112" s="24">
        <v>19670717</v>
      </c>
      <c r="G112" s="16">
        <f t="shared" si="14"/>
        <v>24670</v>
      </c>
      <c r="H112" s="2">
        <f t="shared" si="15"/>
        <v>54</v>
      </c>
      <c r="I112" s="17"/>
      <c r="J112" s="25">
        <v>20070613</v>
      </c>
      <c r="K112" s="16">
        <f t="shared" si="16"/>
        <v>39246</v>
      </c>
      <c r="L112" s="2">
        <f t="shared" si="17"/>
        <v>14</v>
      </c>
      <c r="M112" s="25"/>
      <c r="N112" s="26"/>
      <c r="O112" s="27" t="s">
        <v>16</v>
      </c>
      <c r="P112" s="70">
        <v>60300</v>
      </c>
      <c r="Q112" s="70" t="s">
        <v>138</v>
      </c>
      <c r="R112" s="22">
        <v>0</v>
      </c>
      <c r="S112" s="31"/>
      <c r="T112" s="22">
        <v>2</v>
      </c>
      <c r="AE112">
        <f t="shared" si="13"/>
        <v>60300</v>
      </c>
    </row>
    <row r="113" spans="1:31">
      <c r="A113">
        <v>78</v>
      </c>
      <c r="B113" s="21">
        <v>426</v>
      </c>
      <c r="C113" s="22">
        <v>3970</v>
      </c>
      <c r="D113" s="22" t="s">
        <v>143</v>
      </c>
      <c r="E113" s="23" t="s">
        <v>15</v>
      </c>
      <c r="F113" s="24">
        <v>19640913</v>
      </c>
      <c r="G113" s="16">
        <f t="shared" si="14"/>
        <v>23633</v>
      </c>
      <c r="H113" s="2">
        <f t="shared" si="15"/>
        <v>56</v>
      </c>
      <c r="I113" s="17"/>
      <c r="J113" s="25">
        <v>20070910</v>
      </c>
      <c r="K113" s="16">
        <f t="shared" si="16"/>
        <v>39335</v>
      </c>
      <c r="L113" s="2">
        <f t="shared" si="17"/>
        <v>13</v>
      </c>
      <c r="M113" s="25"/>
      <c r="N113" s="26"/>
      <c r="O113" s="27" t="s">
        <v>19</v>
      </c>
      <c r="P113" s="70">
        <v>60300</v>
      </c>
      <c r="Q113" s="70" t="s">
        <v>138</v>
      </c>
      <c r="R113" s="22">
        <v>0</v>
      </c>
      <c r="S113" s="31"/>
      <c r="T113" s="22">
        <v>2</v>
      </c>
      <c r="AE113">
        <f t="shared" si="13"/>
        <v>60300</v>
      </c>
    </row>
    <row r="114" spans="1:31">
      <c r="A114">
        <v>79</v>
      </c>
      <c r="B114" s="21">
        <v>438</v>
      </c>
      <c r="C114" s="22">
        <v>3994</v>
      </c>
      <c r="D114" s="22" t="s">
        <v>144</v>
      </c>
      <c r="E114" s="23" t="s">
        <v>15</v>
      </c>
      <c r="F114" s="24">
        <v>19750404</v>
      </c>
      <c r="G114" s="16">
        <f t="shared" si="14"/>
        <v>27488</v>
      </c>
      <c r="H114" s="2">
        <f t="shared" si="15"/>
        <v>46</v>
      </c>
      <c r="I114" s="17"/>
      <c r="J114" s="25">
        <v>20080121</v>
      </c>
      <c r="K114" s="16">
        <f t="shared" si="16"/>
        <v>39468</v>
      </c>
      <c r="L114" s="2">
        <f t="shared" si="17"/>
        <v>13</v>
      </c>
      <c r="M114" s="25"/>
      <c r="N114" s="26"/>
      <c r="O114" s="27" t="s">
        <v>35</v>
      </c>
      <c r="P114" s="70">
        <v>60300</v>
      </c>
      <c r="Q114" s="70" t="s">
        <v>138</v>
      </c>
      <c r="R114" s="22">
        <v>0</v>
      </c>
      <c r="S114" s="31"/>
      <c r="T114" s="22">
        <v>2</v>
      </c>
      <c r="AE114">
        <f t="shared" si="13"/>
        <v>60300</v>
      </c>
    </row>
    <row r="115" spans="1:31">
      <c r="A115">
        <v>80</v>
      </c>
      <c r="B115" s="21">
        <v>118</v>
      </c>
      <c r="C115" s="22">
        <v>2953</v>
      </c>
      <c r="D115" s="22" t="s">
        <v>145</v>
      </c>
      <c r="E115" s="23" t="s">
        <v>15</v>
      </c>
      <c r="F115" s="24">
        <v>19741026</v>
      </c>
      <c r="G115" s="16">
        <f t="shared" si="14"/>
        <v>27328</v>
      </c>
      <c r="H115" s="2">
        <f t="shared" si="15"/>
        <v>46</v>
      </c>
      <c r="I115" s="17"/>
      <c r="J115" s="25">
        <v>19930322</v>
      </c>
      <c r="K115" s="16">
        <f t="shared" si="16"/>
        <v>34050</v>
      </c>
      <c r="L115" s="2">
        <f t="shared" si="17"/>
        <v>28</v>
      </c>
      <c r="M115" s="25"/>
      <c r="N115" s="26"/>
      <c r="O115" s="27" t="s">
        <v>35</v>
      </c>
      <c r="P115" s="70">
        <v>60300</v>
      </c>
      <c r="Q115" s="70" t="s">
        <v>138</v>
      </c>
      <c r="R115" s="22">
        <v>0</v>
      </c>
      <c r="S115" s="31"/>
      <c r="T115" s="22">
        <v>2</v>
      </c>
      <c r="AE115">
        <f t="shared" si="13"/>
        <v>60300</v>
      </c>
    </row>
    <row r="116" spans="1:31">
      <c r="A116">
        <v>81</v>
      </c>
      <c r="B116" s="21">
        <v>121</v>
      </c>
      <c r="C116" s="22">
        <v>2967</v>
      </c>
      <c r="D116" s="22" t="s">
        <v>146</v>
      </c>
      <c r="E116" s="23" t="s">
        <v>15</v>
      </c>
      <c r="F116" s="24">
        <v>19690622</v>
      </c>
      <c r="G116" s="16">
        <f t="shared" si="14"/>
        <v>25376</v>
      </c>
      <c r="H116" s="2">
        <f t="shared" si="15"/>
        <v>52</v>
      </c>
      <c r="I116" s="17"/>
      <c r="J116" s="25">
        <v>19940322</v>
      </c>
      <c r="K116" s="16">
        <f t="shared" si="16"/>
        <v>34415</v>
      </c>
      <c r="L116" s="2">
        <f t="shared" si="17"/>
        <v>27</v>
      </c>
      <c r="M116" s="25"/>
      <c r="N116" s="26"/>
      <c r="O116" s="27" t="s">
        <v>16</v>
      </c>
      <c r="P116" s="70">
        <v>61000</v>
      </c>
      <c r="Q116" s="70" t="s">
        <v>147</v>
      </c>
      <c r="R116" s="22">
        <v>0</v>
      </c>
      <c r="S116" s="22"/>
      <c r="T116" s="22">
        <v>1</v>
      </c>
      <c r="AE116">
        <f t="shared" si="13"/>
        <v>61000</v>
      </c>
    </row>
    <row r="117" spans="1:31">
      <c r="A117">
        <v>82</v>
      </c>
      <c r="B117" s="21">
        <v>81</v>
      </c>
      <c r="C117" s="22">
        <v>2720</v>
      </c>
      <c r="D117" s="22" t="s">
        <v>148</v>
      </c>
      <c r="E117" s="23" t="s">
        <v>15</v>
      </c>
      <c r="F117" s="24">
        <v>19610802</v>
      </c>
      <c r="G117" s="16">
        <f t="shared" si="14"/>
        <v>22495</v>
      </c>
      <c r="H117" s="2">
        <f t="shared" si="15"/>
        <v>59</v>
      </c>
      <c r="I117" s="17"/>
      <c r="J117" s="25">
        <v>19850325</v>
      </c>
      <c r="K117" s="16">
        <f t="shared" si="16"/>
        <v>31131</v>
      </c>
      <c r="L117" s="2">
        <f t="shared" si="17"/>
        <v>36</v>
      </c>
      <c r="M117" s="25"/>
      <c r="N117" s="26"/>
      <c r="O117" s="27" t="s">
        <v>16</v>
      </c>
      <c r="P117" s="70">
        <v>61000</v>
      </c>
      <c r="Q117" s="70" t="s">
        <v>147</v>
      </c>
      <c r="R117" s="22">
        <v>0</v>
      </c>
      <c r="S117" s="22"/>
      <c r="T117" s="22">
        <v>1</v>
      </c>
      <c r="AE117">
        <f t="shared" si="13"/>
        <v>61000</v>
      </c>
    </row>
    <row r="118" spans="1:31">
      <c r="A118">
        <v>83</v>
      </c>
      <c r="B118" s="21">
        <v>127</v>
      </c>
      <c r="C118" s="22">
        <v>2983</v>
      </c>
      <c r="D118" s="22" t="s">
        <v>149</v>
      </c>
      <c r="E118" s="23" t="s">
        <v>15</v>
      </c>
      <c r="F118" s="24">
        <v>19710614</v>
      </c>
      <c r="G118" s="16">
        <f t="shared" si="14"/>
        <v>26098</v>
      </c>
      <c r="H118" s="2">
        <f t="shared" si="15"/>
        <v>50</v>
      </c>
      <c r="I118" s="17"/>
      <c r="J118" s="25">
        <v>19940322</v>
      </c>
      <c r="K118" s="16">
        <f t="shared" si="16"/>
        <v>34415</v>
      </c>
      <c r="L118" s="2">
        <f t="shared" si="17"/>
        <v>27</v>
      </c>
      <c r="M118" s="25"/>
      <c r="N118" s="26"/>
      <c r="O118" s="27" t="s">
        <v>19</v>
      </c>
      <c r="P118" s="70">
        <v>61000</v>
      </c>
      <c r="Q118" s="70" t="s">
        <v>147</v>
      </c>
      <c r="R118" s="22">
        <v>0</v>
      </c>
      <c r="S118" s="22"/>
      <c r="T118" s="22">
        <v>1</v>
      </c>
      <c r="AE118">
        <f t="shared" si="13"/>
        <v>61000</v>
      </c>
    </row>
    <row r="119" spans="1:31">
      <c r="A119">
        <v>84</v>
      </c>
      <c r="B119" s="21">
        <v>201</v>
      </c>
      <c r="C119" s="22">
        <v>3228</v>
      </c>
      <c r="D119" s="22" t="s">
        <v>150</v>
      </c>
      <c r="E119" s="23" t="s">
        <v>15</v>
      </c>
      <c r="F119" s="24">
        <v>19830224</v>
      </c>
      <c r="G119" s="16">
        <f t="shared" si="14"/>
        <v>30371</v>
      </c>
      <c r="H119" s="2">
        <f t="shared" si="15"/>
        <v>38</v>
      </c>
      <c r="I119" s="17"/>
      <c r="J119" s="25">
        <v>20050321</v>
      </c>
      <c r="K119" s="16">
        <f t="shared" si="16"/>
        <v>38432</v>
      </c>
      <c r="L119" s="2">
        <f t="shared" si="17"/>
        <v>16</v>
      </c>
      <c r="M119" s="25"/>
      <c r="N119" s="26"/>
      <c r="O119" s="27" t="s">
        <v>16</v>
      </c>
      <c r="P119" s="70">
        <v>61000</v>
      </c>
      <c r="Q119" s="70" t="s">
        <v>147</v>
      </c>
      <c r="R119" s="22">
        <v>0</v>
      </c>
      <c r="S119" s="22"/>
      <c r="T119" s="22">
        <v>1</v>
      </c>
      <c r="AE119">
        <f t="shared" si="13"/>
        <v>61000</v>
      </c>
    </row>
    <row r="120" spans="1:31">
      <c r="A120">
        <v>85</v>
      </c>
      <c r="B120" s="21">
        <v>242</v>
      </c>
      <c r="C120" s="22">
        <v>3328</v>
      </c>
      <c r="D120" s="22" t="s">
        <v>151</v>
      </c>
      <c r="E120" s="23" t="s">
        <v>15</v>
      </c>
      <c r="F120" s="24">
        <v>19880225</v>
      </c>
      <c r="G120" s="16">
        <f t="shared" si="14"/>
        <v>32198</v>
      </c>
      <c r="H120" s="2">
        <f t="shared" si="15"/>
        <v>33</v>
      </c>
      <c r="I120" s="17"/>
      <c r="J120" s="25">
        <v>20110321</v>
      </c>
      <c r="K120" s="16">
        <f t="shared" si="16"/>
        <v>40623</v>
      </c>
      <c r="L120" s="2">
        <f t="shared" si="17"/>
        <v>10</v>
      </c>
      <c r="M120" s="25"/>
      <c r="N120" s="26"/>
      <c r="O120" s="27" t="s">
        <v>16</v>
      </c>
      <c r="P120" s="70">
        <v>61000</v>
      </c>
      <c r="Q120" s="70" t="s">
        <v>147</v>
      </c>
      <c r="R120" s="22">
        <v>0</v>
      </c>
      <c r="S120" s="22"/>
      <c r="T120" s="22">
        <v>1</v>
      </c>
      <c r="AE120">
        <f t="shared" si="13"/>
        <v>61000</v>
      </c>
    </row>
    <row r="121" spans="1:31">
      <c r="A121">
        <v>86</v>
      </c>
      <c r="B121" s="21">
        <v>293</v>
      </c>
      <c r="C121" s="22">
        <v>3414</v>
      </c>
      <c r="D121" s="22" t="s">
        <v>152</v>
      </c>
      <c r="E121" s="23" t="s">
        <v>15</v>
      </c>
      <c r="F121" s="24">
        <v>19910608</v>
      </c>
      <c r="G121" s="16">
        <f t="shared" si="14"/>
        <v>33397</v>
      </c>
      <c r="H121" s="2">
        <f t="shared" si="15"/>
        <v>30</v>
      </c>
      <c r="I121" s="17"/>
      <c r="J121" s="25">
        <v>20140321</v>
      </c>
      <c r="K121" s="16">
        <f t="shared" si="16"/>
        <v>41719</v>
      </c>
      <c r="L121" s="2">
        <f t="shared" si="17"/>
        <v>7</v>
      </c>
      <c r="M121" s="25"/>
      <c r="N121" s="26"/>
      <c r="O121" s="27" t="s">
        <v>16</v>
      </c>
      <c r="P121" s="70">
        <v>61000</v>
      </c>
      <c r="Q121" s="70" t="s">
        <v>147</v>
      </c>
      <c r="R121" s="22">
        <v>0</v>
      </c>
      <c r="S121" s="22"/>
      <c r="T121" s="22">
        <v>1</v>
      </c>
      <c r="AE121">
        <f t="shared" si="13"/>
        <v>61000</v>
      </c>
    </row>
    <row r="122" spans="1:31">
      <c r="A122">
        <v>87</v>
      </c>
      <c r="B122" s="21">
        <v>79</v>
      </c>
      <c r="C122" s="22">
        <v>2700</v>
      </c>
      <c r="D122" s="22" t="s">
        <v>153</v>
      </c>
      <c r="E122" s="23" t="s">
        <v>15</v>
      </c>
      <c r="F122" s="24">
        <v>19660129</v>
      </c>
      <c r="G122" s="16">
        <f t="shared" si="14"/>
        <v>24136</v>
      </c>
      <c r="H122" s="2">
        <f t="shared" si="15"/>
        <v>55</v>
      </c>
      <c r="I122" s="17"/>
      <c r="J122" s="25">
        <v>19840321</v>
      </c>
      <c r="K122" s="16">
        <f t="shared" si="16"/>
        <v>30762</v>
      </c>
      <c r="L122" s="2">
        <f t="shared" si="17"/>
        <v>37</v>
      </c>
      <c r="M122" s="25"/>
      <c r="N122" s="26"/>
      <c r="O122" s="27" t="s">
        <v>35</v>
      </c>
      <c r="P122" s="70">
        <v>61000</v>
      </c>
      <c r="Q122" s="70" t="s">
        <v>147</v>
      </c>
      <c r="R122" s="22">
        <v>0</v>
      </c>
      <c r="S122" s="22"/>
      <c r="T122" s="22">
        <v>2</v>
      </c>
      <c r="AE122">
        <f t="shared" si="13"/>
        <v>61000</v>
      </c>
    </row>
    <row r="123" spans="1:31">
      <c r="A123">
        <v>88</v>
      </c>
      <c r="B123" s="21">
        <v>136</v>
      </c>
      <c r="C123" s="22">
        <v>3022</v>
      </c>
      <c r="D123" s="22" t="s">
        <v>154</v>
      </c>
      <c r="E123" s="23" t="s">
        <v>15</v>
      </c>
      <c r="F123" s="24">
        <v>19720416</v>
      </c>
      <c r="G123" s="16">
        <f t="shared" si="14"/>
        <v>26405</v>
      </c>
      <c r="H123" s="2">
        <f t="shared" si="15"/>
        <v>49</v>
      </c>
      <c r="I123" s="17"/>
      <c r="J123" s="25">
        <v>19950322</v>
      </c>
      <c r="K123" s="16">
        <f t="shared" si="16"/>
        <v>34780</v>
      </c>
      <c r="L123" s="2">
        <f t="shared" si="17"/>
        <v>26</v>
      </c>
      <c r="M123" s="25"/>
      <c r="N123" s="26"/>
      <c r="O123" s="27" t="s">
        <v>16</v>
      </c>
      <c r="P123" s="70">
        <v>61000</v>
      </c>
      <c r="Q123" s="70" t="s">
        <v>147</v>
      </c>
      <c r="R123" s="22">
        <v>0</v>
      </c>
      <c r="S123" s="22"/>
      <c r="T123" s="22">
        <v>2</v>
      </c>
      <c r="AE123">
        <f t="shared" si="13"/>
        <v>61000</v>
      </c>
    </row>
    <row r="124" spans="1:31">
      <c r="A124">
        <v>89</v>
      </c>
      <c r="B124" s="21">
        <v>318</v>
      </c>
      <c r="C124" s="22">
        <v>3454</v>
      </c>
      <c r="D124" s="22" t="s">
        <v>155</v>
      </c>
      <c r="E124" s="23" t="s">
        <v>15</v>
      </c>
      <c r="F124" s="24">
        <v>19930630</v>
      </c>
      <c r="G124" s="16">
        <f t="shared" si="14"/>
        <v>34150</v>
      </c>
      <c r="H124" s="2">
        <f t="shared" si="15"/>
        <v>28</v>
      </c>
      <c r="I124" s="17"/>
      <c r="J124" s="25">
        <v>20160401</v>
      </c>
      <c r="K124" s="16">
        <f t="shared" si="16"/>
        <v>42461</v>
      </c>
      <c r="L124" s="2">
        <f t="shared" si="17"/>
        <v>5</v>
      </c>
      <c r="M124" s="25"/>
      <c r="N124" s="26"/>
      <c r="O124" s="27" t="s">
        <v>16</v>
      </c>
      <c r="P124" s="70">
        <v>61000</v>
      </c>
      <c r="Q124" s="70" t="s">
        <v>147</v>
      </c>
      <c r="R124" s="22">
        <v>0</v>
      </c>
      <c r="S124" s="22"/>
      <c r="T124" s="22">
        <v>2</v>
      </c>
      <c r="AE124">
        <f t="shared" si="13"/>
        <v>61000</v>
      </c>
    </row>
    <row r="125" spans="1:31">
      <c r="A125">
        <v>90</v>
      </c>
      <c r="B125" s="21">
        <v>352</v>
      </c>
      <c r="C125" s="22">
        <v>3501</v>
      </c>
      <c r="D125" s="22" t="s">
        <v>156</v>
      </c>
      <c r="E125" s="23" t="s">
        <v>15</v>
      </c>
      <c r="F125" s="24">
        <v>19970128</v>
      </c>
      <c r="G125" s="16">
        <f t="shared" si="14"/>
        <v>35458</v>
      </c>
      <c r="H125" s="2">
        <f t="shared" si="15"/>
        <v>24</v>
      </c>
      <c r="I125" s="17"/>
      <c r="J125" s="25">
        <v>20190401</v>
      </c>
      <c r="K125" s="16">
        <f t="shared" si="16"/>
        <v>43556</v>
      </c>
      <c r="L125" s="2">
        <f t="shared" si="17"/>
        <v>2</v>
      </c>
      <c r="M125" s="25"/>
      <c r="N125" s="26"/>
      <c r="O125" s="27">
        <v>8</v>
      </c>
      <c r="P125" s="70">
        <v>51000</v>
      </c>
      <c r="Q125" s="70" t="s">
        <v>124</v>
      </c>
      <c r="R125" s="22">
        <v>0</v>
      </c>
      <c r="S125" s="22"/>
      <c r="T125" s="22">
        <v>2</v>
      </c>
      <c r="AE125">
        <f t="shared" si="13"/>
        <v>51000</v>
      </c>
    </row>
    <row r="126" spans="1:31">
      <c r="A126">
        <v>91</v>
      </c>
      <c r="B126" s="21">
        <v>184</v>
      </c>
      <c r="C126" s="22">
        <v>3190</v>
      </c>
      <c r="D126" s="22" t="s">
        <v>157</v>
      </c>
      <c r="E126" s="23" t="s">
        <v>15</v>
      </c>
      <c r="F126" s="24">
        <v>19830917</v>
      </c>
      <c r="G126" s="16">
        <f t="shared" si="14"/>
        <v>30576</v>
      </c>
      <c r="H126" s="2">
        <f t="shared" si="15"/>
        <v>37</v>
      </c>
      <c r="I126" s="17"/>
      <c r="J126" s="25">
        <v>20020322</v>
      </c>
      <c r="K126" s="16">
        <f t="shared" si="16"/>
        <v>37337</v>
      </c>
      <c r="L126" s="2">
        <f t="shared" si="17"/>
        <v>19</v>
      </c>
      <c r="M126" s="25"/>
      <c r="N126" s="26"/>
      <c r="O126" s="27" t="s">
        <v>35</v>
      </c>
      <c r="P126" s="70">
        <v>61200</v>
      </c>
      <c r="Q126" s="70" t="s">
        <v>158</v>
      </c>
      <c r="R126" s="22">
        <v>0</v>
      </c>
      <c r="S126" s="22"/>
      <c r="T126" s="22">
        <v>1</v>
      </c>
      <c r="AE126">
        <f t="shared" si="13"/>
        <v>61200</v>
      </c>
    </row>
    <row r="127" spans="1:31">
      <c r="A127">
        <v>92</v>
      </c>
      <c r="B127" s="21">
        <v>213</v>
      </c>
      <c r="C127" s="22">
        <v>3254</v>
      </c>
      <c r="D127" s="22" t="s">
        <v>159</v>
      </c>
      <c r="E127" s="23" t="s">
        <v>15</v>
      </c>
      <c r="F127" s="24">
        <v>19880204</v>
      </c>
      <c r="G127" s="16">
        <f t="shared" si="14"/>
        <v>32177</v>
      </c>
      <c r="H127" s="2">
        <f t="shared" si="15"/>
        <v>33</v>
      </c>
      <c r="I127" s="17"/>
      <c r="J127" s="25">
        <v>20060321</v>
      </c>
      <c r="K127" s="16">
        <f t="shared" si="16"/>
        <v>38797</v>
      </c>
      <c r="L127" s="2">
        <f t="shared" si="17"/>
        <v>15</v>
      </c>
      <c r="M127" s="25"/>
      <c r="N127" s="26"/>
      <c r="O127" s="27" t="s">
        <v>35</v>
      </c>
      <c r="P127" s="70">
        <v>61200</v>
      </c>
      <c r="Q127" s="70" t="s">
        <v>158</v>
      </c>
      <c r="R127" s="22">
        <v>0</v>
      </c>
      <c r="S127" s="22"/>
      <c r="T127" s="22">
        <v>2</v>
      </c>
      <c r="AE127">
        <f t="shared" si="13"/>
        <v>61200</v>
      </c>
    </row>
    <row r="128" spans="1:31">
      <c r="A128">
        <v>93</v>
      </c>
      <c r="B128" s="21">
        <v>326</v>
      </c>
      <c r="C128" s="22">
        <v>3467</v>
      </c>
      <c r="D128" s="22" t="s">
        <v>160</v>
      </c>
      <c r="E128" s="23" t="s">
        <v>15</v>
      </c>
      <c r="F128" s="24">
        <v>19970627</v>
      </c>
      <c r="G128" s="16">
        <f t="shared" si="14"/>
        <v>35608</v>
      </c>
      <c r="H128" s="2">
        <f t="shared" si="15"/>
        <v>24</v>
      </c>
      <c r="I128" s="17"/>
      <c r="J128" s="25">
        <v>20160401</v>
      </c>
      <c r="K128" s="16">
        <f t="shared" si="16"/>
        <v>42461</v>
      </c>
      <c r="L128" s="2">
        <f t="shared" si="17"/>
        <v>5</v>
      </c>
      <c r="M128" s="25"/>
      <c r="N128" s="26"/>
      <c r="O128" s="27" t="s">
        <v>35</v>
      </c>
      <c r="P128" s="70">
        <v>61200</v>
      </c>
      <c r="Q128" s="70" t="s">
        <v>158</v>
      </c>
      <c r="R128" s="22">
        <v>0</v>
      </c>
      <c r="S128" s="22"/>
      <c r="T128" s="22">
        <v>2</v>
      </c>
      <c r="AE128">
        <f t="shared" si="13"/>
        <v>61200</v>
      </c>
    </row>
    <row r="129" spans="1:31">
      <c r="A129">
        <v>94</v>
      </c>
      <c r="B129" s="21">
        <v>142</v>
      </c>
      <c r="C129" s="22">
        <v>3040</v>
      </c>
      <c r="D129" s="22" t="s">
        <v>161</v>
      </c>
      <c r="E129" s="23" t="s">
        <v>15</v>
      </c>
      <c r="F129" s="24">
        <v>19750101</v>
      </c>
      <c r="G129" s="16">
        <f t="shared" si="14"/>
        <v>27395</v>
      </c>
      <c r="H129" s="2">
        <f t="shared" si="15"/>
        <v>46</v>
      </c>
      <c r="I129" s="17"/>
      <c r="J129" s="25">
        <v>19950322</v>
      </c>
      <c r="K129" s="16">
        <f t="shared" si="16"/>
        <v>34780</v>
      </c>
      <c r="L129" s="2">
        <f t="shared" si="17"/>
        <v>26</v>
      </c>
      <c r="M129" s="25"/>
      <c r="N129" s="26"/>
      <c r="O129" s="27" t="s">
        <v>19</v>
      </c>
      <c r="P129" s="70">
        <v>61300</v>
      </c>
      <c r="Q129" s="70" t="s">
        <v>162</v>
      </c>
      <c r="R129" s="22">
        <v>0</v>
      </c>
      <c r="S129" s="22"/>
      <c r="T129" s="22">
        <v>1</v>
      </c>
      <c r="AE129">
        <f t="shared" si="13"/>
        <v>61300</v>
      </c>
    </row>
    <row r="130" spans="1:31">
      <c r="A130">
        <v>95</v>
      </c>
      <c r="B130" s="21">
        <v>263</v>
      </c>
      <c r="C130" s="22">
        <v>3364</v>
      </c>
      <c r="D130" s="22" t="s">
        <v>163</v>
      </c>
      <c r="E130" s="23" t="s">
        <v>15</v>
      </c>
      <c r="F130" s="24">
        <v>19881129</v>
      </c>
      <c r="G130" s="16">
        <f t="shared" si="14"/>
        <v>32476</v>
      </c>
      <c r="H130" s="2">
        <f t="shared" si="15"/>
        <v>32</v>
      </c>
      <c r="I130" s="17"/>
      <c r="J130" s="25">
        <v>20120321</v>
      </c>
      <c r="K130" s="16">
        <f t="shared" si="16"/>
        <v>40989</v>
      </c>
      <c r="L130" s="2">
        <f t="shared" si="17"/>
        <v>9</v>
      </c>
      <c r="M130" s="25"/>
      <c r="N130" s="26"/>
      <c r="O130" s="27" t="s">
        <v>16</v>
      </c>
      <c r="P130" s="70">
        <v>61300</v>
      </c>
      <c r="Q130" s="70" t="s">
        <v>162</v>
      </c>
      <c r="R130" s="22">
        <v>0</v>
      </c>
      <c r="S130" s="22"/>
      <c r="T130" s="22">
        <v>1</v>
      </c>
      <c r="AE130">
        <f t="shared" si="13"/>
        <v>61300</v>
      </c>
    </row>
    <row r="131" spans="1:31">
      <c r="A131">
        <v>96</v>
      </c>
      <c r="B131" s="21">
        <v>133</v>
      </c>
      <c r="C131" s="22">
        <v>3019</v>
      </c>
      <c r="D131" s="22" t="s">
        <v>164</v>
      </c>
      <c r="E131" s="23" t="s">
        <v>15</v>
      </c>
      <c r="F131" s="24">
        <v>19721207</v>
      </c>
      <c r="G131" s="16">
        <f t="shared" si="14"/>
        <v>26640</v>
      </c>
      <c r="H131" s="2">
        <f t="shared" si="15"/>
        <v>48</v>
      </c>
      <c r="I131" s="17"/>
      <c r="J131" s="25">
        <v>19950322</v>
      </c>
      <c r="K131" s="16">
        <f t="shared" si="16"/>
        <v>34780</v>
      </c>
      <c r="L131" s="2">
        <f t="shared" si="17"/>
        <v>26</v>
      </c>
      <c r="M131" s="25"/>
      <c r="N131" s="26"/>
      <c r="O131" s="27" t="s">
        <v>16</v>
      </c>
      <c r="P131" s="70">
        <v>63000</v>
      </c>
      <c r="Q131" s="70" t="s">
        <v>165</v>
      </c>
      <c r="R131" s="22">
        <v>0</v>
      </c>
      <c r="S131" s="22"/>
      <c r="T131" s="22">
        <v>1</v>
      </c>
      <c r="AE131">
        <f t="shared" si="13"/>
        <v>63000</v>
      </c>
    </row>
    <row r="132" spans="1:31">
      <c r="A132">
        <v>97</v>
      </c>
      <c r="B132" s="21">
        <v>385</v>
      </c>
      <c r="C132" s="22">
        <v>3869</v>
      </c>
      <c r="D132" s="22" t="s">
        <v>166</v>
      </c>
      <c r="E132" s="23" t="s">
        <v>15</v>
      </c>
      <c r="F132" s="24">
        <v>19670329</v>
      </c>
      <c r="G132" s="16">
        <f t="shared" si="14"/>
        <v>24560</v>
      </c>
      <c r="H132" s="2">
        <f t="shared" si="15"/>
        <v>54</v>
      </c>
      <c r="I132" s="17"/>
      <c r="J132" s="25">
        <v>19970321</v>
      </c>
      <c r="K132" s="16">
        <f t="shared" si="16"/>
        <v>35510</v>
      </c>
      <c r="L132" s="2">
        <f t="shared" si="17"/>
        <v>24</v>
      </c>
      <c r="M132" s="25"/>
      <c r="N132" s="26"/>
      <c r="O132" s="27" t="s">
        <v>16</v>
      </c>
      <c r="P132" s="70">
        <v>63000</v>
      </c>
      <c r="Q132" s="70" t="s">
        <v>165</v>
      </c>
      <c r="R132" s="22">
        <v>0</v>
      </c>
      <c r="S132" s="22"/>
      <c r="T132" s="22">
        <v>1</v>
      </c>
      <c r="AE132">
        <f t="shared" si="13"/>
        <v>63000</v>
      </c>
    </row>
    <row r="133" spans="1:31">
      <c r="A133">
        <v>98</v>
      </c>
      <c r="B133" s="21">
        <v>15</v>
      </c>
      <c r="C133" s="22">
        <v>1339</v>
      </c>
      <c r="D133" s="22" t="s">
        <v>167</v>
      </c>
      <c r="E133" s="23" t="s">
        <v>15</v>
      </c>
      <c r="F133" s="24">
        <v>19740809</v>
      </c>
      <c r="G133" s="16">
        <f t="shared" si="14"/>
        <v>27250</v>
      </c>
      <c r="H133" s="2">
        <f t="shared" si="15"/>
        <v>46</v>
      </c>
      <c r="I133" s="17"/>
      <c r="J133" s="25">
        <v>20060301</v>
      </c>
      <c r="K133" s="16">
        <f t="shared" si="16"/>
        <v>38777</v>
      </c>
      <c r="L133" s="2">
        <f t="shared" si="17"/>
        <v>15</v>
      </c>
      <c r="M133" s="25"/>
      <c r="N133" s="26"/>
      <c r="O133" s="27" t="s">
        <v>19</v>
      </c>
      <c r="P133" s="70">
        <v>63000</v>
      </c>
      <c r="Q133" s="70" t="s">
        <v>165</v>
      </c>
      <c r="R133" s="22">
        <v>0</v>
      </c>
      <c r="S133" s="22"/>
      <c r="T133" s="22">
        <v>1</v>
      </c>
      <c r="AE133">
        <f t="shared" si="13"/>
        <v>63000</v>
      </c>
    </row>
    <row r="134" spans="1:31">
      <c r="A134">
        <v>99</v>
      </c>
      <c r="B134" s="21">
        <v>240</v>
      </c>
      <c r="C134" s="22">
        <v>3320</v>
      </c>
      <c r="D134" s="22" t="s">
        <v>168</v>
      </c>
      <c r="E134" s="23" t="s">
        <v>15</v>
      </c>
      <c r="F134" s="24">
        <v>19870429</v>
      </c>
      <c r="G134" s="16">
        <f t="shared" si="14"/>
        <v>31896</v>
      </c>
      <c r="H134" s="2">
        <f t="shared" si="15"/>
        <v>34</v>
      </c>
      <c r="I134" s="17"/>
      <c r="J134" s="25">
        <v>20100321</v>
      </c>
      <c r="K134" s="16">
        <f t="shared" si="16"/>
        <v>40258</v>
      </c>
      <c r="L134" s="2">
        <f t="shared" si="17"/>
        <v>11</v>
      </c>
      <c r="M134" s="25"/>
      <c r="N134" s="26"/>
      <c r="O134" s="27" t="s">
        <v>16</v>
      </c>
      <c r="P134" s="70">
        <v>63000</v>
      </c>
      <c r="Q134" s="70" t="s">
        <v>165</v>
      </c>
      <c r="R134" s="22">
        <v>0</v>
      </c>
      <c r="S134" s="22"/>
      <c r="T134" s="22">
        <v>1</v>
      </c>
      <c r="AE134">
        <f t="shared" ref="AE134:AE197" si="18">ROUNDDOWN(P134*1,0)</f>
        <v>63000</v>
      </c>
    </row>
    <row r="135" spans="1:31">
      <c r="A135">
        <v>100</v>
      </c>
      <c r="B135" s="21">
        <v>292</v>
      </c>
      <c r="C135" s="22">
        <v>3413</v>
      </c>
      <c r="D135" s="22" t="s">
        <v>169</v>
      </c>
      <c r="E135" s="23" t="s">
        <v>15</v>
      </c>
      <c r="F135" s="24">
        <v>19890624</v>
      </c>
      <c r="G135" s="16">
        <f t="shared" si="14"/>
        <v>32683</v>
      </c>
      <c r="H135" s="2">
        <f t="shared" si="15"/>
        <v>32</v>
      </c>
      <c r="I135" s="17"/>
      <c r="J135" s="25">
        <v>20140321</v>
      </c>
      <c r="K135" s="16">
        <f t="shared" si="16"/>
        <v>41719</v>
      </c>
      <c r="L135" s="2">
        <f t="shared" si="17"/>
        <v>7</v>
      </c>
      <c r="M135" s="25"/>
      <c r="N135" s="26"/>
      <c r="O135" s="27" t="s">
        <v>16</v>
      </c>
      <c r="P135" s="70">
        <v>63000</v>
      </c>
      <c r="Q135" s="70" t="s">
        <v>165</v>
      </c>
      <c r="R135" s="22">
        <v>0</v>
      </c>
      <c r="S135" s="22"/>
      <c r="T135" s="22">
        <v>1</v>
      </c>
      <c r="AE135">
        <f t="shared" si="18"/>
        <v>63000</v>
      </c>
    </row>
    <row r="136" spans="1:31">
      <c r="A136">
        <v>101</v>
      </c>
      <c r="B136" s="21"/>
      <c r="C136" s="22">
        <v>1412</v>
      </c>
      <c r="D136" s="22" t="s">
        <v>637</v>
      </c>
      <c r="E136" s="23"/>
      <c r="F136" s="24">
        <v>19670307</v>
      </c>
      <c r="G136" s="16">
        <f t="shared" si="14"/>
        <v>24538</v>
      </c>
      <c r="H136" s="2">
        <f t="shared" si="15"/>
        <v>54</v>
      </c>
      <c r="I136" s="17"/>
      <c r="J136" s="25">
        <v>20210701</v>
      </c>
      <c r="K136" s="16">
        <f t="shared" si="16"/>
        <v>44378</v>
      </c>
      <c r="L136" s="2">
        <f t="shared" si="17"/>
        <v>0</v>
      </c>
      <c r="M136" s="25"/>
      <c r="N136" s="26"/>
      <c r="O136" s="27"/>
      <c r="P136" s="70">
        <v>63000</v>
      </c>
      <c r="Q136" s="70" t="s">
        <v>165</v>
      </c>
      <c r="R136" s="22"/>
      <c r="S136" s="22"/>
      <c r="T136" s="22"/>
      <c r="AE136">
        <f t="shared" si="18"/>
        <v>63000</v>
      </c>
    </row>
    <row r="137" spans="1:31">
      <c r="A137">
        <v>102</v>
      </c>
      <c r="B137" s="21">
        <v>273</v>
      </c>
      <c r="C137" s="22">
        <v>3380</v>
      </c>
      <c r="D137" s="22" t="s">
        <v>170</v>
      </c>
      <c r="E137" s="23" t="s">
        <v>15</v>
      </c>
      <c r="F137" s="24">
        <v>19930630</v>
      </c>
      <c r="G137" s="16">
        <f t="shared" si="14"/>
        <v>34150</v>
      </c>
      <c r="H137" s="2">
        <f t="shared" si="15"/>
        <v>28</v>
      </c>
      <c r="I137" s="17"/>
      <c r="J137" s="25">
        <v>20120321</v>
      </c>
      <c r="K137" s="16">
        <f t="shared" si="16"/>
        <v>40989</v>
      </c>
      <c r="L137" s="2">
        <f t="shared" si="17"/>
        <v>9</v>
      </c>
      <c r="M137" s="25"/>
      <c r="N137" s="26"/>
      <c r="O137" s="27" t="s">
        <v>35</v>
      </c>
      <c r="P137" s="70">
        <v>63000</v>
      </c>
      <c r="Q137" s="70" t="s">
        <v>165</v>
      </c>
      <c r="R137" s="22">
        <v>0</v>
      </c>
      <c r="S137" s="22"/>
      <c r="T137" s="22">
        <v>1</v>
      </c>
      <c r="AE137">
        <f t="shared" si="18"/>
        <v>63000</v>
      </c>
    </row>
    <row r="138" spans="1:31">
      <c r="A138">
        <v>103</v>
      </c>
      <c r="B138" s="21">
        <v>135</v>
      </c>
      <c r="C138" s="22">
        <v>3021</v>
      </c>
      <c r="D138" s="22" t="s">
        <v>173</v>
      </c>
      <c r="E138" s="23" t="s">
        <v>15</v>
      </c>
      <c r="F138" s="24">
        <v>19720119</v>
      </c>
      <c r="G138" s="16">
        <f t="shared" si="14"/>
        <v>26317</v>
      </c>
      <c r="H138" s="2">
        <f t="shared" si="15"/>
        <v>49</v>
      </c>
      <c r="I138" s="17"/>
      <c r="J138" s="25">
        <v>19950322</v>
      </c>
      <c r="K138" s="16">
        <f t="shared" si="16"/>
        <v>34780</v>
      </c>
      <c r="L138" s="2">
        <f t="shared" si="17"/>
        <v>26</v>
      </c>
      <c r="M138" s="25"/>
      <c r="N138" s="26"/>
      <c r="O138" s="27" t="s">
        <v>16</v>
      </c>
      <c r="P138" s="70">
        <v>80000</v>
      </c>
      <c r="Q138" s="70" t="s">
        <v>172</v>
      </c>
      <c r="R138" s="22">
        <v>0</v>
      </c>
      <c r="S138" s="22"/>
      <c r="T138" s="22">
        <v>1</v>
      </c>
      <c r="AE138">
        <f t="shared" si="18"/>
        <v>80000</v>
      </c>
    </row>
    <row r="139" spans="1:31">
      <c r="A139">
        <v>104</v>
      </c>
      <c r="B139" s="21">
        <v>2</v>
      </c>
      <c r="C139" s="22">
        <v>1266</v>
      </c>
      <c r="D139" s="22" t="s">
        <v>174</v>
      </c>
      <c r="E139" s="23" t="s">
        <v>15</v>
      </c>
      <c r="F139" s="24">
        <v>19690124</v>
      </c>
      <c r="G139" s="16">
        <f t="shared" si="14"/>
        <v>25227</v>
      </c>
      <c r="H139" s="2">
        <f t="shared" si="15"/>
        <v>52</v>
      </c>
      <c r="I139" s="17"/>
      <c r="J139" s="25">
        <v>19901205</v>
      </c>
      <c r="K139" s="16">
        <f t="shared" si="16"/>
        <v>33212</v>
      </c>
      <c r="L139" s="2">
        <f t="shared" si="17"/>
        <v>30</v>
      </c>
      <c r="M139" s="25"/>
      <c r="N139" s="26"/>
      <c r="O139" s="27" t="s">
        <v>35</v>
      </c>
      <c r="P139" s="70">
        <v>80000</v>
      </c>
      <c r="Q139" s="70" t="s">
        <v>172</v>
      </c>
      <c r="R139" s="22">
        <v>0</v>
      </c>
      <c r="S139" s="22"/>
      <c r="T139" s="22">
        <v>1</v>
      </c>
      <c r="AE139">
        <f t="shared" si="18"/>
        <v>80000</v>
      </c>
    </row>
    <row r="140" spans="1:31">
      <c r="A140">
        <v>105</v>
      </c>
      <c r="B140" s="21">
        <v>7</v>
      </c>
      <c r="C140" s="22">
        <v>1298</v>
      </c>
      <c r="D140" s="22" t="s">
        <v>175</v>
      </c>
      <c r="E140" s="23" t="s">
        <v>15</v>
      </c>
      <c r="F140" s="24">
        <v>19660716</v>
      </c>
      <c r="G140" s="16">
        <f t="shared" si="14"/>
        <v>24304</v>
      </c>
      <c r="H140" s="2">
        <f t="shared" si="15"/>
        <v>55</v>
      </c>
      <c r="I140" s="17"/>
      <c r="J140" s="25">
        <v>19950121</v>
      </c>
      <c r="K140" s="16">
        <f t="shared" si="16"/>
        <v>34720</v>
      </c>
      <c r="L140" s="2">
        <f t="shared" si="17"/>
        <v>26</v>
      </c>
      <c r="M140" s="25"/>
      <c r="N140" s="26"/>
      <c r="O140" s="27" t="s">
        <v>16</v>
      </c>
      <c r="P140" s="70">
        <v>80000</v>
      </c>
      <c r="Q140" s="70" t="s">
        <v>172</v>
      </c>
      <c r="R140" s="22">
        <v>0</v>
      </c>
      <c r="S140" s="22"/>
      <c r="T140" s="22">
        <v>1</v>
      </c>
      <c r="AE140">
        <f t="shared" si="18"/>
        <v>80000</v>
      </c>
    </row>
    <row r="141" spans="1:31">
      <c r="A141">
        <v>106</v>
      </c>
      <c r="B141" s="21">
        <v>153</v>
      </c>
      <c r="C141" s="22">
        <v>3092</v>
      </c>
      <c r="D141" s="22" t="s">
        <v>176</v>
      </c>
      <c r="E141" s="23" t="s">
        <v>15</v>
      </c>
      <c r="F141" s="24">
        <v>19700208</v>
      </c>
      <c r="G141" s="16">
        <f t="shared" si="14"/>
        <v>25607</v>
      </c>
      <c r="H141" s="2">
        <f t="shared" si="15"/>
        <v>51</v>
      </c>
      <c r="I141" s="17"/>
      <c r="J141" s="25">
        <v>19960321</v>
      </c>
      <c r="K141" s="16">
        <f t="shared" si="16"/>
        <v>35145</v>
      </c>
      <c r="L141" s="2">
        <f t="shared" si="17"/>
        <v>25</v>
      </c>
      <c r="M141" s="25"/>
      <c r="N141" s="26"/>
      <c r="O141" s="27" t="s">
        <v>60</v>
      </c>
      <c r="P141" s="70">
        <v>80000</v>
      </c>
      <c r="Q141" s="70" t="s">
        <v>172</v>
      </c>
      <c r="R141" s="22">
        <v>0</v>
      </c>
      <c r="S141" s="22"/>
      <c r="T141" s="22">
        <v>1</v>
      </c>
      <c r="AE141">
        <f t="shared" si="18"/>
        <v>80000</v>
      </c>
    </row>
    <row r="142" spans="1:31">
      <c r="A142">
        <v>107</v>
      </c>
      <c r="B142" s="21">
        <v>163</v>
      </c>
      <c r="C142" s="22">
        <v>3129</v>
      </c>
      <c r="D142" s="22" t="s">
        <v>177</v>
      </c>
      <c r="E142" s="23" t="s">
        <v>15</v>
      </c>
      <c r="F142" s="24">
        <v>19740219</v>
      </c>
      <c r="G142" s="16">
        <f t="shared" si="14"/>
        <v>27079</v>
      </c>
      <c r="H142" s="2">
        <f t="shared" si="15"/>
        <v>47</v>
      </c>
      <c r="I142" s="17"/>
      <c r="J142" s="25">
        <v>19970321</v>
      </c>
      <c r="K142" s="16">
        <f t="shared" si="16"/>
        <v>35510</v>
      </c>
      <c r="L142" s="2">
        <f t="shared" si="17"/>
        <v>24</v>
      </c>
      <c r="M142" s="25"/>
      <c r="N142" s="26"/>
      <c r="O142" s="27" t="s">
        <v>16</v>
      </c>
      <c r="P142" s="70">
        <v>80000</v>
      </c>
      <c r="Q142" s="70" t="s">
        <v>172</v>
      </c>
      <c r="R142" s="22">
        <v>0</v>
      </c>
      <c r="S142" s="22"/>
      <c r="T142" s="22">
        <v>1</v>
      </c>
      <c r="AE142">
        <f t="shared" si="18"/>
        <v>80000</v>
      </c>
    </row>
    <row r="143" spans="1:31">
      <c r="A143">
        <v>108</v>
      </c>
      <c r="B143" s="21">
        <v>171</v>
      </c>
      <c r="C143" s="22">
        <v>3160</v>
      </c>
      <c r="D143" s="22" t="s">
        <v>178</v>
      </c>
      <c r="E143" s="23" t="s">
        <v>15</v>
      </c>
      <c r="F143" s="24">
        <v>19761015</v>
      </c>
      <c r="G143" s="16">
        <f t="shared" si="14"/>
        <v>28048</v>
      </c>
      <c r="H143" s="2">
        <f t="shared" si="15"/>
        <v>44</v>
      </c>
      <c r="I143" s="17"/>
      <c r="J143" s="25">
        <v>19990322</v>
      </c>
      <c r="K143" s="16">
        <f t="shared" si="16"/>
        <v>36241</v>
      </c>
      <c r="L143" s="2">
        <f t="shared" si="17"/>
        <v>22</v>
      </c>
      <c r="M143" s="25"/>
      <c r="N143" s="26"/>
      <c r="O143" s="27" t="s">
        <v>16</v>
      </c>
      <c r="P143" s="70">
        <v>80000</v>
      </c>
      <c r="Q143" s="70" t="s">
        <v>172</v>
      </c>
      <c r="R143" s="22">
        <v>0</v>
      </c>
      <c r="S143" s="22"/>
      <c r="T143" s="22">
        <v>1</v>
      </c>
      <c r="AE143">
        <f t="shared" si="18"/>
        <v>80000</v>
      </c>
    </row>
    <row r="144" spans="1:31">
      <c r="A144">
        <v>109</v>
      </c>
      <c r="B144" s="21">
        <v>88</v>
      </c>
      <c r="C144" s="22">
        <v>2760</v>
      </c>
      <c r="D144" s="22" t="s">
        <v>179</v>
      </c>
      <c r="E144" s="23" t="s">
        <v>15</v>
      </c>
      <c r="F144" s="24">
        <v>19630518</v>
      </c>
      <c r="G144" s="16">
        <f t="shared" si="14"/>
        <v>23149</v>
      </c>
      <c r="H144" s="2">
        <f t="shared" si="15"/>
        <v>58</v>
      </c>
      <c r="I144" s="17"/>
      <c r="J144" s="25">
        <v>19860326</v>
      </c>
      <c r="K144" s="16">
        <f t="shared" si="16"/>
        <v>31497</v>
      </c>
      <c r="L144" s="2">
        <f t="shared" si="17"/>
        <v>35</v>
      </c>
      <c r="M144" s="25"/>
      <c r="N144" s="26"/>
      <c r="O144" s="27" t="s">
        <v>16</v>
      </c>
      <c r="P144" s="70">
        <v>80000</v>
      </c>
      <c r="Q144" s="70" t="s">
        <v>172</v>
      </c>
      <c r="R144" s="22">
        <v>0</v>
      </c>
      <c r="S144" s="22"/>
      <c r="T144" s="22">
        <v>1</v>
      </c>
      <c r="AE144">
        <f t="shared" si="18"/>
        <v>80000</v>
      </c>
    </row>
    <row r="145" spans="1:31">
      <c r="A145">
        <v>110</v>
      </c>
      <c r="B145" s="21">
        <v>176</v>
      </c>
      <c r="C145" s="22">
        <v>3169</v>
      </c>
      <c r="D145" s="22" t="s">
        <v>180</v>
      </c>
      <c r="E145" s="23" t="s">
        <v>15</v>
      </c>
      <c r="F145" s="24">
        <v>19780810</v>
      </c>
      <c r="G145" s="16">
        <f t="shared" si="14"/>
        <v>28712</v>
      </c>
      <c r="H145" s="2">
        <f t="shared" si="15"/>
        <v>42</v>
      </c>
      <c r="I145" s="17"/>
      <c r="J145" s="25">
        <v>20010321</v>
      </c>
      <c r="K145" s="16">
        <f t="shared" si="16"/>
        <v>36971</v>
      </c>
      <c r="L145" s="2">
        <f t="shared" si="17"/>
        <v>20</v>
      </c>
      <c r="M145" s="25"/>
      <c r="N145" s="26"/>
      <c r="O145" s="27" t="s">
        <v>16</v>
      </c>
      <c r="P145" s="70">
        <v>80000</v>
      </c>
      <c r="Q145" s="70" t="s">
        <v>172</v>
      </c>
      <c r="R145" s="22">
        <v>0</v>
      </c>
      <c r="S145" s="22"/>
      <c r="T145" s="22">
        <v>1</v>
      </c>
      <c r="AE145">
        <f t="shared" si="18"/>
        <v>80000</v>
      </c>
    </row>
    <row r="146" spans="1:31">
      <c r="A146">
        <v>111</v>
      </c>
      <c r="B146" s="21">
        <v>180</v>
      </c>
      <c r="C146" s="22">
        <v>3181</v>
      </c>
      <c r="D146" s="22" t="s">
        <v>181</v>
      </c>
      <c r="E146" s="23" t="s">
        <v>15</v>
      </c>
      <c r="F146" s="24">
        <v>19790703</v>
      </c>
      <c r="G146" s="16">
        <f t="shared" si="14"/>
        <v>29039</v>
      </c>
      <c r="H146" s="2">
        <f t="shared" si="15"/>
        <v>42</v>
      </c>
      <c r="I146" s="17"/>
      <c r="J146" s="25">
        <v>20020322</v>
      </c>
      <c r="K146" s="16">
        <f t="shared" si="16"/>
        <v>37337</v>
      </c>
      <c r="L146" s="2">
        <f t="shared" si="17"/>
        <v>19</v>
      </c>
      <c r="M146" s="25"/>
      <c r="N146" s="26"/>
      <c r="O146" s="27" t="s">
        <v>16</v>
      </c>
      <c r="P146" s="70">
        <v>80000</v>
      </c>
      <c r="Q146" s="70" t="s">
        <v>172</v>
      </c>
      <c r="R146" s="22">
        <v>0</v>
      </c>
      <c r="S146" s="22"/>
      <c r="T146" s="22">
        <v>1</v>
      </c>
      <c r="AE146">
        <f t="shared" si="18"/>
        <v>80000</v>
      </c>
    </row>
    <row r="147" spans="1:31">
      <c r="A147">
        <v>112</v>
      </c>
      <c r="B147" s="21">
        <v>186</v>
      </c>
      <c r="C147" s="22">
        <v>3193</v>
      </c>
      <c r="D147" s="22" t="s">
        <v>182</v>
      </c>
      <c r="E147" s="23" t="s">
        <v>15</v>
      </c>
      <c r="F147" s="24">
        <v>19810207</v>
      </c>
      <c r="G147" s="16">
        <f t="shared" si="14"/>
        <v>29624</v>
      </c>
      <c r="H147" s="2">
        <f t="shared" si="15"/>
        <v>40</v>
      </c>
      <c r="I147" s="17"/>
      <c r="J147" s="25">
        <v>20030321</v>
      </c>
      <c r="K147" s="16">
        <f t="shared" si="16"/>
        <v>37701</v>
      </c>
      <c r="L147" s="2">
        <f t="shared" si="17"/>
        <v>18</v>
      </c>
      <c r="M147" s="25"/>
      <c r="N147" s="26"/>
      <c r="O147" s="27" t="s">
        <v>16</v>
      </c>
      <c r="P147" s="70">
        <v>80000</v>
      </c>
      <c r="Q147" s="70" t="s">
        <v>172</v>
      </c>
      <c r="R147" s="22">
        <v>0</v>
      </c>
      <c r="S147" s="22"/>
      <c r="T147" s="22">
        <v>1</v>
      </c>
      <c r="AE147">
        <f t="shared" si="18"/>
        <v>80000</v>
      </c>
    </row>
    <row r="148" spans="1:31">
      <c r="A148">
        <v>113</v>
      </c>
      <c r="B148" s="21">
        <v>20</v>
      </c>
      <c r="C148" s="22">
        <v>1344</v>
      </c>
      <c r="D148" s="22" t="s">
        <v>183</v>
      </c>
      <c r="E148" s="23" t="s">
        <v>15</v>
      </c>
      <c r="F148" s="24">
        <v>19790805</v>
      </c>
      <c r="G148" s="16">
        <f t="shared" si="14"/>
        <v>29072</v>
      </c>
      <c r="H148" s="2">
        <f t="shared" si="15"/>
        <v>41</v>
      </c>
      <c r="I148" s="17"/>
      <c r="J148" s="25">
        <v>20080303</v>
      </c>
      <c r="K148" s="16">
        <f t="shared" si="16"/>
        <v>39510</v>
      </c>
      <c r="L148" s="2">
        <f t="shared" si="17"/>
        <v>13</v>
      </c>
      <c r="M148" s="25"/>
      <c r="N148" s="26"/>
      <c r="O148" s="27" t="s">
        <v>16</v>
      </c>
      <c r="P148" s="70">
        <v>80000</v>
      </c>
      <c r="Q148" s="70" t="s">
        <v>172</v>
      </c>
      <c r="R148" s="22">
        <v>0</v>
      </c>
      <c r="S148" s="22"/>
      <c r="T148" s="22">
        <v>1</v>
      </c>
      <c r="AE148">
        <f t="shared" si="18"/>
        <v>80000</v>
      </c>
    </row>
    <row r="149" spans="1:31">
      <c r="A149">
        <v>114</v>
      </c>
      <c r="B149" s="21">
        <v>89</v>
      </c>
      <c r="C149" s="22">
        <v>2761</v>
      </c>
      <c r="D149" s="22" t="s">
        <v>184</v>
      </c>
      <c r="E149" s="23" t="s">
        <v>15</v>
      </c>
      <c r="F149" s="24">
        <v>19640122</v>
      </c>
      <c r="G149" s="16">
        <f t="shared" si="14"/>
        <v>23398</v>
      </c>
      <c r="H149" s="2">
        <f t="shared" si="15"/>
        <v>57</v>
      </c>
      <c r="I149" s="17"/>
      <c r="J149" s="25">
        <v>19860326</v>
      </c>
      <c r="K149" s="16">
        <f t="shared" si="16"/>
        <v>31497</v>
      </c>
      <c r="L149" s="2">
        <f t="shared" si="17"/>
        <v>35</v>
      </c>
      <c r="M149" s="25"/>
      <c r="N149" s="26"/>
      <c r="O149" s="27" t="s">
        <v>16</v>
      </c>
      <c r="P149" s="70">
        <v>80000</v>
      </c>
      <c r="Q149" s="70" t="s">
        <v>172</v>
      </c>
      <c r="R149" s="22">
        <v>0</v>
      </c>
      <c r="S149" s="22"/>
      <c r="T149" s="22">
        <v>1</v>
      </c>
      <c r="AE149">
        <f t="shared" si="18"/>
        <v>80000</v>
      </c>
    </row>
    <row r="150" spans="1:31">
      <c r="A150">
        <v>115</v>
      </c>
      <c r="B150" s="21">
        <v>185</v>
      </c>
      <c r="C150" s="22">
        <v>3192</v>
      </c>
      <c r="D150" s="22" t="s">
        <v>185</v>
      </c>
      <c r="E150" s="23" t="s">
        <v>15</v>
      </c>
      <c r="F150" s="24">
        <v>19810317</v>
      </c>
      <c r="G150" s="16">
        <f t="shared" si="14"/>
        <v>29662</v>
      </c>
      <c r="H150" s="2">
        <f t="shared" si="15"/>
        <v>40</v>
      </c>
      <c r="I150" s="17"/>
      <c r="J150" s="25">
        <v>20030321</v>
      </c>
      <c r="K150" s="16">
        <f t="shared" si="16"/>
        <v>37701</v>
      </c>
      <c r="L150" s="2">
        <f t="shared" si="17"/>
        <v>18</v>
      </c>
      <c r="M150" s="25"/>
      <c r="N150" s="26"/>
      <c r="O150" s="27" t="s">
        <v>16</v>
      </c>
      <c r="P150" s="70">
        <v>80000</v>
      </c>
      <c r="Q150" s="70" t="s">
        <v>172</v>
      </c>
      <c r="R150" s="22">
        <v>0</v>
      </c>
      <c r="S150" s="22"/>
      <c r="T150" s="22">
        <v>1</v>
      </c>
      <c r="AE150">
        <f t="shared" si="18"/>
        <v>80000</v>
      </c>
    </row>
    <row r="151" spans="1:31">
      <c r="A151">
        <v>116</v>
      </c>
      <c r="B151" s="21">
        <v>187</v>
      </c>
      <c r="C151" s="22">
        <v>3194</v>
      </c>
      <c r="D151" s="22" t="s">
        <v>186</v>
      </c>
      <c r="E151" s="23" t="s">
        <v>15</v>
      </c>
      <c r="F151" s="24">
        <v>19810122</v>
      </c>
      <c r="G151" s="16">
        <f t="shared" si="14"/>
        <v>29608</v>
      </c>
      <c r="H151" s="2">
        <f t="shared" si="15"/>
        <v>40</v>
      </c>
      <c r="I151" s="17"/>
      <c r="J151" s="25">
        <v>20030321</v>
      </c>
      <c r="K151" s="16">
        <f t="shared" si="16"/>
        <v>37701</v>
      </c>
      <c r="L151" s="2">
        <f t="shared" si="17"/>
        <v>18</v>
      </c>
      <c r="M151" s="25"/>
      <c r="N151" s="26"/>
      <c r="O151" s="27" t="s">
        <v>16</v>
      </c>
      <c r="P151" s="70">
        <v>80000</v>
      </c>
      <c r="Q151" s="70" t="s">
        <v>172</v>
      </c>
      <c r="R151" s="22">
        <v>0</v>
      </c>
      <c r="S151" s="22"/>
      <c r="T151" s="22">
        <v>1</v>
      </c>
      <c r="AE151">
        <f t="shared" si="18"/>
        <v>80000</v>
      </c>
    </row>
    <row r="152" spans="1:31">
      <c r="A152">
        <v>117</v>
      </c>
      <c r="B152" s="21">
        <v>202</v>
      </c>
      <c r="C152" s="22">
        <v>3230</v>
      </c>
      <c r="D152" s="22" t="s">
        <v>187</v>
      </c>
      <c r="E152" s="23" t="s">
        <v>15</v>
      </c>
      <c r="F152" s="24">
        <v>19820902</v>
      </c>
      <c r="G152" s="16">
        <f t="shared" si="14"/>
        <v>30196</v>
      </c>
      <c r="H152" s="2">
        <f t="shared" si="15"/>
        <v>38</v>
      </c>
      <c r="I152" s="17"/>
      <c r="J152" s="25">
        <v>20050321</v>
      </c>
      <c r="K152" s="16">
        <f t="shared" si="16"/>
        <v>38432</v>
      </c>
      <c r="L152" s="2">
        <f t="shared" si="17"/>
        <v>16</v>
      </c>
      <c r="M152" s="25"/>
      <c r="N152" s="26"/>
      <c r="O152" s="27" t="s">
        <v>16</v>
      </c>
      <c r="P152" s="70">
        <v>80000</v>
      </c>
      <c r="Q152" s="70" t="s">
        <v>172</v>
      </c>
      <c r="R152" s="22">
        <v>0</v>
      </c>
      <c r="S152" s="22"/>
      <c r="T152" s="22">
        <v>1</v>
      </c>
      <c r="AE152">
        <f t="shared" si="18"/>
        <v>80000</v>
      </c>
    </row>
    <row r="153" spans="1:31">
      <c r="A153">
        <v>118</v>
      </c>
      <c r="B153" s="21">
        <v>175</v>
      </c>
      <c r="C153" s="22">
        <v>3168</v>
      </c>
      <c r="D153" s="22" t="s">
        <v>188</v>
      </c>
      <c r="E153" s="23" t="s">
        <v>15</v>
      </c>
      <c r="F153" s="24">
        <v>19781023</v>
      </c>
      <c r="G153" s="16">
        <f t="shared" si="14"/>
        <v>28786</v>
      </c>
      <c r="H153" s="2">
        <f t="shared" si="15"/>
        <v>42</v>
      </c>
      <c r="I153" s="17"/>
      <c r="J153" s="25">
        <v>20010321</v>
      </c>
      <c r="K153" s="16">
        <f t="shared" si="16"/>
        <v>36971</v>
      </c>
      <c r="L153" s="2">
        <f t="shared" si="17"/>
        <v>20</v>
      </c>
      <c r="M153" s="25"/>
      <c r="N153" s="26"/>
      <c r="O153" s="27" t="s">
        <v>16</v>
      </c>
      <c r="P153" s="70">
        <v>80000</v>
      </c>
      <c r="Q153" s="70" t="s">
        <v>172</v>
      </c>
      <c r="R153" s="22">
        <v>0</v>
      </c>
      <c r="S153" s="22"/>
      <c r="T153" s="22">
        <v>1</v>
      </c>
      <c r="AE153">
        <f t="shared" si="18"/>
        <v>80000</v>
      </c>
    </row>
    <row r="154" spans="1:31">
      <c r="A154">
        <v>119</v>
      </c>
      <c r="B154" s="21">
        <v>193</v>
      </c>
      <c r="C154" s="22">
        <v>3211</v>
      </c>
      <c r="D154" s="22" t="s">
        <v>189</v>
      </c>
      <c r="E154" s="23" t="s">
        <v>15</v>
      </c>
      <c r="F154" s="24">
        <v>19810301</v>
      </c>
      <c r="G154" s="16">
        <f t="shared" si="14"/>
        <v>29646</v>
      </c>
      <c r="H154" s="2">
        <f t="shared" si="15"/>
        <v>40</v>
      </c>
      <c r="I154" s="17"/>
      <c r="J154" s="25">
        <v>20040322</v>
      </c>
      <c r="K154" s="16">
        <f t="shared" si="16"/>
        <v>38068</v>
      </c>
      <c r="L154" s="2">
        <f t="shared" si="17"/>
        <v>17</v>
      </c>
      <c r="M154" s="25"/>
      <c r="N154" s="26"/>
      <c r="O154" s="27" t="s">
        <v>16</v>
      </c>
      <c r="P154" s="70">
        <v>80000</v>
      </c>
      <c r="Q154" s="70" t="s">
        <v>172</v>
      </c>
      <c r="R154" s="22">
        <v>0</v>
      </c>
      <c r="S154" s="22"/>
      <c r="T154" s="22">
        <v>1</v>
      </c>
      <c r="AE154">
        <f t="shared" si="18"/>
        <v>80000</v>
      </c>
    </row>
    <row r="155" spans="1:31">
      <c r="A155">
        <v>120</v>
      </c>
      <c r="B155" s="21">
        <v>194</v>
      </c>
      <c r="C155" s="22">
        <v>3212</v>
      </c>
      <c r="D155" s="22" t="s">
        <v>190</v>
      </c>
      <c r="E155" s="23" t="s">
        <v>15</v>
      </c>
      <c r="F155" s="24">
        <v>19811117</v>
      </c>
      <c r="G155" s="16">
        <f t="shared" si="14"/>
        <v>29907</v>
      </c>
      <c r="H155" s="2">
        <f t="shared" si="15"/>
        <v>39</v>
      </c>
      <c r="I155" s="17"/>
      <c r="J155" s="25">
        <v>20040322</v>
      </c>
      <c r="K155" s="16">
        <f t="shared" si="16"/>
        <v>38068</v>
      </c>
      <c r="L155" s="2">
        <f t="shared" si="17"/>
        <v>17</v>
      </c>
      <c r="M155" s="25"/>
      <c r="N155" s="26"/>
      <c r="O155" s="27" t="s">
        <v>16</v>
      </c>
      <c r="P155" s="70">
        <v>80000</v>
      </c>
      <c r="Q155" s="70" t="s">
        <v>172</v>
      </c>
      <c r="R155" s="22">
        <v>0</v>
      </c>
      <c r="S155" s="22"/>
      <c r="T155" s="22">
        <v>1</v>
      </c>
      <c r="AE155">
        <f t="shared" si="18"/>
        <v>80000</v>
      </c>
    </row>
    <row r="156" spans="1:31">
      <c r="A156">
        <v>121</v>
      </c>
      <c r="B156" s="21">
        <v>207</v>
      </c>
      <c r="C156" s="22">
        <v>3246</v>
      </c>
      <c r="D156" s="22" t="s">
        <v>191</v>
      </c>
      <c r="E156" s="23" t="s">
        <v>15</v>
      </c>
      <c r="F156" s="24">
        <v>19830430</v>
      </c>
      <c r="G156" s="16">
        <f t="shared" si="14"/>
        <v>30436</v>
      </c>
      <c r="H156" s="2">
        <f t="shared" si="15"/>
        <v>38</v>
      </c>
      <c r="I156" s="17"/>
      <c r="J156" s="25">
        <v>20060321</v>
      </c>
      <c r="K156" s="16">
        <f t="shared" si="16"/>
        <v>38797</v>
      </c>
      <c r="L156" s="2">
        <f t="shared" si="17"/>
        <v>15</v>
      </c>
      <c r="M156" s="25"/>
      <c r="N156" s="26"/>
      <c r="O156" s="27" t="s">
        <v>16</v>
      </c>
      <c r="P156" s="70">
        <v>61000</v>
      </c>
      <c r="Q156" s="70" t="s">
        <v>147</v>
      </c>
      <c r="R156" s="22">
        <v>0</v>
      </c>
      <c r="S156" s="22"/>
      <c r="T156" s="22">
        <v>1</v>
      </c>
      <c r="AE156">
        <f t="shared" si="18"/>
        <v>61000</v>
      </c>
    </row>
    <row r="157" spans="1:31">
      <c r="A157">
        <v>122</v>
      </c>
      <c r="B157" s="21">
        <v>221</v>
      </c>
      <c r="C157" s="22">
        <v>3276</v>
      </c>
      <c r="D157" s="22" t="s">
        <v>192</v>
      </c>
      <c r="E157" s="23" t="s">
        <v>15</v>
      </c>
      <c r="F157" s="24">
        <v>19830823</v>
      </c>
      <c r="G157" s="16">
        <f t="shared" si="14"/>
        <v>30551</v>
      </c>
      <c r="H157" s="2">
        <f t="shared" si="15"/>
        <v>37</v>
      </c>
      <c r="I157" s="17"/>
      <c r="J157" s="25">
        <v>20080321</v>
      </c>
      <c r="K157" s="16">
        <f t="shared" si="16"/>
        <v>39528</v>
      </c>
      <c r="L157" s="2">
        <f t="shared" si="17"/>
        <v>13</v>
      </c>
      <c r="M157" s="25"/>
      <c r="N157" s="26"/>
      <c r="O157" s="27" t="s">
        <v>16</v>
      </c>
      <c r="P157" s="70">
        <v>80000</v>
      </c>
      <c r="Q157" s="70" t="s">
        <v>172</v>
      </c>
      <c r="R157" s="22">
        <v>0</v>
      </c>
      <c r="S157" s="22"/>
      <c r="T157" s="22">
        <v>1</v>
      </c>
      <c r="AE157">
        <f t="shared" si="18"/>
        <v>80000</v>
      </c>
    </row>
    <row r="158" spans="1:31">
      <c r="A158">
        <v>123</v>
      </c>
      <c r="B158" s="21">
        <v>231</v>
      </c>
      <c r="C158" s="22">
        <v>3304</v>
      </c>
      <c r="D158" s="22" t="s">
        <v>193</v>
      </c>
      <c r="E158" s="23" t="s">
        <v>15</v>
      </c>
      <c r="F158" s="24">
        <v>19861128</v>
      </c>
      <c r="G158" s="16">
        <f t="shared" si="14"/>
        <v>31744</v>
      </c>
      <c r="H158" s="2">
        <f t="shared" si="15"/>
        <v>34</v>
      </c>
      <c r="I158" s="17"/>
      <c r="J158" s="25">
        <v>20090323</v>
      </c>
      <c r="K158" s="16">
        <f t="shared" si="16"/>
        <v>39895</v>
      </c>
      <c r="L158" s="2">
        <f t="shared" si="17"/>
        <v>12</v>
      </c>
      <c r="M158" s="25"/>
      <c r="N158" s="26"/>
      <c r="O158" s="27" t="s">
        <v>16</v>
      </c>
      <c r="P158" s="70">
        <v>80000</v>
      </c>
      <c r="Q158" s="70" t="s">
        <v>172</v>
      </c>
      <c r="R158" s="22">
        <v>0</v>
      </c>
      <c r="S158" s="22"/>
      <c r="T158" s="22">
        <v>1</v>
      </c>
      <c r="AE158">
        <f t="shared" si="18"/>
        <v>80000</v>
      </c>
    </row>
    <row r="159" spans="1:31">
      <c r="A159">
        <v>124</v>
      </c>
      <c r="B159" s="21">
        <v>232</v>
      </c>
      <c r="C159" s="22">
        <v>3305</v>
      </c>
      <c r="D159" s="22" t="s">
        <v>194</v>
      </c>
      <c r="E159" s="23" t="s">
        <v>15</v>
      </c>
      <c r="F159" s="24">
        <v>19860130</v>
      </c>
      <c r="G159" s="16">
        <f t="shared" si="14"/>
        <v>31442</v>
      </c>
      <c r="H159" s="2">
        <f t="shared" si="15"/>
        <v>35</v>
      </c>
      <c r="I159" s="17"/>
      <c r="J159" s="25">
        <v>20090323</v>
      </c>
      <c r="K159" s="16">
        <f t="shared" si="16"/>
        <v>39895</v>
      </c>
      <c r="L159" s="2">
        <f t="shared" si="17"/>
        <v>12</v>
      </c>
      <c r="M159" s="25"/>
      <c r="N159" s="26"/>
      <c r="O159" s="27" t="s">
        <v>16</v>
      </c>
      <c r="P159" s="70">
        <v>80000</v>
      </c>
      <c r="Q159" s="70" t="s">
        <v>172</v>
      </c>
      <c r="R159" s="22">
        <v>0</v>
      </c>
      <c r="S159" s="22"/>
      <c r="T159" s="22">
        <v>1</v>
      </c>
      <c r="AE159">
        <f t="shared" si="18"/>
        <v>80000</v>
      </c>
    </row>
    <row r="160" spans="1:31">
      <c r="A160">
        <v>125</v>
      </c>
      <c r="B160" s="21">
        <v>237</v>
      </c>
      <c r="C160" s="22">
        <v>3316</v>
      </c>
      <c r="D160" s="22" t="s">
        <v>195</v>
      </c>
      <c r="E160" s="23" t="s">
        <v>15</v>
      </c>
      <c r="F160" s="24">
        <v>19870727</v>
      </c>
      <c r="G160" s="16">
        <f t="shared" si="14"/>
        <v>31985</v>
      </c>
      <c r="H160" s="2">
        <f t="shared" si="15"/>
        <v>34</v>
      </c>
      <c r="I160" s="17"/>
      <c r="J160" s="25">
        <v>20100321</v>
      </c>
      <c r="K160" s="16">
        <f t="shared" si="16"/>
        <v>40258</v>
      </c>
      <c r="L160" s="2">
        <f t="shared" si="17"/>
        <v>11</v>
      </c>
      <c r="M160" s="25"/>
      <c r="N160" s="26"/>
      <c r="O160" s="27" t="s">
        <v>16</v>
      </c>
      <c r="P160" s="70">
        <v>80000</v>
      </c>
      <c r="Q160" s="70" t="s">
        <v>172</v>
      </c>
      <c r="R160" s="22">
        <v>0</v>
      </c>
      <c r="S160" s="22"/>
      <c r="T160" s="22">
        <v>1</v>
      </c>
      <c r="AE160">
        <f t="shared" si="18"/>
        <v>80000</v>
      </c>
    </row>
    <row r="161" spans="1:31">
      <c r="A161">
        <v>126</v>
      </c>
      <c r="B161" s="21">
        <v>238</v>
      </c>
      <c r="C161" s="22">
        <v>3318</v>
      </c>
      <c r="D161" s="22" t="s">
        <v>196</v>
      </c>
      <c r="E161" s="23" t="s">
        <v>15</v>
      </c>
      <c r="F161" s="24">
        <v>19880213</v>
      </c>
      <c r="G161" s="16">
        <f t="shared" si="14"/>
        <v>32186</v>
      </c>
      <c r="H161" s="2">
        <f t="shared" si="15"/>
        <v>33</v>
      </c>
      <c r="I161" s="17"/>
      <c r="J161" s="25">
        <v>20100321</v>
      </c>
      <c r="K161" s="16">
        <f t="shared" si="16"/>
        <v>40258</v>
      </c>
      <c r="L161" s="2">
        <f t="shared" si="17"/>
        <v>11</v>
      </c>
      <c r="M161" s="25"/>
      <c r="N161" s="26"/>
      <c r="O161" s="27" t="s">
        <v>16</v>
      </c>
      <c r="P161" s="70">
        <v>80000</v>
      </c>
      <c r="Q161" s="70" t="s">
        <v>172</v>
      </c>
      <c r="R161" s="22">
        <v>0</v>
      </c>
      <c r="S161" s="22"/>
      <c r="T161" s="22">
        <v>1</v>
      </c>
      <c r="AE161">
        <f t="shared" si="18"/>
        <v>80000</v>
      </c>
    </row>
    <row r="162" spans="1:31">
      <c r="A162">
        <v>127</v>
      </c>
      <c r="B162" s="21">
        <v>243</v>
      </c>
      <c r="C162" s="22">
        <v>3330</v>
      </c>
      <c r="D162" s="22" t="s">
        <v>197</v>
      </c>
      <c r="E162" s="23" t="s">
        <v>15</v>
      </c>
      <c r="F162" s="24">
        <v>19890202</v>
      </c>
      <c r="G162" s="16">
        <f t="shared" si="14"/>
        <v>32541</v>
      </c>
      <c r="H162" s="2">
        <f t="shared" si="15"/>
        <v>32</v>
      </c>
      <c r="I162" s="17"/>
      <c r="J162" s="25">
        <v>20110321</v>
      </c>
      <c r="K162" s="16">
        <f t="shared" si="16"/>
        <v>40623</v>
      </c>
      <c r="L162" s="2">
        <f t="shared" si="17"/>
        <v>10</v>
      </c>
      <c r="M162" s="25"/>
      <c r="N162" s="26"/>
      <c r="O162" s="27" t="s">
        <v>16</v>
      </c>
      <c r="P162" s="70">
        <v>80000</v>
      </c>
      <c r="Q162" s="70" t="s">
        <v>172</v>
      </c>
      <c r="R162" s="22">
        <v>0</v>
      </c>
      <c r="S162" s="22"/>
      <c r="T162" s="22">
        <v>1</v>
      </c>
      <c r="AE162">
        <f t="shared" si="18"/>
        <v>80000</v>
      </c>
    </row>
    <row r="163" spans="1:31">
      <c r="A163">
        <v>128</v>
      </c>
      <c r="B163" s="21">
        <v>247</v>
      </c>
      <c r="C163" s="22">
        <v>3335</v>
      </c>
      <c r="D163" s="22" t="s">
        <v>198</v>
      </c>
      <c r="E163" s="23" t="s">
        <v>15</v>
      </c>
      <c r="F163" s="24">
        <v>19870404</v>
      </c>
      <c r="G163" s="16">
        <f t="shared" si="14"/>
        <v>31871</v>
      </c>
      <c r="H163" s="2">
        <f t="shared" si="15"/>
        <v>34</v>
      </c>
      <c r="I163" s="17"/>
      <c r="J163" s="25">
        <v>20110321</v>
      </c>
      <c r="K163" s="16">
        <f t="shared" si="16"/>
        <v>40623</v>
      </c>
      <c r="L163" s="2">
        <f t="shared" si="17"/>
        <v>10</v>
      </c>
      <c r="M163" s="25"/>
      <c r="N163" s="26"/>
      <c r="O163" s="27" t="s">
        <v>16</v>
      </c>
      <c r="P163" s="70">
        <v>80000</v>
      </c>
      <c r="Q163" s="70" t="s">
        <v>172</v>
      </c>
      <c r="R163" s="22">
        <v>0</v>
      </c>
      <c r="S163" s="22"/>
      <c r="T163" s="22">
        <v>1</v>
      </c>
      <c r="AE163">
        <f t="shared" si="18"/>
        <v>80000</v>
      </c>
    </row>
    <row r="164" spans="1:31">
      <c r="A164">
        <v>129</v>
      </c>
      <c r="B164" s="21">
        <v>248</v>
      </c>
      <c r="C164" s="22">
        <v>3336</v>
      </c>
      <c r="D164" s="22" t="s">
        <v>199</v>
      </c>
      <c r="E164" s="23" t="s">
        <v>15</v>
      </c>
      <c r="F164" s="24">
        <v>19880801</v>
      </c>
      <c r="G164" s="16">
        <f t="shared" ref="G164:G193" si="19">DATE(INT(F164/10000),INT(MOD(F164,10000)/100),MOD(F164,100))</f>
        <v>32356</v>
      </c>
      <c r="H164" s="2">
        <f t="shared" ref="H164:H193" si="20">DATEDIF(G164,$G$4,"Y")</f>
        <v>33</v>
      </c>
      <c r="I164" s="17"/>
      <c r="J164" s="25">
        <v>20110321</v>
      </c>
      <c r="K164" s="16">
        <f t="shared" ref="K164:K193" si="21">DATE(INT(J164/10000),INT(MOD(J164,10000)/100),MOD(J164,100))</f>
        <v>40623</v>
      </c>
      <c r="L164" s="2">
        <f t="shared" ref="L164:L193" si="22">DATEDIF(K164,$G$4,"Y")</f>
        <v>10</v>
      </c>
      <c r="M164" s="25"/>
      <c r="N164" s="26"/>
      <c r="O164" s="27" t="s">
        <v>16</v>
      </c>
      <c r="P164" s="70">
        <v>80000</v>
      </c>
      <c r="Q164" s="70" t="s">
        <v>172</v>
      </c>
      <c r="R164" s="22">
        <v>0</v>
      </c>
      <c r="S164" s="22"/>
      <c r="T164" s="22">
        <v>1</v>
      </c>
      <c r="AE164">
        <f t="shared" si="18"/>
        <v>80000</v>
      </c>
    </row>
    <row r="165" spans="1:31">
      <c r="A165">
        <v>130</v>
      </c>
      <c r="B165" s="21">
        <v>258</v>
      </c>
      <c r="C165" s="22">
        <v>3357</v>
      </c>
      <c r="D165" s="22" t="s">
        <v>200</v>
      </c>
      <c r="E165" s="23" t="s">
        <v>15</v>
      </c>
      <c r="F165" s="24">
        <v>19871130</v>
      </c>
      <c r="G165" s="16">
        <f t="shared" si="19"/>
        <v>32111</v>
      </c>
      <c r="H165" s="2">
        <f t="shared" si="20"/>
        <v>33</v>
      </c>
      <c r="I165" s="17"/>
      <c r="J165" s="25">
        <v>20120321</v>
      </c>
      <c r="K165" s="16">
        <f t="shared" si="21"/>
        <v>40989</v>
      </c>
      <c r="L165" s="2">
        <f t="shared" si="22"/>
        <v>9</v>
      </c>
      <c r="M165" s="25"/>
      <c r="N165" s="26"/>
      <c r="O165" s="27" t="s">
        <v>60</v>
      </c>
      <c r="P165" s="70">
        <v>80000</v>
      </c>
      <c r="Q165" s="70" t="s">
        <v>172</v>
      </c>
      <c r="R165" s="22">
        <v>0</v>
      </c>
      <c r="S165" s="22"/>
      <c r="T165" s="22">
        <v>1</v>
      </c>
      <c r="AE165">
        <f t="shared" si="18"/>
        <v>80000</v>
      </c>
    </row>
    <row r="166" spans="1:31">
      <c r="A166">
        <v>131</v>
      </c>
      <c r="B166" s="21">
        <v>260</v>
      </c>
      <c r="C166" s="22">
        <v>3359</v>
      </c>
      <c r="D166" s="22" t="s">
        <v>201</v>
      </c>
      <c r="E166" s="23" t="s">
        <v>15</v>
      </c>
      <c r="F166" s="24">
        <v>19900113</v>
      </c>
      <c r="G166" s="16">
        <f t="shared" si="19"/>
        <v>32886</v>
      </c>
      <c r="H166" s="2">
        <f t="shared" si="20"/>
        <v>31</v>
      </c>
      <c r="I166" s="17"/>
      <c r="J166" s="25">
        <v>20120321</v>
      </c>
      <c r="K166" s="16">
        <f t="shared" si="21"/>
        <v>40989</v>
      </c>
      <c r="L166" s="2">
        <f t="shared" si="22"/>
        <v>9</v>
      </c>
      <c r="M166" s="25"/>
      <c r="N166" s="26"/>
      <c r="O166" s="27" t="s">
        <v>16</v>
      </c>
      <c r="P166" s="70">
        <v>80000</v>
      </c>
      <c r="Q166" s="70" t="s">
        <v>172</v>
      </c>
      <c r="R166" s="22">
        <v>0</v>
      </c>
      <c r="S166" s="22"/>
      <c r="T166" s="22">
        <v>1</v>
      </c>
      <c r="AE166">
        <f t="shared" si="18"/>
        <v>80000</v>
      </c>
    </row>
    <row r="167" spans="1:31">
      <c r="A167">
        <v>132</v>
      </c>
      <c r="B167" s="21">
        <v>278</v>
      </c>
      <c r="C167" s="22">
        <v>3390</v>
      </c>
      <c r="D167" s="22" t="s">
        <v>202</v>
      </c>
      <c r="E167" s="23" t="s">
        <v>15</v>
      </c>
      <c r="F167" s="24">
        <v>19901013</v>
      </c>
      <c r="G167" s="16">
        <f t="shared" si="19"/>
        <v>33159</v>
      </c>
      <c r="H167" s="2">
        <f t="shared" si="20"/>
        <v>30</v>
      </c>
      <c r="I167" s="17"/>
      <c r="J167" s="25">
        <v>20130321</v>
      </c>
      <c r="K167" s="16">
        <f t="shared" si="21"/>
        <v>41354</v>
      </c>
      <c r="L167" s="2">
        <f t="shared" si="22"/>
        <v>8</v>
      </c>
      <c r="M167" s="25"/>
      <c r="N167" s="26"/>
      <c r="O167" s="27" t="s">
        <v>16</v>
      </c>
      <c r="P167" s="70">
        <v>80000</v>
      </c>
      <c r="Q167" s="70" t="s">
        <v>172</v>
      </c>
      <c r="R167" s="22">
        <v>0</v>
      </c>
      <c r="S167" s="22"/>
      <c r="T167" s="22">
        <v>1</v>
      </c>
      <c r="AE167">
        <f t="shared" si="18"/>
        <v>80000</v>
      </c>
    </row>
    <row r="168" spans="1:31">
      <c r="A168">
        <v>133</v>
      </c>
      <c r="B168" s="21">
        <v>279</v>
      </c>
      <c r="C168" s="22">
        <v>3391</v>
      </c>
      <c r="D168" s="22" t="s">
        <v>203</v>
      </c>
      <c r="E168" s="23" t="s">
        <v>15</v>
      </c>
      <c r="F168" s="24">
        <v>19900828</v>
      </c>
      <c r="G168" s="16">
        <f t="shared" si="19"/>
        <v>33113</v>
      </c>
      <c r="H168" s="2">
        <f t="shared" si="20"/>
        <v>30</v>
      </c>
      <c r="I168" s="17"/>
      <c r="J168" s="25">
        <v>20130321</v>
      </c>
      <c r="K168" s="16">
        <f t="shared" si="21"/>
        <v>41354</v>
      </c>
      <c r="L168" s="2">
        <f t="shared" si="22"/>
        <v>8</v>
      </c>
      <c r="M168" s="25"/>
      <c r="N168" s="26"/>
      <c r="O168" s="27" t="s">
        <v>16</v>
      </c>
      <c r="P168" s="70">
        <v>80000</v>
      </c>
      <c r="Q168" s="70" t="s">
        <v>172</v>
      </c>
      <c r="R168" s="22">
        <v>0</v>
      </c>
      <c r="S168" s="22"/>
      <c r="T168" s="22">
        <v>1</v>
      </c>
      <c r="AE168">
        <f t="shared" si="18"/>
        <v>80000</v>
      </c>
    </row>
    <row r="169" spans="1:31">
      <c r="A169">
        <v>134</v>
      </c>
      <c r="B169" s="21">
        <v>80</v>
      </c>
      <c r="C169" s="22">
        <v>2717</v>
      </c>
      <c r="D169" s="22" t="s">
        <v>204</v>
      </c>
      <c r="E169" s="23" t="s">
        <v>15</v>
      </c>
      <c r="F169" s="24">
        <v>19611210</v>
      </c>
      <c r="G169" s="16">
        <f t="shared" si="19"/>
        <v>22625</v>
      </c>
      <c r="H169" s="2">
        <f t="shared" si="20"/>
        <v>59</v>
      </c>
      <c r="I169" s="17"/>
      <c r="J169" s="25">
        <v>19850325</v>
      </c>
      <c r="K169" s="16">
        <f t="shared" si="21"/>
        <v>31131</v>
      </c>
      <c r="L169" s="2">
        <f t="shared" si="22"/>
        <v>36</v>
      </c>
      <c r="M169" s="25"/>
      <c r="N169" s="26"/>
      <c r="O169" s="27" t="s">
        <v>16</v>
      </c>
      <c r="P169" s="70">
        <v>80000</v>
      </c>
      <c r="Q169" s="70" t="s">
        <v>172</v>
      </c>
      <c r="R169" s="22">
        <v>0</v>
      </c>
      <c r="S169" s="22"/>
      <c r="T169" s="22">
        <v>2</v>
      </c>
      <c r="AE169">
        <f t="shared" si="18"/>
        <v>80000</v>
      </c>
    </row>
    <row r="170" spans="1:31">
      <c r="A170">
        <v>135</v>
      </c>
      <c r="B170" s="21">
        <v>9</v>
      </c>
      <c r="C170" s="22">
        <v>1311</v>
      </c>
      <c r="D170" s="22" t="s">
        <v>205</v>
      </c>
      <c r="E170" s="23" t="s">
        <v>15</v>
      </c>
      <c r="F170" s="24">
        <v>19731130</v>
      </c>
      <c r="G170" s="16">
        <f t="shared" si="19"/>
        <v>26998</v>
      </c>
      <c r="H170" s="2">
        <f t="shared" si="20"/>
        <v>47</v>
      </c>
      <c r="I170" s="17"/>
      <c r="J170" s="25">
        <v>19970321</v>
      </c>
      <c r="K170" s="16">
        <f t="shared" si="21"/>
        <v>35510</v>
      </c>
      <c r="L170" s="2">
        <f t="shared" si="22"/>
        <v>24</v>
      </c>
      <c r="M170" s="25"/>
      <c r="N170" s="26"/>
      <c r="O170" s="27" t="s">
        <v>16</v>
      </c>
      <c r="P170" s="70">
        <v>80000</v>
      </c>
      <c r="Q170" s="70" t="s">
        <v>172</v>
      </c>
      <c r="R170" s="22">
        <v>0</v>
      </c>
      <c r="S170" s="22"/>
      <c r="T170" s="22">
        <v>2</v>
      </c>
      <c r="AE170">
        <f t="shared" si="18"/>
        <v>80000</v>
      </c>
    </row>
    <row r="171" spans="1:31">
      <c r="A171">
        <v>136</v>
      </c>
      <c r="B171" s="21">
        <v>245</v>
      </c>
      <c r="C171" s="22">
        <v>3332</v>
      </c>
      <c r="D171" s="22" t="s">
        <v>206</v>
      </c>
      <c r="E171" s="23" t="s">
        <v>15</v>
      </c>
      <c r="F171" s="24">
        <v>19880826</v>
      </c>
      <c r="G171" s="16">
        <f t="shared" si="19"/>
        <v>32381</v>
      </c>
      <c r="H171" s="2">
        <f t="shared" si="20"/>
        <v>32</v>
      </c>
      <c r="I171" s="17"/>
      <c r="J171" s="25">
        <v>20110321</v>
      </c>
      <c r="K171" s="16">
        <f t="shared" si="21"/>
        <v>40623</v>
      </c>
      <c r="L171" s="2">
        <f t="shared" si="22"/>
        <v>10</v>
      </c>
      <c r="M171" s="25"/>
      <c r="N171" s="26"/>
      <c r="O171" s="27" t="s">
        <v>16</v>
      </c>
      <c r="P171" s="70">
        <v>80000</v>
      </c>
      <c r="Q171" s="70" t="s">
        <v>172</v>
      </c>
      <c r="R171" s="22">
        <v>0</v>
      </c>
      <c r="S171" s="22"/>
      <c r="T171" s="22">
        <v>2</v>
      </c>
      <c r="AE171">
        <f t="shared" si="18"/>
        <v>80000</v>
      </c>
    </row>
    <row r="172" spans="1:31">
      <c r="A172">
        <v>137</v>
      </c>
      <c r="B172" s="21">
        <v>288</v>
      </c>
      <c r="C172" s="22">
        <v>3409</v>
      </c>
      <c r="D172" s="22" t="s">
        <v>207</v>
      </c>
      <c r="E172" s="23" t="s">
        <v>15</v>
      </c>
      <c r="F172" s="24">
        <v>19890511</v>
      </c>
      <c r="G172" s="16">
        <f t="shared" si="19"/>
        <v>32639</v>
      </c>
      <c r="H172" s="2">
        <f t="shared" si="20"/>
        <v>32</v>
      </c>
      <c r="I172" s="17"/>
      <c r="J172" s="25">
        <v>20140321</v>
      </c>
      <c r="K172" s="16">
        <f t="shared" si="21"/>
        <v>41719</v>
      </c>
      <c r="L172" s="2">
        <f t="shared" si="22"/>
        <v>7</v>
      </c>
      <c r="M172" s="25"/>
      <c r="N172" s="26"/>
      <c r="O172" s="27" t="s">
        <v>60</v>
      </c>
      <c r="P172" s="70">
        <v>80000</v>
      </c>
      <c r="Q172" s="70" t="s">
        <v>172</v>
      </c>
      <c r="R172" s="22">
        <v>0</v>
      </c>
      <c r="S172" s="22"/>
      <c r="T172" s="22">
        <v>2</v>
      </c>
      <c r="AE172">
        <f t="shared" si="18"/>
        <v>80000</v>
      </c>
    </row>
    <row r="173" spans="1:31">
      <c r="A173">
        <v>138</v>
      </c>
      <c r="B173" s="21">
        <v>289</v>
      </c>
      <c r="C173" s="22">
        <v>3410</v>
      </c>
      <c r="D173" s="22" t="s">
        <v>208</v>
      </c>
      <c r="E173" s="23" t="s">
        <v>15</v>
      </c>
      <c r="F173" s="24">
        <v>19910720</v>
      </c>
      <c r="G173" s="16">
        <f t="shared" si="19"/>
        <v>33439</v>
      </c>
      <c r="H173" s="2">
        <f t="shared" si="20"/>
        <v>30</v>
      </c>
      <c r="I173" s="17"/>
      <c r="J173" s="25">
        <v>20140321</v>
      </c>
      <c r="K173" s="16">
        <f t="shared" si="21"/>
        <v>41719</v>
      </c>
      <c r="L173" s="2">
        <f t="shared" si="22"/>
        <v>7</v>
      </c>
      <c r="M173" s="25"/>
      <c r="N173" s="26"/>
      <c r="O173" s="27" t="s">
        <v>16</v>
      </c>
      <c r="P173" s="70">
        <v>80000</v>
      </c>
      <c r="Q173" s="70" t="s">
        <v>172</v>
      </c>
      <c r="R173" s="22">
        <v>0</v>
      </c>
      <c r="S173" s="22"/>
      <c r="T173" s="22">
        <v>2</v>
      </c>
      <c r="AE173">
        <f t="shared" si="18"/>
        <v>80000</v>
      </c>
    </row>
    <row r="174" spans="1:31">
      <c r="A174">
        <v>139</v>
      </c>
      <c r="B174" s="21">
        <v>299</v>
      </c>
      <c r="C174" s="22">
        <v>3429</v>
      </c>
      <c r="D174" s="22" t="s">
        <v>209</v>
      </c>
      <c r="E174" s="23" t="s">
        <v>15</v>
      </c>
      <c r="F174" s="24">
        <v>19921212</v>
      </c>
      <c r="G174" s="16">
        <f t="shared" si="19"/>
        <v>33950</v>
      </c>
      <c r="H174" s="2">
        <f t="shared" si="20"/>
        <v>28</v>
      </c>
      <c r="I174" s="17"/>
      <c r="J174" s="25">
        <v>20150401</v>
      </c>
      <c r="K174" s="16">
        <f t="shared" si="21"/>
        <v>42095</v>
      </c>
      <c r="L174" s="2">
        <f t="shared" si="22"/>
        <v>6</v>
      </c>
      <c r="M174" s="25"/>
      <c r="N174" s="26"/>
      <c r="O174" s="27" t="s">
        <v>16</v>
      </c>
      <c r="P174" s="70">
        <v>80000</v>
      </c>
      <c r="Q174" s="70" t="s">
        <v>172</v>
      </c>
      <c r="R174" s="22">
        <v>0</v>
      </c>
      <c r="S174" s="22"/>
      <c r="T174" s="22">
        <v>2</v>
      </c>
      <c r="AE174">
        <f t="shared" si="18"/>
        <v>80000</v>
      </c>
    </row>
    <row r="175" spans="1:31">
      <c r="A175">
        <v>140</v>
      </c>
      <c r="B175" s="21">
        <v>300</v>
      </c>
      <c r="C175" s="22">
        <v>3430</v>
      </c>
      <c r="D175" s="22" t="s">
        <v>210</v>
      </c>
      <c r="E175" s="23" t="s">
        <v>15</v>
      </c>
      <c r="F175" s="24">
        <v>19930218</v>
      </c>
      <c r="G175" s="16">
        <f t="shared" si="19"/>
        <v>34018</v>
      </c>
      <c r="H175" s="2">
        <f t="shared" si="20"/>
        <v>28</v>
      </c>
      <c r="I175" s="17"/>
      <c r="J175" s="25">
        <v>20150401</v>
      </c>
      <c r="K175" s="16">
        <f t="shared" si="21"/>
        <v>42095</v>
      </c>
      <c r="L175" s="2">
        <f t="shared" si="22"/>
        <v>6</v>
      </c>
      <c r="M175" s="25"/>
      <c r="N175" s="26"/>
      <c r="O175" s="27" t="s">
        <v>16</v>
      </c>
      <c r="P175" s="70">
        <v>80000</v>
      </c>
      <c r="Q175" s="70" t="s">
        <v>172</v>
      </c>
      <c r="R175" s="22">
        <v>0</v>
      </c>
      <c r="S175" s="22"/>
      <c r="T175" s="22">
        <v>2</v>
      </c>
      <c r="AE175">
        <f t="shared" si="18"/>
        <v>80000</v>
      </c>
    </row>
    <row r="176" spans="1:31">
      <c r="A176">
        <v>141</v>
      </c>
      <c r="B176" s="21">
        <v>316</v>
      </c>
      <c r="C176" s="22">
        <v>3452</v>
      </c>
      <c r="D176" s="22" t="s">
        <v>211</v>
      </c>
      <c r="E176" s="23" t="s">
        <v>15</v>
      </c>
      <c r="F176" s="24">
        <v>19930609</v>
      </c>
      <c r="G176" s="16">
        <f t="shared" si="19"/>
        <v>34129</v>
      </c>
      <c r="H176" s="2">
        <f t="shared" si="20"/>
        <v>28</v>
      </c>
      <c r="I176" s="17"/>
      <c r="J176" s="25">
        <v>20160401</v>
      </c>
      <c r="K176" s="16">
        <f t="shared" si="21"/>
        <v>42461</v>
      </c>
      <c r="L176" s="2">
        <f t="shared" si="22"/>
        <v>5</v>
      </c>
      <c r="M176" s="25"/>
      <c r="N176" s="26"/>
      <c r="O176" s="27" t="s">
        <v>16</v>
      </c>
      <c r="P176" s="70">
        <v>80000</v>
      </c>
      <c r="Q176" s="70" t="s">
        <v>172</v>
      </c>
      <c r="R176" s="22">
        <v>0</v>
      </c>
      <c r="S176" s="22"/>
      <c r="T176" s="22">
        <v>2</v>
      </c>
      <c r="AE176">
        <f t="shared" si="18"/>
        <v>80000</v>
      </c>
    </row>
    <row r="177" spans="1:31">
      <c r="A177">
        <v>142</v>
      </c>
      <c r="B177" s="21">
        <v>330</v>
      </c>
      <c r="C177" s="22">
        <v>3472</v>
      </c>
      <c r="D177" s="22" t="s">
        <v>212</v>
      </c>
      <c r="E177" s="23" t="s">
        <v>15</v>
      </c>
      <c r="F177" s="24">
        <v>19941001</v>
      </c>
      <c r="G177" s="16">
        <f t="shared" si="19"/>
        <v>34608</v>
      </c>
      <c r="H177" s="2">
        <f t="shared" si="20"/>
        <v>26</v>
      </c>
      <c r="I177" s="17"/>
      <c r="J177" s="25">
        <v>20170403</v>
      </c>
      <c r="K177" s="16">
        <f t="shared" si="21"/>
        <v>42828</v>
      </c>
      <c r="L177" s="2">
        <f t="shared" si="22"/>
        <v>4</v>
      </c>
      <c r="M177" s="25"/>
      <c r="N177" s="26"/>
      <c r="O177" s="27">
        <v>8</v>
      </c>
      <c r="P177" s="70">
        <v>80000</v>
      </c>
      <c r="Q177" s="70" t="s">
        <v>172</v>
      </c>
      <c r="R177" s="22">
        <v>0</v>
      </c>
      <c r="S177" s="22"/>
      <c r="T177" s="22">
        <v>2</v>
      </c>
      <c r="AE177">
        <f t="shared" si="18"/>
        <v>80000</v>
      </c>
    </row>
    <row r="178" spans="1:31">
      <c r="A178">
        <v>143</v>
      </c>
      <c r="B178" s="21">
        <v>342</v>
      </c>
      <c r="C178" s="22">
        <v>3488</v>
      </c>
      <c r="D178" s="22" t="s">
        <v>213</v>
      </c>
      <c r="E178" s="23" t="s">
        <v>15</v>
      </c>
      <c r="F178" s="24">
        <v>19950323</v>
      </c>
      <c r="G178" s="16">
        <f t="shared" si="19"/>
        <v>34781</v>
      </c>
      <c r="H178" s="2">
        <f t="shared" si="20"/>
        <v>26</v>
      </c>
      <c r="I178" s="17"/>
      <c r="J178" s="25">
        <v>20180402</v>
      </c>
      <c r="K178" s="16">
        <f t="shared" si="21"/>
        <v>43192</v>
      </c>
      <c r="L178" s="2">
        <f t="shared" si="22"/>
        <v>3</v>
      </c>
      <c r="M178" s="25"/>
      <c r="N178" s="26"/>
      <c r="O178" s="27">
        <v>8</v>
      </c>
      <c r="P178" s="70">
        <v>80000</v>
      </c>
      <c r="Q178" s="70" t="s">
        <v>172</v>
      </c>
      <c r="R178" s="22">
        <v>0</v>
      </c>
      <c r="S178" s="22"/>
      <c r="T178" s="22">
        <v>2</v>
      </c>
      <c r="AE178">
        <f t="shared" si="18"/>
        <v>80000</v>
      </c>
    </row>
    <row r="179" spans="1:31">
      <c r="A179">
        <v>144</v>
      </c>
      <c r="B179" s="21">
        <v>350</v>
      </c>
      <c r="C179" s="22">
        <v>3499</v>
      </c>
      <c r="D179" s="22" t="s">
        <v>214</v>
      </c>
      <c r="E179" s="23" t="s">
        <v>15</v>
      </c>
      <c r="F179" s="24">
        <v>19961008</v>
      </c>
      <c r="G179" s="16">
        <f t="shared" si="19"/>
        <v>35346</v>
      </c>
      <c r="H179" s="2">
        <f t="shared" si="20"/>
        <v>24</v>
      </c>
      <c r="I179" s="17"/>
      <c r="J179" s="25">
        <v>20190401</v>
      </c>
      <c r="K179" s="16">
        <f t="shared" si="21"/>
        <v>43556</v>
      </c>
      <c r="L179" s="2">
        <f t="shared" si="22"/>
        <v>2</v>
      </c>
      <c r="M179" s="25"/>
      <c r="N179" s="26"/>
      <c r="O179" s="27">
        <v>8</v>
      </c>
      <c r="P179" s="70">
        <v>80000</v>
      </c>
      <c r="Q179" s="70" t="s">
        <v>172</v>
      </c>
      <c r="R179" s="22">
        <v>0</v>
      </c>
      <c r="S179" s="22"/>
      <c r="T179" s="22">
        <v>2</v>
      </c>
      <c r="AE179">
        <f t="shared" si="18"/>
        <v>80000</v>
      </c>
    </row>
    <row r="180" spans="1:31">
      <c r="A180">
        <v>145</v>
      </c>
      <c r="B180" s="21">
        <v>353</v>
      </c>
      <c r="C180" s="22">
        <v>3502</v>
      </c>
      <c r="D180" s="22" t="s">
        <v>215</v>
      </c>
      <c r="E180" s="23" t="s">
        <v>15</v>
      </c>
      <c r="F180" s="24">
        <v>19951027</v>
      </c>
      <c r="G180" s="16">
        <f t="shared" si="19"/>
        <v>34999</v>
      </c>
      <c r="H180" s="2">
        <f t="shared" si="20"/>
        <v>25</v>
      </c>
      <c r="I180" s="17"/>
      <c r="J180" s="25">
        <v>20190401</v>
      </c>
      <c r="K180" s="16">
        <f t="shared" si="21"/>
        <v>43556</v>
      </c>
      <c r="L180" s="2">
        <f t="shared" si="22"/>
        <v>2</v>
      </c>
      <c r="M180" s="25"/>
      <c r="N180" s="26"/>
      <c r="O180" s="27">
        <v>8</v>
      </c>
      <c r="P180" s="70">
        <v>80000</v>
      </c>
      <c r="Q180" s="70" t="s">
        <v>172</v>
      </c>
      <c r="R180" s="22">
        <v>0</v>
      </c>
      <c r="S180" s="22"/>
      <c r="T180" s="22">
        <v>2</v>
      </c>
      <c r="AE180">
        <f t="shared" si="18"/>
        <v>80000</v>
      </c>
    </row>
    <row r="181" spans="1:31">
      <c r="A181">
        <v>146</v>
      </c>
      <c r="B181" s="21">
        <v>363</v>
      </c>
      <c r="C181" s="22">
        <v>3516</v>
      </c>
      <c r="D181" s="22" t="s">
        <v>216</v>
      </c>
      <c r="E181" s="23" t="s">
        <v>635</v>
      </c>
      <c r="F181" s="24">
        <v>19960822</v>
      </c>
      <c r="G181" s="16">
        <f t="shared" si="19"/>
        <v>35299</v>
      </c>
      <c r="H181" s="2">
        <f t="shared" si="20"/>
        <v>24</v>
      </c>
      <c r="I181" s="17"/>
      <c r="J181" s="25">
        <v>20200401</v>
      </c>
      <c r="K181" s="16">
        <f t="shared" si="21"/>
        <v>43922</v>
      </c>
      <c r="L181" s="2">
        <f t="shared" si="22"/>
        <v>1</v>
      </c>
      <c r="M181" s="25"/>
      <c r="N181" s="26"/>
      <c r="O181" s="27">
        <v>8</v>
      </c>
      <c r="P181" s="70">
        <v>80000</v>
      </c>
      <c r="Q181" s="70" t="s">
        <v>172</v>
      </c>
      <c r="R181" s="22">
        <v>1</v>
      </c>
      <c r="S181" s="22" t="s">
        <v>636</v>
      </c>
      <c r="T181" s="22">
        <v>2</v>
      </c>
      <c r="AE181">
        <f t="shared" si="18"/>
        <v>80000</v>
      </c>
    </row>
    <row r="182" spans="1:31">
      <c r="A182">
        <v>147</v>
      </c>
      <c r="B182" s="21">
        <v>120</v>
      </c>
      <c r="C182" s="22">
        <v>2962</v>
      </c>
      <c r="D182" s="22" t="s">
        <v>217</v>
      </c>
      <c r="E182" s="23" t="s">
        <v>15</v>
      </c>
      <c r="F182" s="24">
        <v>19700502</v>
      </c>
      <c r="G182" s="16">
        <f t="shared" si="19"/>
        <v>25690</v>
      </c>
      <c r="H182" s="2">
        <f t="shared" si="20"/>
        <v>51</v>
      </c>
      <c r="I182" s="17"/>
      <c r="J182" s="25">
        <v>19940322</v>
      </c>
      <c r="K182" s="16">
        <f t="shared" si="21"/>
        <v>34415</v>
      </c>
      <c r="L182" s="2">
        <f t="shared" si="22"/>
        <v>27</v>
      </c>
      <c r="M182" s="25"/>
      <c r="N182" s="26"/>
      <c r="O182" s="27" t="s">
        <v>16</v>
      </c>
      <c r="P182" s="70">
        <v>90000</v>
      </c>
      <c r="Q182" s="70" t="s">
        <v>218</v>
      </c>
      <c r="R182" s="22">
        <v>0</v>
      </c>
      <c r="S182" s="22"/>
      <c r="T182" s="22">
        <v>1</v>
      </c>
      <c r="AE182">
        <f t="shared" si="18"/>
        <v>90000</v>
      </c>
    </row>
    <row r="183" spans="1:31">
      <c r="A183">
        <v>148</v>
      </c>
      <c r="B183" s="21">
        <v>152</v>
      </c>
      <c r="C183" s="22">
        <v>3084</v>
      </c>
      <c r="D183" s="22" t="s">
        <v>219</v>
      </c>
      <c r="E183" s="23" t="s">
        <v>15</v>
      </c>
      <c r="F183" s="24">
        <v>19730105</v>
      </c>
      <c r="G183" s="16">
        <f t="shared" si="19"/>
        <v>26669</v>
      </c>
      <c r="H183" s="2">
        <f t="shared" si="20"/>
        <v>48</v>
      </c>
      <c r="I183" s="17"/>
      <c r="J183" s="25">
        <v>19950322</v>
      </c>
      <c r="K183" s="16">
        <f t="shared" si="21"/>
        <v>34780</v>
      </c>
      <c r="L183" s="2">
        <f t="shared" si="22"/>
        <v>26</v>
      </c>
      <c r="M183" s="25"/>
      <c r="N183" s="26"/>
      <c r="O183" s="27" t="s">
        <v>16</v>
      </c>
      <c r="P183" s="70">
        <v>90000</v>
      </c>
      <c r="Q183" s="70" t="s">
        <v>218</v>
      </c>
      <c r="R183" s="22">
        <v>0</v>
      </c>
      <c r="S183" s="22"/>
      <c r="T183" s="22">
        <v>1</v>
      </c>
      <c r="AE183">
        <f t="shared" si="18"/>
        <v>90000</v>
      </c>
    </row>
    <row r="184" spans="1:31">
      <c r="A184">
        <v>149</v>
      </c>
      <c r="B184" s="21">
        <v>97</v>
      </c>
      <c r="C184" s="22">
        <v>2809</v>
      </c>
      <c r="D184" s="22" t="s">
        <v>220</v>
      </c>
      <c r="E184" s="23" t="s">
        <v>15</v>
      </c>
      <c r="F184" s="24">
        <v>19680902</v>
      </c>
      <c r="G184" s="16">
        <f t="shared" si="19"/>
        <v>25083</v>
      </c>
      <c r="H184" s="2">
        <f t="shared" si="20"/>
        <v>52</v>
      </c>
      <c r="I184" s="17"/>
      <c r="J184" s="25">
        <v>19870326</v>
      </c>
      <c r="K184" s="16">
        <f t="shared" si="21"/>
        <v>31862</v>
      </c>
      <c r="L184" s="2">
        <f t="shared" si="22"/>
        <v>34</v>
      </c>
      <c r="M184" s="25"/>
      <c r="N184" s="26"/>
      <c r="O184" s="27" t="s">
        <v>35</v>
      </c>
      <c r="P184" s="70">
        <v>21000</v>
      </c>
      <c r="Q184" s="70" t="s">
        <v>638</v>
      </c>
      <c r="R184" s="22">
        <v>0</v>
      </c>
      <c r="S184" s="22"/>
      <c r="T184" s="22">
        <v>1</v>
      </c>
      <c r="AE184">
        <f t="shared" si="18"/>
        <v>21000</v>
      </c>
    </row>
    <row r="185" spans="1:31">
      <c r="A185">
        <v>150</v>
      </c>
      <c r="B185" s="21">
        <v>55</v>
      </c>
      <c r="C185" s="22">
        <v>1401</v>
      </c>
      <c r="D185" s="22" t="s">
        <v>221</v>
      </c>
      <c r="E185" s="23" t="s">
        <v>15</v>
      </c>
      <c r="F185" s="24">
        <v>19630907</v>
      </c>
      <c r="G185" s="16">
        <f t="shared" si="19"/>
        <v>23261</v>
      </c>
      <c r="H185" s="2">
        <f t="shared" si="20"/>
        <v>57</v>
      </c>
      <c r="I185" s="17"/>
      <c r="J185" s="25">
        <v>20190301</v>
      </c>
      <c r="K185" s="16">
        <f t="shared" si="21"/>
        <v>43525</v>
      </c>
      <c r="L185" s="2">
        <f t="shared" si="22"/>
        <v>2</v>
      </c>
      <c r="M185" s="25"/>
      <c r="N185" s="26"/>
      <c r="O185" s="27">
        <v>6</v>
      </c>
      <c r="P185" s="70">
        <v>90000</v>
      </c>
      <c r="Q185" s="70" t="s">
        <v>218</v>
      </c>
      <c r="R185" s="22">
        <v>0</v>
      </c>
      <c r="S185" s="22"/>
      <c r="T185" s="22">
        <v>1</v>
      </c>
      <c r="AE185">
        <f t="shared" si="18"/>
        <v>90000</v>
      </c>
    </row>
    <row r="186" spans="1:31">
      <c r="A186">
        <v>151</v>
      </c>
      <c r="B186" s="21">
        <v>132</v>
      </c>
      <c r="C186" s="22">
        <v>3014</v>
      </c>
      <c r="D186" s="22" t="s">
        <v>222</v>
      </c>
      <c r="E186" s="23" t="s">
        <v>15</v>
      </c>
      <c r="F186" s="24">
        <v>19700419</v>
      </c>
      <c r="G186" s="16">
        <f t="shared" si="19"/>
        <v>25677</v>
      </c>
      <c r="H186" s="2">
        <f t="shared" si="20"/>
        <v>51</v>
      </c>
      <c r="I186" s="17"/>
      <c r="J186" s="25">
        <v>19950322</v>
      </c>
      <c r="K186" s="16">
        <f t="shared" si="21"/>
        <v>34780</v>
      </c>
      <c r="L186" s="2">
        <f t="shared" si="22"/>
        <v>26</v>
      </c>
      <c r="M186" s="25"/>
      <c r="N186" s="26"/>
      <c r="O186" s="27" t="s">
        <v>16</v>
      </c>
      <c r="P186" s="70">
        <v>60100</v>
      </c>
      <c r="Q186" s="70" t="s">
        <v>639</v>
      </c>
      <c r="R186" s="22">
        <v>0</v>
      </c>
      <c r="S186" s="22"/>
      <c r="T186" s="22">
        <v>1</v>
      </c>
      <c r="AE186">
        <f t="shared" si="18"/>
        <v>60100</v>
      </c>
    </row>
    <row r="187" spans="1:31">
      <c r="A187">
        <v>152</v>
      </c>
      <c r="B187" s="21">
        <v>8</v>
      </c>
      <c r="C187" s="22">
        <v>1308</v>
      </c>
      <c r="D187" s="22" t="s">
        <v>223</v>
      </c>
      <c r="E187" s="23" t="s">
        <v>15</v>
      </c>
      <c r="F187" s="24">
        <v>19730727</v>
      </c>
      <c r="G187" s="16">
        <f t="shared" si="19"/>
        <v>26872</v>
      </c>
      <c r="H187" s="2">
        <f t="shared" si="20"/>
        <v>48</v>
      </c>
      <c r="I187" s="17"/>
      <c r="J187" s="25">
        <v>20000321</v>
      </c>
      <c r="K187" s="16">
        <f t="shared" si="21"/>
        <v>36606</v>
      </c>
      <c r="L187" s="2">
        <f t="shared" si="22"/>
        <v>21</v>
      </c>
      <c r="M187" s="25"/>
      <c r="N187" s="26"/>
      <c r="O187" s="27" t="s">
        <v>16</v>
      </c>
      <c r="P187" s="70">
        <v>90000</v>
      </c>
      <c r="Q187" s="70" t="s">
        <v>218</v>
      </c>
      <c r="R187" s="22">
        <v>0</v>
      </c>
      <c r="S187" s="22"/>
      <c r="T187" s="22">
        <v>1</v>
      </c>
      <c r="AE187">
        <f t="shared" si="18"/>
        <v>90000</v>
      </c>
    </row>
    <row r="188" spans="1:31">
      <c r="A188">
        <v>153</v>
      </c>
      <c r="B188" s="21">
        <v>209</v>
      </c>
      <c r="C188" s="22">
        <v>3249</v>
      </c>
      <c r="D188" s="22" t="s">
        <v>224</v>
      </c>
      <c r="E188" s="23" t="s">
        <v>15</v>
      </c>
      <c r="F188" s="24">
        <v>19760831</v>
      </c>
      <c r="G188" s="16">
        <f t="shared" si="19"/>
        <v>28003</v>
      </c>
      <c r="H188" s="2">
        <f t="shared" si="20"/>
        <v>44</v>
      </c>
      <c r="I188" s="17"/>
      <c r="J188" s="25">
        <v>20060321</v>
      </c>
      <c r="K188" s="16">
        <f t="shared" si="21"/>
        <v>38797</v>
      </c>
      <c r="L188" s="2">
        <f t="shared" si="22"/>
        <v>15</v>
      </c>
      <c r="M188" s="25"/>
      <c r="N188" s="26"/>
      <c r="O188" s="27" t="s">
        <v>16</v>
      </c>
      <c r="P188" s="70">
        <v>90000</v>
      </c>
      <c r="Q188" s="70" t="s">
        <v>218</v>
      </c>
      <c r="R188" s="22">
        <v>0</v>
      </c>
      <c r="S188" s="22"/>
      <c r="T188" s="22">
        <v>1</v>
      </c>
      <c r="AE188">
        <f t="shared" si="18"/>
        <v>90000</v>
      </c>
    </row>
    <row r="189" spans="1:31">
      <c r="A189">
        <v>154</v>
      </c>
      <c r="B189" s="21">
        <v>409</v>
      </c>
      <c r="C189" s="22">
        <v>3941</v>
      </c>
      <c r="D189" s="22" t="s">
        <v>225</v>
      </c>
      <c r="E189" s="23" t="s">
        <v>15</v>
      </c>
      <c r="F189" s="24">
        <v>19690820</v>
      </c>
      <c r="G189" s="16">
        <f t="shared" si="19"/>
        <v>25435</v>
      </c>
      <c r="H189" s="2">
        <f t="shared" si="20"/>
        <v>51</v>
      </c>
      <c r="I189" s="17"/>
      <c r="J189" s="25">
        <v>20060703</v>
      </c>
      <c r="K189" s="16">
        <f t="shared" si="21"/>
        <v>38901</v>
      </c>
      <c r="L189" s="2">
        <f t="shared" si="22"/>
        <v>15</v>
      </c>
      <c r="M189" s="25"/>
      <c r="N189" s="26"/>
      <c r="O189" s="27" t="s">
        <v>16</v>
      </c>
      <c r="P189" s="70">
        <v>21000</v>
      </c>
      <c r="Q189" s="70" t="s">
        <v>638</v>
      </c>
      <c r="R189" s="22">
        <v>0</v>
      </c>
      <c r="S189" s="22"/>
      <c r="T189" s="22">
        <v>1</v>
      </c>
      <c r="AE189">
        <f t="shared" si="18"/>
        <v>21000</v>
      </c>
    </row>
    <row r="190" spans="1:31">
      <c r="A190">
        <v>155</v>
      </c>
      <c r="B190" s="21">
        <v>203</v>
      </c>
      <c r="C190" s="22">
        <v>3231</v>
      </c>
      <c r="D190" s="22" t="s">
        <v>226</v>
      </c>
      <c r="E190" s="23" t="s">
        <v>15</v>
      </c>
      <c r="F190" s="24">
        <v>19821116</v>
      </c>
      <c r="G190" s="16">
        <f t="shared" si="19"/>
        <v>30271</v>
      </c>
      <c r="H190" s="2">
        <f t="shared" si="20"/>
        <v>38</v>
      </c>
      <c r="I190" s="17"/>
      <c r="J190" s="25">
        <v>20050321</v>
      </c>
      <c r="K190" s="16">
        <f t="shared" si="21"/>
        <v>38432</v>
      </c>
      <c r="L190" s="2">
        <f t="shared" si="22"/>
        <v>16</v>
      </c>
      <c r="M190" s="25"/>
      <c r="N190" s="26"/>
      <c r="O190" s="27" t="s">
        <v>16</v>
      </c>
      <c r="P190" s="70">
        <v>90000</v>
      </c>
      <c r="Q190" s="70" t="s">
        <v>218</v>
      </c>
      <c r="R190" s="22">
        <v>0</v>
      </c>
      <c r="S190" s="22"/>
      <c r="T190" s="22">
        <v>1</v>
      </c>
      <c r="AE190">
        <f t="shared" si="18"/>
        <v>90000</v>
      </c>
    </row>
    <row r="191" spans="1:31">
      <c r="A191">
        <v>156</v>
      </c>
      <c r="B191" s="21">
        <v>259</v>
      </c>
      <c r="C191" s="22">
        <v>3358</v>
      </c>
      <c r="D191" s="22" t="s">
        <v>227</v>
      </c>
      <c r="E191" s="23" t="s">
        <v>15</v>
      </c>
      <c r="F191" s="24">
        <v>19900105</v>
      </c>
      <c r="G191" s="16">
        <f t="shared" si="19"/>
        <v>32878</v>
      </c>
      <c r="H191" s="2">
        <f t="shared" si="20"/>
        <v>31</v>
      </c>
      <c r="I191" s="17"/>
      <c r="J191" s="25">
        <v>20120321</v>
      </c>
      <c r="K191" s="16">
        <f t="shared" si="21"/>
        <v>40989</v>
      </c>
      <c r="L191" s="2">
        <f t="shared" si="22"/>
        <v>9</v>
      </c>
      <c r="M191" s="25"/>
      <c r="N191" s="26"/>
      <c r="O191" s="27" t="s">
        <v>16</v>
      </c>
      <c r="P191" s="70">
        <v>90000</v>
      </c>
      <c r="Q191" s="70" t="s">
        <v>218</v>
      </c>
      <c r="R191" s="22">
        <v>0</v>
      </c>
      <c r="S191" s="22"/>
      <c r="T191" s="22">
        <v>1</v>
      </c>
      <c r="AE191">
        <f t="shared" si="18"/>
        <v>90000</v>
      </c>
    </row>
    <row r="192" spans="1:31">
      <c r="A192">
        <v>157</v>
      </c>
      <c r="B192" s="21">
        <v>36</v>
      </c>
      <c r="C192" s="22">
        <v>1375</v>
      </c>
      <c r="D192" s="22" t="s">
        <v>228</v>
      </c>
      <c r="E192" s="23" t="s">
        <v>15</v>
      </c>
      <c r="F192" s="24">
        <v>19891119</v>
      </c>
      <c r="G192" s="16">
        <f t="shared" si="19"/>
        <v>32831</v>
      </c>
      <c r="H192" s="2">
        <f t="shared" si="20"/>
        <v>31</v>
      </c>
      <c r="I192" s="17"/>
      <c r="J192" s="25">
        <v>20110921</v>
      </c>
      <c r="K192" s="16">
        <f t="shared" si="21"/>
        <v>40807</v>
      </c>
      <c r="L192" s="2">
        <f t="shared" si="22"/>
        <v>9</v>
      </c>
      <c r="M192" s="25"/>
      <c r="N192" s="26"/>
      <c r="O192" s="27" t="s">
        <v>19</v>
      </c>
      <c r="P192" s="70">
        <v>21000</v>
      </c>
      <c r="Q192" s="70" t="s">
        <v>638</v>
      </c>
      <c r="R192" s="22">
        <v>0</v>
      </c>
      <c r="S192" s="22"/>
      <c r="T192" s="22">
        <v>1</v>
      </c>
      <c r="AE192">
        <f t="shared" si="18"/>
        <v>21000</v>
      </c>
    </row>
    <row r="193" spans="1:31">
      <c r="A193">
        <v>158</v>
      </c>
      <c r="B193" s="21"/>
      <c r="C193" s="22">
        <v>1411</v>
      </c>
      <c r="D193" s="22" t="s">
        <v>229</v>
      </c>
      <c r="E193" s="23" t="s">
        <v>635</v>
      </c>
      <c r="F193" s="24">
        <v>19830817</v>
      </c>
      <c r="G193" s="16">
        <f t="shared" si="19"/>
        <v>30545</v>
      </c>
      <c r="H193" s="2">
        <f t="shared" si="20"/>
        <v>37</v>
      </c>
      <c r="I193" s="17"/>
      <c r="J193" s="25">
        <v>20210401</v>
      </c>
      <c r="K193" s="16">
        <f t="shared" si="21"/>
        <v>44287</v>
      </c>
      <c r="L193" s="2">
        <f t="shared" si="22"/>
        <v>0</v>
      </c>
      <c r="M193" s="25"/>
      <c r="N193" s="26"/>
      <c r="O193" s="27" t="s">
        <v>35</v>
      </c>
      <c r="P193" s="70">
        <v>90000</v>
      </c>
      <c r="Q193" s="70" t="s">
        <v>218</v>
      </c>
      <c r="R193" s="22"/>
      <c r="S193" s="22"/>
      <c r="T193" s="22"/>
      <c r="AE193">
        <f t="shared" si="18"/>
        <v>90000</v>
      </c>
    </row>
    <row r="194" spans="1:31">
      <c r="B194" s="21"/>
      <c r="C194" s="22"/>
      <c r="D194" s="22"/>
      <c r="E194" s="23"/>
      <c r="F194" s="24"/>
      <c r="G194" s="16"/>
      <c r="H194" s="2"/>
      <c r="I194" s="17"/>
      <c r="J194" s="25"/>
      <c r="K194" s="16"/>
      <c r="M194" s="25"/>
      <c r="N194" s="26"/>
      <c r="O194" s="27"/>
      <c r="P194" s="71"/>
      <c r="Q194" s="28"/>
      <c r="R194" s="22"/>
      <c r="S194" s="22"/>
      <c r="T194" s="22"/>
      <c r="AE194">
        <f t="shared" si="18"/>
        <v>0</v>
      </c>
    </row>
    <row r="195" spans="1:31">
      <c r="B195" s="21"/>
      <c r="C195" s="22"/>
      <c r="D195" s="22"/>
      <c r="E195" s="23"/>
      <c r="F195" s="24"/>
      <c r="G195" s="16"/>
      <c r="H195" s="2">
        <f>SUM(H36:H194)</f>
        <v>6630</v>
      </c>
      <c r="I195" s="17">
        <f>H195/$A$193</f>
        <v>41.962025316455694</v>
      </c>
      <c r="J195" s="25"/>
      <c r="K195" s="16"/>
      <c r="L195" s="2">
        <f>SUM(L36:L194)</f>
        <v>2890</v>
      </c>
      <c r="M195" s="17">
        <f>L195/$A$193</f>
        <v>18.291139240506329</v>
      </c>
      <c r="N195" s="26"/>
      <c r="O195" s="27"/>
      <c r="P195" s="71"/>
      <c r="Q195" s="28"/>
      <c r="R195" s="22"/>
      <c r="S195" s="22"/>
      <c r="T195" s="22"/>
      <c r="AE195">
        <f t="shared" si="18"/>
        <v>0</v>
      </c>
    </row>
    <row r="196" spans="1:31">
      <c r="B196" s="21"/>
      <c r="C196" s="22"/>
      <c r="D196" s="22"/>
      <c r="E196" s="23"/>
      <c r="F196" s="24"/>
      <c r="G196" s="16"/>
      <c r="H196" s="2"/>
      <c r="I196" s="17"/>
      <c r="J196" s="25"/>
      <c r="K196" s="16"/>
      <c r="M196" s="25"/>
      <c r="N196" s="26"/>
      <c r="O196" s="27"/>
      <c r="P196" s="71"/>
      <c r="Q196" s="28"/>
      <c r="R196" s="22"/>
      <c r="S196" s="22"/>
      <c r="T196" s="22"/>
      <c r="AE196">
        <f t="shared" si="18"/>
        <v>0</v>
      </c>
    </row>
    <row r="197" spans="1:31">
      <c r="B197" s="21"/>
      <c r="C197" s="22"/>
      <c r="D197" s="22"/>
      <c r="E197" s="23"/>
      <c r="F197" s="24"/>
      <c r="G197" s="16"/>
      <c r="H197" s="2"/>
      <c r="I197" s="17"/>
      <c r="J197" s="25"/>
      <c r="K197" s="16"/>
      <c r="M197" s="25"/>
      <c r="N197" s="26"/>
      <c r="O197" s="27"/>
      <c r="P197" s="71"/>
      <c r="Q197" s="28"/>
      <c r="R197" s="22"/>
      <c r="S197" s="22"/>
      <c r="T197" s="22"/>
      <c r="AE197">
        <f t="shared" si="18"/>
        <v>0</v>
      </c>
    </row>
    <row r="198" spans="1:31">
      <c r="A198">
        <v>1</v>
      </c>
      <c r="B198" s="21">
        <v>19</v>
      </c>
      <c r="C198" s="22">
        <v>1343</v>
      </c>
      <c r="D198" s="22" t="s">
        <v>230</v>
      </c>
      <c r="E198" s="23" t="s">
        <v>34</v>
      </c>
      <c r="F198" s="24">
        <v>19660702</v>
      </c>
      <c r="G198" s="16">
        <f t="shared" ref="G198:G224" si="23">DATE(INT(F198/10000),INT(MOD(F198,10000)/100),MOD(F198,100))</f>
        <v>24290</v>
      </c>
      <c r="H198" s="2">
        <f t="shared" ref="H198:H224" si="24">DATEDIF(G198,$G$4,"Y")</f>
        <v>55</v>
      </c>
      <c r="I198" s="17"/>
      <c r="J198" s="25">
        <v>19990818</v>
      </c>
      <c r="K198" s="16">
        <f t="shared" ref="K198:K224" si="25">DATE(INT(J198/10000),INT(MOD(J198,10000)/100),MOD(J198,100))</f>
        <v>36390</v>
      </c>
      <c r="L198" s="2">
        <f t="shared" ref="L198:L224" si="26">DATEDIF(K198,$G$4,"Y")</f>
        <v>21</v>
      </c>
      <c r="M198" s="25"/>
      <c r="N198" s="26"/>
      <c r="O198" s="27" t="s">
        <v>19</v>
      </c>
      <c r="P198" s="70">
        <v>20000</v>
      </c>
      <c r="Q198" s="70" t="s">
        <v>45</v>
      </c>
      <c r="R198" s="22">
        <v>0</v>
      </c>
      <c r="S198" s="22"/>
      <c r="T198" s="22">
        <v>1</v>
      </c>
      <c r="AE198">
        <f t="shared" ref="AE198:AE261" si="27">ROUNDDOWN(P198*1,0)</f>
        <v>20000</v>
      </c>
    </row>
    <row r="199" spans="1:31">
      <c r="A199">
        <v>2</v>
      </c>
      <c r="B199" s="21">
        <v>94</v>
      </c>
      <c r="C199" s="22">
        <v>2785</v>
      </c>
      <c r="D199" s="22" t="s">
        <v>231</v>
      </c>
      <c r="E199" s="23" t="s">
        <v>34</v>
      </c>
      <c r="F199" s="24">
        <v>19671216</v>
      </c>
      <c r="G199" s="16">
        <f t="shared" si="23"/>
        <v>24822</v>
      </c>
      <c r="H199" s="2">
        <f t="shared" si="24"/>
        <v>53</v>
      </c>
      <c r="I199" s="17"/>
      <c r="J199" s="25">
        <v>19860324</v>
      </c>
      <c r="K199" s="16">
        <f t="shared" si="25"/>
        <v>31495</v>
      </c>
      <c r="L199" s="2">
        <f t="shared" si="26"/>
        <v>35</v>
      </c>
      <c r="M199" s="25"/>
      <c r="N199" s="26"/>
      <c r="O199" s="27" t="s">
        <v>35</v>
      </c>
      <c r="P199" s="70">
        <v>22000</v>
      </c>
      <c r="Q199" s="70" t="s">
        <v>49</v>
      </c>
      <c r="R199" s="22">
        <v>0</v>
      </c>
      <c r="S199" s="22"/>
      <c r="T199" s="22">
        <v>2</v>
      </c>
      <c r="AE199">
        <f t="shared" si="27"/>
        <v>22000</v>
      </c>
    </row>
    <row r="200" spans="1:31">
      <c r="A200">
        <v>3</v>
      </c>
      <c r="B200" s="21">
        <v>172</v>
      </c>
      <c r="C200" s="22">
        <v>3161</v>
      </c>
      <c r="D200" s="22" t="s">
        <v>232</v>
      </c>
      <c r="E200" s="23" t="s">
        <v>34</v>
      </c>
      <c r="F200" s="24">
        <v>19791010</v>
      </c>
      <c r="G200" s="16">
        <f t="shared" si="23"/>
        <v>29138</v>
      </c>
      <c r="H200" s="2">
        <f t="shared" si="24"/>
        <v>41</v>
      </c>
      <c r="I200" s="17"/>
      <c r="J200" s="25">
        <v>20000321</v>
      </c>
      <c r="K200" s="16">
        <f t="shared" si="25"/>
        <v>36606</v>
      </c>
      <c r="L200" s="2">
        <f t="shared" si="26"/>
        <v>21</v>
      </c>
      <c r="M200" s="25"/>
      <c r="N200" s="26"/>
      <c r="O200" s="27" t="s">
        <v>19</v>
      </c>
      <c r="P200" s="70">
        <v>22000</v>
      </c>
      <c r="Q200" s="70" t="s">
        <v>49</v>
      </c>
      <c r="R200" s="22">
        <v>0</v>
      </c>
      <c r="S200" s="22"/>
      <c r="T200" s="22">
        <v>2</v>
      </c>
      <c r="AE200">
        <f t="shared" si="27"/>
        <v>22000</v>
      </c>
    </row>
    <row r="201" spans="1:31">
      <c r="A201">
        <v>4</v>
      </c>
      <c r="B201" s="21">
        <v>177</v>
      </c>
      <c r="C201" s="22">
        <v>3174</v>
      </c>
      <c r="D201" s="22" t="s">
        <v>233</v>
      </c>
      <c r="E201" s="23" t="s">
        <v>34</v>
      </c>
      <c r="F201" s="24">
        <v>19821203</v>
      </c>
      <c r="G201" s="16">
        <f t="shared" si="23"/>
        <v>30288</v>
      </c>
      <c r="H201" s="2">
        <f t="shared" si="24"/>
        <v>38</v>
      </c>
      <c r="I201" s="17"/>
      <c r="J201" s="25">
        <v>20010321</v>
      </c>
      <c r="K201" s="16">
        <f t="shared" si="25"/>
        <v>36971</v>
      </c>
      <c r="L201" s="2">
        <f t="shared" si="26"/>
        <v>20</v>
      </c>
      <c r="M201" s="25"/>
      <c r="N201" s="26"/>
      <c r="O201" s="27" t="s">
        <v>35</v>
      </c>
      <c r="P201" s="70">
        <v>30000</v>
      </c>
      <c r="Q201" s="70" t="s">
        <v>53</v>
      </c>
      <c r="R201" s="22">
        <v>0</v>
      </c>
      <c r="S201" s="22"/>
      <c r="T201" s="22">
        <v>2</v>
      </c>
      <c r="AE201">
        <f t="shared" si="27"/>
        <v>30000</v>
      </c>
    </row>
    <row r="202" spans="1:31">
      <c r="A202">
        <v>5</v>
      </c>
      <c r="B202" s="21">
        <v>331</v>
      </c>
      <c r="C202" s="22">
        <v>3475</v>
      </c>
      <c r="D202" s="22" t="s">
        <v>234</v>
      </c>
      <c r="E202" s="23" t="s">
        <v>34</v>
      </c>
      <c r="F202" s="24">
        <v>19981006</v>
      </c>
      <c r="G202" s="16">
        <f t="shared" si="23"/>
        <v>36074</v>
      </c>
      <c r="H202" s="2">
        <f t="shared" si="24"/>
        <v>22</v>
      </c>
      <c r="I202" s="17"/>
      <c r="J202" s="25">
        <v>20170403</v>
      </c>
      <c r="K202" s="16">
        <f t="shared" si="25"/>
        <v>42828</v>
      </c>
      <c r="L202" s="2">
        <f t="shared" si="26"/>
        <v>4</v>
      </c>
      <c r="M202" s="25"/>
      <c r="N202" s="26"/>
      <c r="O202" s="27">
        <v>6</v>
      </c>
      <c r="P202" s="70">
        <v>31000</v>
      </c>
      <c r="Q202" s="70" t="s">
        <v>72</v>
      </c>
      <c r="R202" s="22">
        <v>0</v>
      </c>
      <c r="S202" s="22"/>
      <c r="T202" s="22">
        <v>2</v>
      </c>
      <c r="AE202">
        <f t="shared" si="27"/>
        <v>31000</v>
      </c>
    </row>
    <row r="203" spans="1:31">
      <c r="A203">
        <v>6</v>
      </c>
      <c r="B203" s="21">
        <v>154</v>
      </c>
      <c r="C203" s="22">
        <v>3093</v>
      </c>
      <c r="D203" s="22" t="s">
        <v>235</v>
      </c>
      <c r="E203" s="23" t="s">
        <v>34</v>
      </c>
      <c r="F203" s="24">
        <v>19750430</v>
      </c>
      <c r="G203" s="16">
        <f t="shared" si="23"/>
        <v>27514</v>
      </c>
      <c r="H203" s="2">
        <f t="shared" si="24"/>
        <v>46</v>
      </c>
      <c r="I203" s="17"/>
      <c r="J203" s="25">
        <v>19960321</v>
      </c>
      <c r="K203" s="16">
        <f t="shared" si="25"/>
        <v>35145</v>
      </c>
      <c r="L203" s="2">
        <f t="shared" si="26"/>
        <v>25</v>
      </c>
      <c r="M203" s="25"/>
      <c r="N203" s="26"/>
      <c r="O203" s="27" t="s">
        <v>19</v>
      </c>
      <c r="P203" s="70">
        <v>40000</v>
      </c>
      <c r="Q203" s="70" t="s">
        <v>87</v>
      </c>
      <c r="R203" s="22">
        <v>0</v>
      </c>
      <c r="S203" s="22"/>
      <c r="T203" s="22">
        <v>2</v>
      </c>
      <c r="AE203">
        <f t="shared" si="27"/>
        <v>40000</v>
      </c>
    </row>
    <row r="204" spans="1:31">
      <c r="A204">
        <v>7</v>
      </c>
      <c r="B204" s="21">
        <v>43</v>
      </c>
      <c r="C204" s="22">
        <v>1387</v>
      </c>
      <c r="D204" s="22" t="s">
        <v>236</v>
      </c>
      <c r="E204" s="23" t="s">
        <v>34</v>
      </c>
      <c r="F204" s="24">
        <v>19851216</v>
      </c>
      <c r="G204" s="16">
        <f t="shared" si="23"/>
        <v>31397</v>
      </c>
      <c r="H204" s="2">
        <f t="shared" si="24"/>
        <v>35</v>
      </c>
      <c r="I204" s="17"/>
      <c r="J204" s="25">
        <v>20140506</v>
      </c>
      <c r="K204" s="16">
        <f t="shared" si="25"/>
        <v>41765</v>
      </c>
      <c r="L204" s="2">
        <f t="shared" si="26"/>
        <v>7</v>
      </c>
      <c r="M204" s="25"/>
      <c r="N204" s="26"/>
      <c r="O204" s="27" t="s">
        <v>35</v>
      </c>
      <c r="P204" s="70">
        <v>44200</v>
      </c>
      <c r="Q204" s="70" t="s">
        <v>114</v>
      </c>
      <c r="R204" s="22">
        <v>0</v>
      </c>
      <c r="S204" s="22"/>
      <c r="T204" s="22">
        <v>2</v>
      </c>
      <c r="AE204">
        <f t="shared" si="27"/>
        <v>44200</v>
      </c>
    </row>
    <row r="205" spans="1:31">
      <c r="A205">
        <v>8</v>
      </c>
      <c r="B205" s="21">
        <v>347</v>
      </c>
      <c r="C205" s="22">
        <v>3495</v>
      </c>
      <c r="D205" s="22" t="s">
        <v>237</v>
      </c>
      <c r="E205" s="23" t="s">
        <v>34</v>
      </c>
      <c r="F205" s="24">
        <v>20000315</v>
      </c>
      <c r="G205" s="16">
        <f t="shared" si="23"/>
        <v>36600</v>
      </c>
      <c r="H205" s="2">
        <f t="shared" si="24"/>
        <v>21</v>
      </c>
      <c r="I205" s="17"/>
      <c r="J205" s="25">
        <v>20180402</v>
      </c>
      <c r="K205" s="16">
        <f t="shared" si="25"/>
        <v>43192</v>
      </c>
      <c r="L205" s="2">
        <f t="shared" si="26"/>
        <v>3</v>
      </c>
      <c r="M205" s="25"/>
      <c r="N205" s="26"/>
      <c r="O205" s="27">
        <v>6</v>
      </c>
      <c r="P205" s="70">
        <v>44200</v>
      </c>
      <c r="Q205" s="70" t="s">
        <v>114</v>
      </c>
      <c r="R205" s="22">
        <v>0</v>
      </c>
      <c r="S205" s="22"/>
      <c r="T205" s="22">
        <v>2</v>
      </c>
      <c r="AE205">
        <f t="shared" si="27"/>
        <v>44200</v>
      </c>
    </row>
    <row r="206" spans="1:31">
      <c r="A206">
        <v>9</v>
      </c>
      <c r="B206" s="21">
        <v>270</v>
      </c>
      <c r="C206" s="22">
        <v>3374</v>
      </c>
      <c r="D206" s="22" t="s">
        <v>238</v>
      </c>
      <c r="E206" s="23" t="s">
        <v>34</v>
      </c>
      <c r="F206" s="24">
        <v>19930406</v>
      </c>
      <c r="G206" s="16">
        <f t="shared" si="23"/>
        <v>34065</v>
      </c>
      <c r="H206" s="2">
        <f t="shared" si="24"/>
        <v>28</v>
      </c>
      <c r="I206" s="17"/>
      <c r="J206" s="25">
        <v>20120321</v>
      </c>
      <c r="K206" s="16">
        <f t="shared" si="25"/>
        <v>40989</v>
      </c>
      <c r="L206" s="2">
        <f t="shared" si="26"/>
        <v>9</v>
      </c>
      <c r="M206" s="25"/>
      <c r="N206" s="26"/>
      <c r="O206" s="27" t="s">
        <v>35</v>
      </c>
      <c r="P206" s="70">
        <v>50000</v>
      </c>
      <c r="Q206" s="70" t="s">
        <v>120</v>
      </c>
      <c r="R206" s="22">
        <v>0</v>
      </c>
      <c r="S206" s="22"/>
      <c r="T206" s="22">
        <v>2</v>
      </c>
      <c r="AE206">
        <f t="shared" si="27"/>
        <v>50000</v>
      </c>
    </row>
    <row r="207" spans="1:31">
      <c r="A207">
        <v>10</v>
      </c>
      <c r="B207" s="21">
        <v>348</v>
      </c>
      <c r="C207" s="22">
        <v>3496</v>
      </c>
      <c r="D207" s="22" t="s">
        <v>239</v>
      </c>
      <c r="E207" s="23" t="s">
        <v>34</v>
      </c>
      <c r="F207" s="24">
        <v>19990512</v>
      </c>
      <c r="G207" s="16">
        <f t="shared" si="23"/>
        <v>36292</v>
      </c>
      <c r="H207" s="2">
        <f t="shared" si="24"/>
        <v>22</v>
      </c>
      <c r="I207" s="17"/>
      <c r="J207" s="25">
        <v>20180402</v>
      </c>
      <c r="K207" s="16">
        <f t="shared" si="25"/>
        <v>43192</v>
      </c>
      <c r="L207" s="2">
        <f t="shared" si="26"/>
        <v>3</v>
      </c>
      <c r="M207" s="25"/>
      <c r="N207" s="26"/>
      <c r="O207" s="27">
        <v>6</v>
      </c>
      <c r="P207" s="70">
        <v>50000</v>
      </c>
      <c r="Q207" s="70" t="s">
        <v>120</v>
      </c>
      <c r="R207" s="22">
        <v>0</v>
      </c>
      <c r="S207" s="22"/>
      <c r="T207" s="22">
        <v>2</v>
      </c>
      <c r="AE207">
        <f t="shared" si="27"/>
        <v>50000</v>
      </c>
    </row>
    <row r="208" spans="1:31">
      <c r="A208">
        <v>11</v>
      </c>
      <c r="B208" s="21">
        <v>319</v>
      </c>
      <c r="C208" s="22">
        <v>3455</v>
      </c>
      <c r="D208" s="22" t="s">
        <v>240</v>
      </c>
      <c r="E208" s="23" t="s">
        <v>34</v>
      </c>
      <c r="F208" s="24">
        <v>19940120</v>
      </c>
      <c r="G208" s="16">
        <f t="shared" si="23"/>
        <v>34354</v>
      </c>
      <c r="H208" s="2">
        <f t="shared" si="24"/>
        <v>27</v>
      </c>
      <c r="I208" s="17"/>
      <c r="J208" s="25">
        <v>20160401</v>
      </c>
      <c r="K208" s="16">
        <f t="shared" si="25"/>
        <v>42461</v>
      </c>
      <c r="L208" s="2">
        <f t="shared" si="26"/>
        <v>5</v>
      </c>
      <c r="M208" s="25"/>
      <c r="N208" s="26"/>
      <c r="O208" s="27" t="s">
        <v>16</v>
      </c>
      <c r="P208" s="70">
        <v>60000</v>
      </c>
      <c r="Q208" s="70" t="s">
        <v>131</v>
      </c>
      <c r="R208" s="22">
        <v>0</v>
      </c>
      <c r="S208" s="22"/>
      <c r="T208" s="22">
        <v>2</v>
      </c>
      <c r="AE208">
        <f t="shared" si="27"/>
        <v>60000</v>
      </c>
    </row>
    <row r="209" spans="1:31">
      <c r="A209">
        <v>12</v>
      </c>
      <c r="B209" s="21">
        <v>44</v>
      </c>
      <c r="C209" s="22">
        <v>1388</v>
      </c>
      <c r="D209" s="22" t="s">
        <v>241</v>
      </c>
      <c r="E209" s="23" t="s">
        <v>34</v>
      </c>
      <c r="F209" s="24">
        <v>19780106</v>
      </c>
      <c r="G209" s="16">
        <f t="shared" si="23"/>
        <v>28496</v>
      </c>
      <c r="H209" s="2">
        <f t="shared" si="24"/>
        <v>43</v>
      </c>
      <c r="I209" s="17"/>
      <c r="J209" s="25">
        <v>20140908</v>
      </c>
      <c r="K209" s="16">
        <f t="shared" si="25"/>
        <v>41890</v>
      </c>
      <c r="L209" s="2">
        <f t="shared" si="26"/>
        <v>6</v>
      </c>
      <c r="M209" s="25"/>
      <c r="N209" s="26"/>
      <c r="O209" s="27" t="s">
        <v>35</v>
      </c>
      <c r="P209" s="70">
        <v>60200</v>
      </c>
      <c r="Q209" s="70" t="s">
        <v>134</v>
      </c>
      <c r="R209" s="22">
        <v>0</v>
      </c>
      <c r="S209" s="22"/>
      <c r="T209" s="22">
        <v>2</v>
      </c>
      <c r="AE209">
        <f t="shared" si="27"/>
        <v>60200</v>
      </c>
    </row>
    <row r="210" spans="1:31">
      <c r="A210">
        <v>13</v>
      </c>
      <c r="B210" s="21">
        <v>119</v>
      </c>
      <c r="C210" s="22">
        <v>2955</v>
      </c>
      <c r="D210" s="22" t="s">
        <v>242</v>
      </c>
      <c r="E210" s="23" t="s">
        <v>34</v>
      </c>
      <c r="F210" s="24">
        <v>19740816</v>
      </c>
      <c r="G210" s="16">
        <f t="shared" si="23"/>
        <v>27257</v>
      </c>
      <c r="H210" s="2">
        <f t="shared" si="24"/>
        <v>46</v>
      </c>
      <c r="I210" s="17"/>
      <c r="J210" s="25">
        <v>19930322</v>
      </c>
      <c r="K210" s="16">
        <f t="shared" si="25"/>
        <v>34050</v>
      </c>
      <c r="L210" s="2">
        <f t="shared" si="26"/>
        <v>28</v>
      </c>
      <c r="M210" s="25"/>
      <c r="N210" s="26"/>
      <c r="O210" s="27" t="s">
        <v>35</v>
      </c>
      <c r="P210" s="70">
        <v>61000</v>
      </c>
      <c r="Q210" s="70" t="s">
        <v>147</v>
      </c>
      <c r="R210" s="22">
        <v>0</v>
      </c>
      <c r="S210" s="22"/>
      <c r="T210" s="22">
        <v>2</v>
      </c>
      <c r="AE210">
        <f t="shared" si="27"/>
        <v>61000</v>
      </c>
    </row>
    <row r="211" spans="1:31">
      <c r="A211">
        <v>14</v>
      </c>
      <c r="B211" s="21">
        <v>311</v>
      </c>
      <c r="C211" s="22">
        <v>3446</v>
      </c>
      <c r="D211" s="22" t="s">
        <v>243</v>
      </c>
      <c r="E211" s="23" t="s">
        <v>34</v>
      </c>
      <c r="F211" s="24">
        <v>19970303</v>
      </c>
      <c r="G211" s="16">
        <f t="shared" si="23"/>
        <v>35492</v>
      </c>
      <c r="H211" s="2">
        <f t="shared" si="24"/>
        <v>24</v>
      </c>
      <c r="I211" s="17"/>
      <c r="J211" s="25">
        <v>20150401</v>
      </c>
      <c r="K211" s="16">
        <f t="shared" si="25"/>
        <v>42095</v>
      </c>
      <c r="L211" s="2">
        <f t="shared" si="26"/>
        <v>6</v>
      </c>
      <c r="M211" s="25"/>
      <c r="N211" s="26"/>
      <c r="O211" s="27" t="s">
        <v>35</v>
      </c>
      <c r="P211" s="70">
        <v>61200</v>
      </c>
      <c r="Q211" s="70" t="s">
        <v>158</v>
      </c>
      <c r="R211" s="22">
        <v>0</v>
      </c>
      <c r="S211" s="22"/>
      <c r="T211" s="22">
        <v>2</v>
      </c>
      <c r="AE211">
        <f t="shared" si="27"/>
        <v>61200</v>
      </c>
    </row>
    <row r="212" spans="1:31">
      <c r="A212">
        <v>15</v>
      </c>
      <c r="B212" s="21">
        <v>206</v>
      </c>
      <c r="C212" s="22">
        <v>3239</v>
      </c>
      <c r="D212" s="22" t="s">
        <v>244</v>
      </c>
      <c r="E212" s="23" t="s">
        <v>34</v>
      </c>
      <c r="F212" s="24">
        <v>19861224</v>
      </c>
      <c r="G212" s="16">
        <f t="shared" si="23"/>
        <v>31770</v>
      </c>
      <c r="H212" s="2">
        <f t="shared" si="24"/>
        <v>34</v>
      </c>
      <c r="I212" s="17"/>
      <c r="J212" s="25">
        <v>20050321</v>
      </c>
      <c r="K212" s="16">
        <f t="shared" si="25"/>
        <v>38432</v>
      </c>
      <c r="L212" s="2">
        <f t="shared" si="26"/>
        <v>16</v>
      </c>
      <c r="M212" s="25"/>
      <c r="N212" s="26"/>
      <c r="O212" s="27" t="s">
        <v>35</v>
      </c>
      <c r="P212" s="70">
        <v>61300</v>
      </c>
      <c r="Q212" s="70" t="s">
        <v>162</v>
      </c>
      <c r="R212" s="22">
        <v>0</v>
      </c>
      <c r="S212" s="22"/>
      <c r="T212" s="22">
        <v>2</v>
      </c>
      <c r="AE212">
        <f t="shared" si="27"/>
        <v>61300</v>
      </c>
    </row>
    <row r="213" spans="1:31">
      <c r="A213">
        <v>16</v>
      </c>
      <c r="B213" s="21">
        <v>106</v>
      </c>
      <c r="C213" s="22">
        <v>2883</v>
      </c>
      <c r="D213" s="22" t="s">
        <v>245</v>
      </c>
      <c r="E213" s="23" t="s">
        <v>34</v>
      </c>
      <c r="F213" s="24">
        <v>19710512</v>
      </c>
      <c r="G213" s="16">
        <f t="shared" si="23"/>
        <v>26065</v>
      </c>
      <c r="H213" s="2">
        <f t="shared" si="24"/>
        <v>50</v>
      </c>
      <c r="I213" s="17"/>
      <c r="J213" s="25">
        <v>19900322</v>
      </c>
      <c r="K213" s="16">
        <f t="shared" si="25"/>
        <v>32954</v>
      </c>
      <c r="L213" s="2">
        <f t="shared" si="26"/>
        <v>31</v>
      </c>
      <c r="M213" s="25"/>
      <c r="N213" s="26"/>
      <c r="O213" s="27" t="s">
        <v>35</v>
      </c>
      <c r="P213" s="70">
        <v>63000</v>
      </c>
      <c r="Q213" s="70" t="s">
        <v>165</v>
      </c>
      <c r="R213" s="22">
        <v>0</v>
      </c>
      <c r="S213" s="22"/>
      <c r="T213" s="22">
        <v>2</v>
      </c>
      <c r="AE213">
        <f t="shared" si="27"/>
        <v>63000</v>
      </c>
    </row>
    <row r="214" spans="1:31">
      <c r="A214">
        <v>17</v>
      </c>
      <c r="B214" s="21">
        <v>413</v>
      </c>
      <c r="C214" s="22">
        <v>3950</v>
      </c>
      <c r="D214" s="22" t="s">
        <v>246</v>
      </c>
      <c r="E214" s="23" t="s">
        <v>34</v>
      </c>
      <c r="F214" s="24">
        <v>19690713</v>
      </c>
      <c r="G214" s="16">
        <f t="shared" si="23"/>
        <v>25397</v>
      </c>
      <c r="H214" s="2">
        <f t="shared" si="24"/>
        <v>52</v>
      </c>
      <c r="I214" s="17"/>
      <c r="J214" s="25">
        <v>20060221</v>
      </c>
      <c r="K214" s="16">
        <f t="shared" si="25"/>
        <v>38769</v>
      </c>
      <c r="L214" s="2">
        <f t="shared" si="26"/>
        <v>15</v>
      </c>
      <c r="M214" s="25"/>
      <c r="N214" s="26"/>
      <c r="O214" s="27" t="s">
        <v>19</v>
      </c>
      <c r="P214" s="70">
        <v>63000</v>
      </c>
      <c r="Q214" s="70" t="s">
        <v>165</v>
      </c>
      <c r="R214" s="22">
        <v>0</v>
      </c>
      <c r="S214" s="22"/>
      <c r="T214" s="22">
        <v>2</v>
      </c>
      <c r="AE214">
        <f t="shared" si="27"/>
        <v>63000</v>
      </c>
    </row>
    <row r="215" spans="1:31">
      <c r="A215">
        <v>18</v>
      </c>
      <c r="B215" s="21">
        <v>274</v>
      </c>
      <c r="C215" s="22">
        <v>3383</v>
      </c>
      <c r="D215" s="22" t="s">
        <v>247</v>
      </c>
      <c r="E215" s="23" t="s">
        <v>34</v>
      </c>
      <c r="F215" s="24">
        <v>19931205</v>
      </c>
      <c r="G215" s="16">
        <f t="shared" si="23"/>
        <v>34308</v>
      </c>
      <c r="H215" s="2">
        <f t="shared" si="24"/>
        <v>27</v>
      </c>
      <c r="I215" s="17"/>
      <c r="J215" s="25">
        <v>20120321</v>
      </c>
      <c r="K215" s="16">
        <f t="shared" si="25"/>
        <v>40989</v>
      </c>
      <c r="L215" s="2">
        <f t="shared" si="26"/>
        <v>9</v>
      </c>
      <c r="M215" s="25"/>
      <c r="N215" s="26"/>
      <c r="O215" s="27" t="s">
        <v>35</v>
      </c>
      <c r="P215" s="70">
        <v>63000</v>
      </c>
      <c r="Q215" s="70" t="s">
        <v>165</v>
      </c>
      <c r="R215" s="22">
        <v>0</v>
      </c>
      <c r="S215" s="22"/>
      <c r="T215" s="22">
        <v>2</v>
      </c>
      <c r="AE215">
        <f t="shared" si="27"/>
        <v>63000</v>
      </c>
    </row>
    <row r="216" spans="1:31">
      <c r="A216">
        <v>19</v>
      </c>
      <c r="B216" s="21">
        <v>129</v>
      </c>
      <c r="C216" s="22">
        <v>2990</v>
      </c>
      <c r="D216" s="22" t="s">
        <v>248</v>
      </c>
      <c r="E216" s="23" t="s">
        <v>34</v>
      </c>
      <c r="F216" s="24">
        <v>19730517</v>
      </c>
      <c r="G216" s="16">
        <f t="shared" si="23"/>
        <v>26801</v>
      </c>
      <c r="H216" s="2">
        <f t="shared" si="24"/>
        <v>48</v>
      </c>
      <c r="I216" s="17"/>
      <c r="J216" s="25">
        <v>19940322</v>
      </c>
      <c r="K216" s="16">
        <f t="shared" si="25"/>
        <v>34415</v>
      </c>
      <c r="L216" s="2">
        <f t="shared" si="26"/>
        <v>27</v>
      </c>
      <c r="M216" s="25"/>
      <c r="N216" s="26"/>
      <c r="O216" s="27" t="s">
        <v>19</v>
      </c>
      <c r="P216" s="70">
        <v>80000</v>
      </c>
      <c r="Q216" s="70" t="s">
        <v>172</v>
      </c>
      <c r="R216" s="22">
        <v>0</v>
      </c>
      <c r="S216" s="22"/>
      <c r="T216" s="22">
        <v>2</v>
      </c>
      <c r="AE216">
        <f t="shared" si="27"/>
        <v>80000</v>
      </c>
    </row>
    <row r="217" spans="1:31">
      <c r="A217">
        <v>20</v>
      </c>
      <c r="B217" s="21">
        <v>18</v>
      </c>
      <c r="C217" s="22">
        <v>1342</v>
      </c>
      <c r="D217" s="22" t="s">
        <v>249</v>
      </c>
      <c r="E217" s="23" t="s">
        <v>34</v>
      </c>
      <c r="F217" s="24">
        <v>19760731</v>
      </c>
      <c r="G217" s="16">
        <f t="shared" si="23"/>
        <v>27972</v>
      </c>
      <c r="H217" s="2">
        <f t="shared" si="24"/>
        <v>45</v>
      </c>
      <c r="I217" s="17"/>
      <c r="J217" s="25">
        <v>20030123</v>
      </c>
      <c r="K217" s="16">
        <f t="shared" si="25"/>
        <v>37644</v>
      </c>
      <c r="L217" s="2">
        <f t="shared" si="26"/>
        <v>18</v>
      </c>
      <c r="M217" s="25"/>
      <c r="N217" s="26"/>
      <c r="O217" s="27" t="s">
        <v>19</v>
      </c>
      <c r="P217" s="70">
        <v>80000</v>
      </c>
      <c r="Q217" s="70" t="s">
        <v>172</v>
      </c>
      <c r="R217" s="22">
        <v>0</v>
      </c>
      <c r="S217" s="22"/>
      <c r="T217" s="22">
        <v>2</v>
      </c>
      <c r="AE217">
        <f t="shared" si="27"/>
        <v>80000</v>
      </c>
    </row>
    <row r="218" spans="1:31">
      <c r="A218">
        <v>21</v>
      </c>
      <c r="B218" s="21">
        <v>257</v>
      </c>
      <c r="C218" s="22">
        <v>3354</v>
      </c>
      <c r="D218" s="22" t="s">
        <v>250</v>
      </c>
      <c r="E218" s="23" t="s">
        <v>34</v>
      </c>
      <c r="F218" s="24">
        <v>19930128</v>
      </c>
      <c r="G218" s="16">
        <f t="shared" si="23"/>
        <v>33997</v>
      </c>
      <c r="H218" s="2">
        <f t="shared" si="24"/>
        <v>28</v>
      </c>
      <c r="I218" s="17"/>
      <c r="J218" s="25">
        <v>20110321</v>
      </c>
      <c r="K218" s="16">
        <f t="shared" si="25"/>
        <v>40623</v>
      </c>
      <c r="L218" s="2">
        <f t="shared" si="26"/>
        <v>10</v>
      </c>
      <c r="M218" s="25"/>
      <c r="N218" s="26"/>
      <c r="O218" s="27" t="s">
        <v>35</v>
      </c>
      <c r="P218" s="70">
        <v>80000</v>
      </c>
      <c r="Q218" s="70" t="s">
        <v>172</v>
      </c>
      <c r="R218" s="22">
        <v>0</v>
      </c>
      <c r="S218" s="22"/>
      <c r="T218" s="22">
        <v>2</v>
      </c>
      <c r="AE218">
        <f t="shared" si="27"/>
        <v>80000</v>
      </c>
    </row>
    <row r="219" spans="1:31">
      <c r="A219">
        <v>22</v>
      </c>
      <c r="B219" s="21">
        <v>151</v>
      </c>
      <c r="C219" s="22">
        <v>3067</v>
      </c>
      <c r="D219" s="22" t="s">
        <v>251</v>
      </c>
      <c r="E219" s="23" t="s">
        <v>34</v>
      </c>
      <c r="F219" s="24">
        <v>19740821</v>
      </c>
      <c r="G219" s="16">
        <f t="shared" si="23"/>
        <v>27262</v>
      </c>
      <c r="H219" s="2">
        <f t="shared" si="24"/>
        <v>46</v>
      </c>
      <c r="I219" s="17"/>
      <c r="J219" s="25">
        <v>19950322</v>
      </c>
      <c r="K219" s="16">
        <f t="shared" si="25"/>
        <v>34780</v>
      </c>
      <c r="L219" s="2">
        <f t="shared" si="26"/>
        <v>26</v>
      </c>
      <c r="M219" s="25"/>
      <c r="N219" s="26"/>
      <c r="O219" s="27" t="s">
        <v>19</v>
      </c>
      <c r="P219" s="70">
        <v>60000</v>
      </c>
      <c r="Q219" s="70" t="s">
        <v>131</v>
      </c>
      <c r="R219" s="22">
        <v>0</v>
      </c>
      <c r="S219" s="22"/>
      <c r="T219" s="22">
        <v>2</v>
      </c>
      <c r="AE219">
        <f t="shared" si="27"/>
        <v>60000</v>
      </c>
    </row>
    <row r="220" spans="1:31">
      <c r="A220">
        <v>23</v>
      </c>
      <c r="B220" s="21">
        <v>219</v>
      </c>
      <c r="C220" s="22">
        <v>3268</v>
      </c>
      <c r="D220" s="22" t="s">
        <v>252</v>
      </c>
      <c r="E220" s="23" t="s">
        <v>34</v>
      </c>
      <c r="F220" s="24">
        <v>19880517</v>
      </c>
      <c r="G220" s="16">
        <f t="shared" si="23"/>
        <v>32280</v>
      </c>
      <c r="H220" s="2">
        <f t="shared" si="24"/>
        <v>33</v>
      </c>
      <c r="I220" s="17"/>
      <c r="J220" s="25">
        <v>20070321</v>
      </c>
      <c r="K220" s="16">
        <f t="shared" si="25"/>
        <v>39162</v>
      </c>
      <c r="L220" s="2">
        <f t="shared" si="26"/>
        <v>14</v>
      </c>
      <c r="M220" s="25"/>
      <c r="N220" s="26"/>
      <c r="O220" s="27" t="s">
        <v>35</v>
      </c>
      <c r="P220" s="70">
        <v>60100</v>
      </c>
      <c r="Q220" s="70" t="s">
        <v>639</v>
      </c>
      <c r="R220" s="22">
        <v>0</v>
      </c>
      <c r="S220" s="22"/>
      <c r="T220" s="22">
        <v>2</v>
      </c>
      <c r="AE220">
        <f t="shared" si="27"/>
        <v>60100</v>
      </c>
    </row>
    <row r="221" spans="1:31">
      <c r="A221">
        <v>24</v>
      </c>
      <c r="B221" s="21">
        <v>228</v>
      </c>
      <c r="C221" s="22">
        <v>3296</v>
      </c>
      <c r="D221" s="22" t="s">
        <v>253</v>
      </c>
      <c r="E221" s="23" t="s">
        <v>34</v>
      </c>
      <c r="F221" s="24">
        <v>19891227</v>
      </c>
      <c r="G221" s="16">
        <f t="shared" si="23"/>
        <v>32869</v>
      </c>
      <c r="H221" s="2">
        <f t="shared" si="24"/>
        <v>31</v>
      </c>
      <c r="I221" s="17"/>
      <c r="J221" s="25">
        <v>20080321</v>
      </c>
      <c r="K221" s="16">
        <f t="shared" si="25"/>
        <v>39528</v>
      </c>
      <c r="L221" s="2">
        <f t="shared" si="26"/>
        <v>13</v>
      </c>
      <c r="M221" s="25"/>
      <c r="N221" s="26"/>
      <c r="O221" s="27" t="s">
        <v>35</v>
      </c>
      <c r="P221" s="70">
        <v>21000</v>
      </c>
      <c r="Q221" s="70" t="s">
        <v>638</v>
      </c>
      <c r="R221" s="22">
        <v>0</v>
      </c>
      <c r="S221" s="22"/>
      <c r="T221" s="22">
        <v>2</v>
      </c>
      <c r="AE221">
        <f t="shared" si="27"/>
        <v>21000</v>
      </c>
    </row>
    <row r="222" spans="1:31">
      <c r="A222">
        <v>25</v>
      </c>
      <c r="B222" s="21">
        <v>227</v>
      </c>
      <c r="C222" s="22">
        <v>3295</v>
      </c>
      <c r="D222" s="22" t="s">
        <v>254</v>
      </c>
      <c r="E222" s="23" t="s">
        <v>34</v>
      </c>
      <c r="F222" s="24">
        <v>19900327</v>
      </c>
      <c r="G222" s="16">
        <f t="shared" si="23"/>
        <v>32959</v>
      </c>
      <c r="H222" s="2">
        <f t="shared" si="24"/>
        <v>31</v>
      </c>
      <c r="I222" s="17"/>
      <c r="J222" s="25">
        <v>20080321</v>
      </c>
      <c r="K222" s="16">
        <f t="shared" si="25"/>
        <v>39528</v>
      </c>
      <c r="L222" s="2">
        <f t="shared" si="26"/>
        <v>13</v>
      </c>
      <c r="M222" s="25"/>
      <c r="N222" s="26"/>
      <c r="O222" s="27" t="s">
        <v>35</v>
      </c>
      <c r="P222" s="70">
        <v>90000</v>
      </c>
      <c r="Q222" s="70" t="s">
        <v>218</v>
      </c>
      <c r="R222" s="22">
        <v>0</v>
      </c>
      <c r="S222" s="22"/>
      <c r="T222" s="22">
        <v>2</v>
      </c>
      <c r="AE222">
        <f t="shared" si="27"/>
        <v>90000</v>
      </c>
    </row>
    <row r="223" spans="1:31">
      <c r="A223">
        <v>26</v>
      </c>
      <c r="B223" s="21">
        <v>233</v>
      </c>
      <c r="C223" s="22">
        <v>3306</v>
      </c>
      <c r="D223" s="22" t="s">
        <v>255</v>
      </c>
      <c r="E223" s="23" t="s">
        <v>34</v>
      </c>
      <c r="F223" s="24">
        <v>19910207</v>
      </c>
      <c r="G223" s="16">
        <f t="shared" si="23"/>
        <v>33276</v>
      </c>
      <c r="H223" s="2">
        <f t="shared" si="24"/>
        <v>30</v>
      </c>
      <c r="I223" s="17"/>
      <c r="J223" s="25">
        <v>20090323</v>
      </c>
      <c r="K223" s="16">
        <f t="shared" si="25"/>
        <v>39895</v>
      </c>
      <c r="L223" s="2">
        <f t="shared" si="26"/>
        <v>12</v>
      </c>
      <c r="M223" s="25"/>
      <c r="N223" s="26"/>
      <c r="O223" s="27" t="s">
        <v>35</v>
      </c>
      <c r="P223" s="70">
        <v>90000</v>
      </c>
      <c r="Q223" s="70" t="s">
        <v>218</v>
      </c>
      <c r="R223" s="22">
        <v>0</v>
      </c>
      <c r="S223" s="22"/>
      <c r="T223" s="22">
        <v>2</v>
      </c>
      <c r="AE223">
        <f t="shared" si="27"/>
        <v>90000</v>
      </c>
    </row>
    <row r="224" spans="1:31">
      <c r="A224">
        <v>27</v>
      </c>
      <c r="B224" s="21">
        <v>275</v>
      </c>
      <c r="C224" s="22">
        <v>3384</v>
      </c>
      <c r="D224" s="22" t="s">
        <v>256</v>
      </c>
      <c r="E224" s="23" t="s">
        <v>34</v>
      </c>
      <c r="F224" s="24">
        <v>19930808</v>
      </c>
      <c r="G224" s="16">
        <f t="shared" si="23"/>
        <v>34189</v>
      </c>
      <c r="H224" s="2">
        <f t="shared" si="24"/>
        <v>27</v>
      </c>
      <c r="I224" s="17"/>
      <c r="J224" s="25">
        <v>20120321</v>
      </c>
      <c r="K224" s="16">
        <f t="shared" si="25"/>
        <v>40989</v>
      </c>
      <c r="L224" s="2">
        <f t="shared" si="26"/>
        <v>9</v>
      </c>
      <c r="M224" s="25"/>
      <c r="N224" s="26"/>
      <c r="O224" s="27" t="s">
        <v>35</v>
      </c>
      <c r="P224" s="70">
        <v>60100</v>
      </c>
      <c r="Q224" s="70" t="s">
        <v>639</v>
      </c>
      <c r="R224" s="22">
        <v>0</v>
      </c>
      <c r="S224" s="22"/>
      <c r="T224" s="22">
        <v>2</v>
      </c>
      <c r="AE224">
        <f t="shared" si="27"/>
        <v>60100</v>
      </c>
    </row>
    <row r="225" spans="1:31">
      <c r="B225" s="21"/>
      <c r="C225" s="22"/>
      <c r="D225" s="22"/>
      <c r="E225" s="23"/>
      <c r="F225" s="24"/>
      <c r="G225" s="16"/>
      <c r="H225" s="2"/>
      <c r="I225" s="17"/>
      <c r="J225" s="25"/>
      <c r="K225" s="16"/>
      <c r="M225" s="25"/>
      <c r="N225" s="26"/>
      <c r="O225" s="27"/>
      <c r="P225" s="71"/>
      <c r="Q225" s="28"/>
      <c r="R225" s="22"/>
      <c r="S225" s="22"/>
      <c r="T225" s="22"/>
      <c r="AE225">
        <f t="shared" si="27"/>
        <v>0</v>
      </c>
    </row>
    <row r="226" spans="1:31">
      <c r="B226" s="21"/>
      <c r="C226" s="22"/>
      <c r="D226" s="22"/>
      <c r="E226" s="23"/>
      <c r="F226" s="24"/>
      <c r="G226" s="16"/>
      <c r="H226" s="2">
        <f>SUM(H198:H225)</f>
        <v>983</v>
      </c>
      <c r="I226" s="17">
        <f>H226/$A$224</f>
        <v>36.407407407407405</v>
      </c>
      <c r="J226" s="25"/>
      <c r="K226" s="16"/>
      <c r="L226" s="2">
        <f>SUM(L198:L225)</f>
        <v>406</v>
      </c>
      <c r="M226" s="17">
        <f>L226/$A$224</f>
        <v>15.037037037037036</v>
      </c>
      <c r="N226" s="26"/>
      <c r="O226" s="27"/>
      <c r="P226" s="71"/>
      <c r="Q226" s="28"/>
      <c r="R226" s="22"/>
      <c r="S226" s="22"/>
      <c r="T226" s="22"/>
      <c r="AE226">
        <f t="shared" si="27"/>
        <v>0</v>
      </c>
    </row>
    <row r="227" spans="1:31">
      <c r="B227" s="21"/>
      <c r="C227" s="22"/>
      <c r="D227" s="22"/>
      <c r="E227" s="23"/>
      <c r="F227" s="24"/>
      <c r="G227" s="16"/>
      <c r="H227" s="2"/>
      <c r="I227" s="17"/>
      <c r="J227" s="25"/>
      <c r="K227" s="16"/>
      <c r="M227" s="25"/>
      <c r="N227" s="26"/>
      <c r="O227" s="27"/>
      <c r="P227" s="71"/>
      <c r="Q227" s="28"/>
      <c r="R227" s="22"/>
      <c r="S227" s="22"/>
      <c r="T227" s="22"/>
      <c r="AE227">
        <f t="shared" si="27"/>
        <v>0</v>
      </c>
    </row>
    <row r="228" spans="1:31">
      <c r="B228" s="21"/>
      <c r="C228" s="22"/>
      <c r="D228" s="22"/>
      <c r="E228" s="23"/>
      <c r="F228" s="24"/>
      <c r="G228" s="16"/>
      <c r="H228" s="2"/>
      <c r="I228" s="17"/>
      <c r="J228" s="25"/>
      <c r="K228" s="16"/>
      <c r="M228" s="25"/>
      <c r="N228" s="26"/>
      <c r="O228" s="27"/>
      <c r="P228" s="71"/>
      <c r="Q228" s="28"/>
      <c r="R228" s="22"/>
      <c r="S228" s="22"/>
      <c r="T228" s="22"/>
      <c r="AE228">
        <f t="shared" si="27"/>
        <v>0</v>
      </c>
    </row>
    <row r="229" spans="1:31">
      <c r="B229" s="21"/>
      <c r="C229" s="22"/>
      <c r="D229" s="22"/>
      <c r="E229" s="23"/>
      <c r="F229" s="24"/>
      <c r="G229" s="16"/>
      <c r="H229" s="2"/>
      <c r="I229" s="17"/>
      <c r="J229" s="25"/>
      <c r="K229" s="16"/>
      <c r="M229" s="25"/>
      <c r="N229" s="26"/>
      <c r="O229" s="27"/>
      <c r="P229" s="71"/>
      <c r="Q229" s="28"/>
      <c r="R229" s="22"/>
      <c r="S229" s="22"/>
      <c r="T229" s="22"/>
      <c r="AE229">
        <f t="shared" si="27"/>
        <v>0</v>
      </c>
    </row>
    <row r="230" spans="1:31">
      <c r="B230" s="21"/>
      <c r="C230" s="22"/>
      <c r="D230" s="22"/>
      <c r="E230" s="23"/>
      <c r="F230" s="24"/>
      <c r="G230" s="16"/>
      <c r="H230" s="2"/>
      <c r="I230" s="17"/>
      <c r="J230" s="25"/>
      <c r="K230" s="16"/>
      <c r="M230" s="25"/>
      <c r="N230" s="26"/>
      <c r="O230" s="27"/>
      <c r="P230" s="71"/>
      <c r="Q230" s="28"/>
      <c r="R230" s="22"/>
      <c r="S230" s="22"/>
      <c r="T230" s="22"/>
      <c r="AE230">
        <f t="shared" si="27"/>
        <v>0</v>
      </c>
    </row>
    <row r="231" spans="1:31">
      <c r="B231" s="21"/>
      <c r="C231" s="22"/>
      <c r="D231" s="22"/>
      <c r="E231" s="23"/>
      <c r="F231" s="24"/>
      <c r="G231" s="16"/>
      <c r="H231" s="2"/>
      <c r="I231" s="17"/>
      <c r="J231" s="25"/>
      <c r="K231" s="16"/>
      <c r="M231" s="25"/>
      <c r="N231" s="26"/>
      <c r="O231" s="27"/>
      <c r="P231" s="71"/>
      <c r="Q231" s="28"/>
      <c r="R231" s="22"/>
      <c r="S231" s="22"/>
      <c r="T231" s="22"/>
      <c r="AE231">
        <f t="shared" si="27"/>
        <v>0</v>
      </c>
    </row>
    <row r="232" spans="1:31">
      <c r="A232">
        <v>1</v>
      </c>
      <c r="B232" s="21">
        <v>109</v>
      </c>
      <c r="C232" s="22">
        <v>2894</v>
      </c>
      <c r="D232" s="22" t="s">
        <v>257</v>
      </c>
      <c r="E232" s="23" t="s">
        <v>15</v>
      </c>
      <c r="F232" s="24">
        <v>19721215</v>
      </c>
      <c r="G232" s="16">
        <f t="shared" ref="G232:G295" si="28">DATE(INT(F232/10000),INT(MOD(F232,10000)/100),MOD(F232,100))</f>
        <v>26648</v>
      </c>
      <c r="H232" s="2">
        <f t="shared" ref="H232:H295" si="29">DATEDIF(G232,$G$4,"Y")</f>
        <v>48</v>
      </c>
      <c r="I232" s="17"/>
      <c r="J232" s="25">
        <v>19910325</v>
      </c>
      <c r="K232" s="16">
        <f t="shared" ref="K232:K295" si="30">DATE(INT(J232/10000),INT(MOD(J232,10000)/100),MOD(J232,100))</f>
        <v>33322</v>
      </c>
      <c r="L232" s="2">
        <f t="shared" ref="L232:L295" si="31">DATEDIF(K232,$G$4,"Y")</f>
        <v>30</v>
      </c>
      <c r="M232" s="25"/>
      <c r="N232" s="26"/>
      <c r="O232" s="27" t="s">
        <v>35</v>
      </c>
      <c r="P232" s="70">
        <v>41011</v>
      </c>
      <c r="Q232" s="70" t="s">
        <v>258</v>
      </c>
      <c r="R232" s="22">
        <v>1</v>
      </c>
      <c r="S232" s="22" t="s">
        <v>636</v>
      </c>
      <c r="T232" s="22">
        <v>1</v>
      </c>
      <c r="AE232">
        <f t="shared" si="27"/>
        <v>41011</v>
      </c>
    </row>
    <row r="233" spans="1:31">
      <c r="A233">
        <v>2</v>
      </c>
      <c r="B233" s="21">
        <v>164</v>
      </c>
      <c r="C233" s="22">
        <v>3136</v>
      </c>
      <c r="D233" s="22" t="s">
        <v>259</v>
      </c>
      <c r="E233" s="23" t="s">
        <v>15</v>
      </c>
      <c r="F233" s="24">
        <v>19760501</v>
      </c>
      <c r="G233" s="16">
        <f t="shared" si="28"/>
        <v>27881</v>
      </c>
      <c r="H233" s="2">
        <f t="shared" si="29"/>
        <v>45</v>
      </c>
      <c r="I233" s="17"/>
      <c r="J233" s="25">
        <v>19970321</v>
      </c>
      <c r="K233" s="16">
        <f t="shared" si="30"/>
        <v>35510</v>
      </c>
      <c r="L233" s="2">
        <f t="shared" si="31"/>
        <v>24</v>
      </c>
      <c r="M233" s="25"/>
      <c r="N233" s="26"/>
      <c r="O233" s="27" t="s">
        <v>19</v>
      </c>
      <c r="P233" s="70">
        <v>41011</v>
      </c>
      <c r="Q233" s="70" t="s">
        <v>258</v>
      </c>
      <c r="R233" s="22">
        <v>1</v>
      </c>
      <c r="S233" s="22" t="s">
        <v>636</v>
      </c>
      <c r="T233" s="22">
        <v>1</v>
      </c>
      <c r="AE233">
        <f t="shared" si="27"/>
        <v>41011</v>
      </c>
    </row>
    <row r="234" spans="1:31">
      <c r="A234">
        <v>3</v>
      </c>
      <c r="B234" s="21">
        <v>173</v>
      </c>
      <c r="C234" s="22">
        <v>3163</v>
      </c>
      <c r="D234" s="22" t="s">
        <v>260</v>
      </c>
      <c r="E234" s="23" t="s">
        <v>15</v>
      </c>
      <c r="F234" s="24">
        <v>19820302</v>
      </c>
      <c r="G234" s="16">
        <f t="shared" si="28"/>
        <v>30012</v>
      </c>
      <c r="H234" s="2">
        <f t="shared" si="29"/>
        <v>39</v>
      </c>
      <c r="I234" s="17"/>
      <c r="J234" s="25">
        <v>20000321</v>
      </c>
      <c r="K234" s="16">
        <f t="shared" si="30"/>
        <v>36606</v>
      </c>
      <c r="L234" s="2">
        <f t="shared" si="31"/>
        <v>21</v>
      </c>
      <c r="M234" s="25"/>
      <c r="N234" s="26"/>
      <c r="O234" s="27" t="s">
        <v>35</v>
      </c>
      <c r="P234" s="70">
        <v>41011</v>
      </c>
      <c r="Q234" s="70" t="s">
        <v>258</v>
      </c>
      <c r="R234" s="22">
        <v>1</v>
      </c>
      <c r="S234" s="22" t="s">
        <v>636</v>
      </c>
      <c r="T234" s="22">
        <v>1</v>
      </c>
      <c r="AE234">
        <f t="shared" si="27"/>
        <v>41011</v>
      </c>
    </row>
    <row r="235" spans="1:31">
      <c r="A235">
        <v>4</v>
      </c>
      <c r="B235" s="21">
        <v>198</v>
      </c>
      <c r="C235" s="22">
        <v>3218</v>
      </c>
      <c r="D235" s="22" t="s">
        <v>261</v>
      </c>
      <c r="E235" s="23" t="s">
        <v>15</v>
      </c>
      <c r="F235" s="24">
        <v>19850804</v>
      </c>
      <c r="G235" s="16">
        <f t="shared" si="28"/>
        <v>31263</v>
      </c>
      <c r="H235" s="2">
        <f t="shared" si="29"/>
        <v>35</v>
      </c>
      <c r="I235" s="17"/>
      <c r="J235" s="25">
        <v>20040322</v>
      </c>
      <c r="K235" s="16">
        <f t="shared" si="30"/>
        <v>38068</v>
      </c>
      <c r="L235" s="2">
        <f t="shared" si="31"/>
        <v>17</v>
      </c>
      <c r="M235" s="25"/>
      <c r="N235" s="26"/>
      <c r="O235" s="27" t="s">
        <v>35</v>
      </c>
      <c r="P235" s="70">
        <v>41011</v>
      </c>
      <c r="Q235" s="70" t="s">
        <v>258</v>
      </c>
      <c r="R235" s="22">
        <v>1</v>
      </c>
      <c r="S235" s="22" t="s">
        <v>636</v>
      </c>
      <c r="T235" s="22">
        <v>1</v>
      </c>
      <c r="AE235">
        <f t="shared" si="27"/>
        <v>41011</v>
      </c>
    </row>
    <row r="236" spans="1:31">
      <c r="A236">
        <v>5</v>
      </c>
      <c r="B236" s="21">
        <v>211</v>
      </c>
      <c r="C236" s="22">
        <v>3251</v>
      </c>
      <c r="D236" s="22" t="s">
        <v>262</v>
      </c>
      <c r="E236" s="23" t="s">
        <v>15</v>
      </c>
      <c r="F236" s="24">
        <v>19870910</v>
      </c>
      <c r="G236" s="16">
        <f t="shared" si="28"/>
        <v>32030</v>
      </c>
      <c r="H236" s="2">
        <f t="shared" si="29"/>
        <v>33</v>
      </c>
      <c r="I236" s="17"/>
      <c r="J236" s="25">
        <v>20060321</v>
      </c>
      <c r="K236" s="16">
        <f t="shared" si="30"/>
        <v>38797</v>
      </c>
      <c r="L236" s="2">
        <f t="shared" si="31"/>
        <v>15</v>
      </c>
      <c r="M236" s="25"/>
      <c r="N236" s="26"/>
      <c r="O236" s="27" t="s">
        <v>35</v>
      </c>
      <c r="P236" s="70">
        <v>41011</v>
      </c>
      <c r="Q236" s="70" t="s">
        <v>258</v>
      </c>
      <c r="R236" s="22">
        <v>1</v>
      </c>
      <c r="S236" s="22" t="s">
        <v>636</v>
      </c>
      <c r="T236" s="22">
        <v>1</v>
      </c>
      <c r="AE236">
        <f t="shared" si="27"/>
        <v>41011</v>
      </c>
    </row>
    <row r="237" spans="1:31">
      <c r="A237">
        <v>6</v>
      </c>
      <c r="B237" s="21">
        <v>40</v>
      </c>
      <c r="C237" s="22">
        <v>1383</v>
      </c>
      <c r="D237" s="22" t="s">
        <v>263</v>
      </c>
      <c r="E237" s="23" t="s">
        <v>15</v>
      </c>
      <c r="F237" s="24">
        <v>19850822</v>
      </c>
      <c r="G237" s="16">
        <f t="shared" si="28"/>
        <v>31281</v>
      </c>
      <c r="H237" s="2">
        <f t="shared" si="29"/>
        <v>35</v>
      </c>
      <c r="I237" s="17"/>
      <c r="J237" s="25">
        <v>20120903</v>
      </c>
      <c r="K237" s="16">
        <f t="shared" si="30"/>
        <v>41155</v>
      </c>
      <c r="L237" s="2">
        <f t="shared" si="31"/>
        <v>8</v>
      </c>
      <c r="M237" s="25"/>
      <c r="N237" s="26"/>
      <c r="O237" s="27" t="s">
        <v>16</v>
      </c>
      <c r="P237" s="70">
        <v>41011</v>
      </c>
      <c r="Q237" s="70" t="s">
        <v>258</v>
      </c>
      <c r="R237" s="22">
        <v>1</v>
      </c>
      <c r="S237" s="22" t="s">
        <v>636</v>
      </c>
      <c r="T237" s="22">
        <v>1</v>
      </c>
      <c r="AE237">
        <f t="shared" si="27"/>
        <v>41011</v>
      </c>
    </row>
    <row r="238" spans="1:31">
      <c r="A238">
        <v>7</v>
      </c>
      <c r="B238" s="21">
        <v>84</v>
      </c>
      <c r="C238" s="22">
        <v>2731</v>
      </c>
      <c r="D238" s="22" t="s">
        <v>264</v>
      </c>
      <c r="E238" s="23" t="s">
        <v>15</v>
      </c>
      <c r="F238" s="24">
        <v>19660402</v>
      </c>
      <c r="G238" s="16">
        <f t="shared" si="28"/>
        <v>24199</v>
      </c>
      <c r="H238" s="2">
        <f t="shared" si="29"/>
        <v>55</v>
      </c>
      <c r="I238" s="17"/>
      <c r="J238" s="25">
        <v>19850328</v>
      </c>
      <c r="K238" s="16">
        <f t="shared" si="30"/>
        <v>31134</v>
      </c>
      <c r="L238" s="2">
        <f t="shared" si="31"/>
        <v>36</v>
      </c>
      <c r="M238" s="25"/>
      <c r="N238" s="26"/>
      <c r="O238" s="27" t="s">
        <v>35</v>
      </c>
      <c r="P238" s="70">
        <v>41011</v>
      </c>
      <c r="Q238" s="70" t="s">
        <v>258</v>
      </c>
      <c r="R238" s="22">
        <v>1</v>
      </c>
      <c r="S238" s="22" t="s">
        <v>636</v>
      </c>
      <c r="T238" s="22">
        <v>2</v>
      </c>
      <c r="AE238">
        <f t="shared" si="27"/>
        <v>41011</v>
      </c>
    </row>
    <row r="239" spans="1:31">
      <c r="A239">
        <v>8</v>
      </c>
      <c r="B239" s="21">
        <v>456</v>
      </c>
      <c r="C239" s="22">
        <v>5122</v>
      </c>
      <c r="D239" s="22" t="s">
        <v>265</v>
      </c>
      <c r="E239" s="23" t="s">
        <v>15</v>
      </c>
      <c r="F239" s="24">
        <v>19670906</v>
      </c>
      <c r="G239" s="16">
        <f t="shared" si="28"/>
        <v>24721</v>
      </c>
      <c r="H239" s="2">
        <f t="shared" si="29"/>
        <v>53</v>
      </c>
      <c r="I239" s="17"/>
      <c r="J239" s="25">
        <v>19850326</v>
      </c>
      <c r="K239" s="16">
        <f t="shared" si="30"/>
        <v>31132</v>
      </c>
      <c r="L239" s="2">
        <f t="shared" si="31"/>
        <v>36</v>
      </c>
      <c r="M239" s="25"/>
      <c r="N239" s="26"/>
      <c r="O239" s="27" t="s">
        <v>75</v>
      </c>
      <c r="P239" s="70">
        <v>41011</v>
      </c>
      <c r="Q239" s="70" t="s">
        <v>258</v>
      </c>
      <c r="R239" s="22">
        <v>1</v>
      </c>
      <c r="S239" s="22" t="s">
        <v>636</v>
      </c>
      <c r="T239" s="22">
        <v>2</v>
      </c>
      <c r="AE239">
        <f t="shared" si="27"/>
        <v>41011</v>
      </c>
    </row>
    <row r="240" spans="1:31">
      <c r="A240">
        <v>9</v>
      </c>
      <c r="B240" s="21">
        <v>459</v>
      </c>
      <c r="C240" s="22">
        <v>5153</v>
      </c>
      <c r="D240" s="22" t="s">
        <v>266</v>
      </c>
      <c r="E240" s="23" t="s">
        <v>15</v>
      </c>
      <c r="F240" s="24">
        <v>19700510</v>
      </c>
      <c r="G240" s="16">
        <f t="shared" si="28"/>
        <v>25698</v>
      </c>
      <c r="H240" s="2">
        <f t="shared" si="29"/>
        <v>51</v>
      </c>
      <c r="I240" s="17"/>
      <c r="J240" s="25">
        <v>19870325</v>
      </c>
      <c r="K240" s="16">
        <f t="shared" si="30"/>
        <v>31861</v>
      </c>
      <c r="L240" s="2">
        <f t="shared" si="31"/>
        <v>34</v>
      </c>
      <c r="M240" s="25"/>
      <c r="N240" s="26"/>
      <c r="O240" s="27" t="s">
        <v>105</v>
      </c>
      <c r="P240" s="70">
        <v>41011</v>
      </c>
      <c r="Q240" s="70" t="s">
        <v>258</v>
      </c>
      <c r="R240" s="22">
        <v>1</v>
      </c>
      <c r="S240" s="22" t="s">
        <v>636</v>
      </c>
      <c r="T240" s="22">
        <v>2</v>
      </c>
      <c r="AE240">
        <f t="shared" si="27"/>
        <v>41011</v>
      </c>
    </row>
    <row r="241" spans="1:31">
      <c r="A241">
        <v>10</v>
      </c>
      <c r="B241" s="21">
        <v>375</v>
      </c>
      <c r="C241" s="22">
        <v>3831</v>
      </c>
      <c r="D241" s="22" t="s">
        <v>267</v>
      </c>
      <c r="E241" s="23" t="s">
        <v>15</v>
      </c>
      <c r="F241" s="24">
        <v>19690301</v>
      </c>
      <c r="G241" s="16">
        <f t="shared" si="28"/>
        <v>25263</v>
      </c>
      <c r="H241" s="2">
        <f t="shared" si="29"/>
        <v>52</v>
      </c>
      <c r="I241" s="17"/>
      <c r="J241" s="25">
        <v>19910902</v>
      </c>
      <c r="K241" s="16">
        <f t="shared" si="30"/>
        <v>33483</v>
      </c>
      <c r="L241" s="2">
        <f t="shared" si="31"/>
        <v>29</v>
      </c>
      <c r="M241" s="25"/>
      <c r="N241" s="26"/>
      <c r="O241" s="27">
        <v>0</v>
      </c>
      <c r="P241" s="70">
        <v>41011</v>
      </c>
      <c r="Q241" s="70" t="s">
        <v>258</v>
      </c>
      <c r="R241" s="22">
        <v>1</v>
      </c>
      <c r="S241" s="22" t="s">
        <v>636</v>
      </c>
      <c r="T241" s="22">
        <v>2</v>
      </c>
      <c r="AE241">
        <f t="shared" si="27"/>
        <v>41011</v>
      </c>
    </row>
    <row r="242" spans="1:31">
      <c r="A242">
        <v>11</v>
      </c>
      <c r="B242" s="21">
        <v>399</v>
      </c>
      <c r="C242" s="22">
        <v>3903</v>
      </c>
      <c r="D242" s="22" t="s">
        <v>268</v>
      </c>
      <c r="E242" s="23" t="s">
        <v>15</v>
      </c>
      <c r="F242" s="24">
        <v>19650102</v>
      </c>
      <c r="G242" s="16">
        <f t="shared" si="28"/>
        <v>23744</v>
      </c>
      <c r="H242" s="2">
        <f t="shared" si="29"/>
        <v>56</v>
      </c>
      <c r="I242" s="17"/>
      <c r="J242" s="25">
        <v>20010315</v>
      </c>
      <c r="K242" s="16">
        <f t="shared" si="30"/>
        <v>36965</v>
      </c>
      <c r="L242" s="2">
        <f t="shared" si="31"/>
        <v>20</v>
      </c>
      <c r="M242" s="25"/>
      <c r="N242" s="26"/>
      <c r="O242" s="27" t="s">
        <v>35</v>
      </c>
      <c r="P242" s="70">
        <v>41011</v>
      </c>
      <c r="Q242" s="70" t="s">
        <v>258</v>
      </c>
      <c r="R242" s="22">
        <v>1</v>
      </c>
      <c r="S242" s="22" t="s">
        <v>636</v>
      </c>
      <c r="T242" s="22">
        <v>2</v>
      </c>
      <c r="AE242">
        <f t="shared" si="27"/>
        <v>41011</v>
      </c>
    </row>
    <row r="243" spans="1:31">
      <c r="A243">
        <v>12</v>
      </c>
      <c r="B243" s="21">
        <v>124</v>
      </c>
      <c r="C243" s="22">
        <v>2973</v>
      </c>
      <c r="D243" s="22" t="s">
        <v>269</v>
      </c>
      <c r="E243" s="23" t="s">
        <v>15</v>
      </c>
      <c r="F243" s="24">
        <v>19740327</v>
      </c>
      <c r="G243" s="16">
        <f t="shared" si="28"/>
        <v>27115</v>
      </c>
      <c r="H243" s="2">
        <f t="shared" si="29"/>
        <v>47</v>
      </c>
      <c r="I243" s="17"/>
      <c r="J243" s="25">
        <v>19940322</v>
      </c>
      <c r="K243" s="16">
        <f t="shared" si="30"/>
        <v>34415</v>
      </c>
      <c r="L243" s="2">
        <f t="shared" si="31"/>
        <v>27</v>
      </c>
      <c r="M243" s="25"/>
      <c r="N243" s="26"/>
      <c r="O243" s="27" t="s">
        <v>19</v>
      </c>
      <c r="P243" s="70">
        <v>41011</v>
      </c>
      <c r="Q243" s="70" t="s">
        <v>258</v>
      </c>
      <c r="R243" s="22">
        <v>1</v>
      </c>
      <c r="S243" s="22" t="s">
        <v>636</v>
      </c>
      <c r="T243" s="22">
        <v>2</v>
      </c>
      <c r="AE243">
        <f t="shared" si="27"/>
        <v>41011</v>
      </c>
    </row>
    <row r="244" spans="1:31">
      <c r="A244">
        <v>13</v>
      </c>
      <c r="B244" s="21">
        <v>215</v>
      </c>
      <c r="C244" s="22">
        <v>3261</v>
      </c>
      <c r="D244" s="22" t="s">
        <v>270</v>
      </c>
      <c r="E244" s="23" t="s">
        <v>15</v>
      </c>
      <c r="F244" s="24">
        <v>19840718</v>
      </c>
      <c r="G244" s="16">
        <f t="shared" si="28"/>
        <v>30881</v>
      </c>
      <c r="H244" s="2">
        <f t="shared" si="29"/>
        <v>37</v>
      </c>
      <c r="I244" s="17"/>
      <c r="J244" s="25">
        <v>20070321</v>
      </c>
      <c r="K244" s="16">
        <f t="shared" si="30"/>
        <v>39162</v>
      </c>
      <c r="L244" s="2">
        <f t="shared" si="31"/>
        <v>14</v>
      </c>
      <c r="M244" s="25"/>
      <c r="N244" s="26"/>
      <c r="O244" s="27" t="s">
        <v>16</v>
      </c>
      <c r="P244" s="70">
        <v>41011</v>
      </c>
      <c r="Q244" s="70" t="s">
        <v>258</v>
      </c>
      <c r="R244" s="22">
        <v>1</v>
      </c>
      <c r="S244" s="22" t="s">
        <v>636</v>
      </c>
      <c r="T244" s="22">
        <v>2</v>
      </c>
      <c r="AE244">
        <f t="shared" si="27"/>
        <v>41011</v>
      </c>
    </row>
    <row r="245" spans="1:31">
      <c r="A245">
        <v>14</v>
      </c>
      <c r="B245" s="21">
        <v>212</v>
      </c>
      <c r="C245" s="22">
        <v>3253</v>
      </c>
      <c r="D245" s="22" t="s">
        <v>271</v>
      </c>
      <c r="E245" s="23" t="s">
        <v>15</v>
      </c>
      <c r="F245" s="24">
        <v>19850929</v>
      </c>
      <c r="G245" s="16">
        <f t="shared" si="28"/>
        <v>31319</v>
      </c>
      <c r="H245" s="2">
        <f t="shared" si="29"/>
        <v>35</v>
      </c>
      <c r="I245" s="17"/>
      <c r="J245" s="25">
        <v>20060321</v>
      </c>
      <c r="K245" s="16">
        <f t="shared" si="30"/>
        <v>38797</v>
      </c>
      <c r="L245" s="2">
        <f t="shared" si="31"/>
        <v>15</v>
      </c>
      <c r="M245" s="25"/>
      <c r="N245" s="26"/>
      <c r="O245" s="27" t="s">
        <v>19</v>
      </c>
      <c r="P245" s="70">
        <v>41011</v>
      </c>
      <c r="Q245" s="70" t="s">
        <v>258</v>
      </c>
      <c r="R245" s="22">
        <v>1</v>
      </c>
      <c r="S245" s="22" t="s">
        <v>636</v>
      </c>
      <c r="T245" s="22">
        <v>2</v>
      </c>
      <c r="AE245">
        <f t="shared" si="27"/>
        <v>41011</v>
      </c>
    </row>
    <row r="246" spans="1:31">
      <c r="A246">
        <v>15</v>
      </c>
      <c r="B246" s="21">
        <v>266</v>
      </c>
      <c r="C246" s="22">
        <v>3367</v>
      </c>
      <c r="D246" s="22" t="s">
        <v>272</v>
      </c>
      <c r="E246" s="23" t="s">
        <v>15</v>
      </c>
      <c r="F246" s="24">
        <v>19931113</v>
      </c>
      <c r="G246" s="16">
        <f t="shared" si="28"/>
        <v>34286</v>
      </c>
      <c r="H246" s="2">
        <f t="shared" si="29"/>
        <v>27</v>
      </c>
      <c r="I246" s="17"/>
      <c r="J246" s="25">
        <v>20120321</v>
      </c>
      <c r="K246" s="16">
        <f t="shared" si="30"/>
        <v>40989</v>
      </c>
      <c r="L246" s="2">
        <f t="shared" si="31"/>
        <v>9</v>
      </c>
      <c r="M246" s="25"/>
      <c r="N246" s="26"/>
      <c r="O246" s="27" t="s">
        <v>35</v>
      </c>
      <c r="P246" s="70">
        <v>41011</v>
      </c>
      <c r="Q246" s="70" t="s">
        <v>258</v>
      </c>
      <c r="R246" s="22">
        <v>1</v>
      </c>
      <c r="S246" s="22" t="s">
        <v>636</v>
      </c>
      <c r="T246" s="22">
        <v>2</v>
      </c>
      <c r="AE246">
        <f t="shared" si="27"/>
        <v>41011</v>
      </c>
    </row>
    <row r="247" spans="1:31">
      <c r="A247">
        <v>16</v>
      </c>
      <c r="B247" s="21">
        <v>268</v>
      </c>
      <c r="C247" s="22">
        <v>3369</v>
      </c>
      <c r="D247" s="22" t="s">
        <v>273</v>
      </c>
      <c r="E247" s="23" t="s">
        <v>15</v>
      </c>
      <c r="F247" s="24">
        <v>19930510</v>
      </c>
      <c r="G247" s="16">
        <f t="shared" si="28"/>
        <v>34099</v>
      </c>
      <c r="H247" s="2">
        <f t="shared" si="29"/>
        <v>28</v>
      </c>
      <c r="I247" s="17"/>
      <c r="J247" s="25">
        <v>20120321</v>
      </c>
      <c r="K247" s="16">
        <f t="shared" si="30"/>
        <v>40989</v>
      </c>
      <c r="L247" s="2">
        <f t="shared" si="31"/>
        <v>9</v>
      </c>
      <c r="M247" s="25"/>
      <c r="N247" s="26"/>
      <c r="O247" s="27" t="s">
        <v>35</v>
      </c>
      <c r="P247" s="70">
        <v>41011</v>
      </c>
      <c r="Q247" s="70" t="s">
        <v>258</v>
      </c>
      <c r="R247" s="22">
        <v>1</v>
      </c>
      <c r="S247" s="22" t="s">
        <v>636</v>
      </c>
      <c r="T247" s="22">
        <v>2</v>
      </c>
      <c r="AE247">
        <f t="shared" si="27"/>
        <v>41011</v>
      </c>
    </row>
    <row r="248" spans="1:31">
      <c r="A248">
        <v>17</v>
      </c>
      <c r="B248" s="21">
        <v>284</v>
      </c>
      <c r="C248" s="22">
        <v>3399</v>
      </c>
      <c r="D248" s="22" t="s">
        <v>274</v>
      </c>
      <c r="E248" s="23" t="s">
        <v>15</v>
      </c>
      <c r="F248" s="24">
        <v>19950109</v>
      </c>
      <c r="G248" s="16">
        <f t="shared" si="28"/>
        <v>34708</v>
      </c>
      <c r="H248" s="2">
        <f t="shared" si="29"/>
        <v>26</v>
      </c>
      <c r="I248" s="17"/>
      <c r="J248" s="25">
        <v>20130321</v>
      </c>
      <c r="K248" s="16">
        <f t="shared" si="30"/>
        <v>41354</v>
      </c>
      <c r="L248" s="2">
        <f t="shared" si="31"/>
        <v>8</v>
      </c>
      <c r="M248" s="25"/>
      <c r="N248" s="26"/>
      <c r="O248" s="27" t="s">
        <v>35</v>
      </c>
      <c r="P248" s="70">
        <v>41011</v>
      </c>
      <c r="Q248" s="70" t="s">
        <v>258</v>
      </c>
      <c r="R248" s="22">
        <v>1</v>
      </c>
      <c r="S248" s="22" t="s">
        <v>636</v>
      </c>
      <c r="T248" s="22">
        <v>2</v>
      </c>
      <c r="AE248">
        <f t="shared" si="27"/>
        <v>41011</v>
      </c>
    </row>
    <row r="249" spans="1:31">
      <c r="A249">
        <v>18</v>
      </c>
      <c r="B249" s="21">
        <v>332</v>
      </c>
      <c r="C249" s="22">
        <v>3476</v>
      </c>
      <c r="D249" s="22" t="s">
        <v>275</v>
      </c>
      <c r="E249" s="23" t="s">
        <v>15</v>
      </c>
      <c r="F249" s="24">
        <v>19980404</v>
      </c>
      <c r="G249" s="16">
        <f t="shared" si="28"/>
        <v>35889</v>
      </c>
      <c r="H249" s="2">
        <f t="shared" si="29"/>
        <v>23</v>
      </c>
      <c r="I249" s="17"/>
      <c r="J249" s="25">
        <v>20170403</v>
      </c>
      <c r="K249" s="16">
        <f t="shared" si="30"/>
        <v>42828</v>
      </c>
      <c r="L249" s="2">
        <f t="shared" si="31"/>
        <v>4</v>
      </c>
      <c r="M249" s="25"/>
      <c r="N249" s="26"/>
      <c r="O249" s="27">
        <v>6</v>
      </c>
      <c r="P249" s="70">
        <v>41011</v>
      </c>
      <c r="Q249" s="70" t="s">
        <v>258</v>
      </c>
      <c r="R249" s="22">
        <v>1</v>
      </c>
      <c r="S249" s="22" t="s">
        <v>636</v>
      </c>
      <c r="T249" s="22">
        <v>2</v>
      </c>
      <c r="AE249">
        <f t="shared" si="27"/>
        <v>41011</v>
      </c>
    </row>
    <row r="250" spans="1:31">
      <c r="A250">
        <v>19</v>
      </c>
      <c r="B250" s="21">
        <v>360</v>
      </c>
      <c r="C250" s="22">
        <v>3510</v>
      </c>
      <c r="D250" s="22" t="s">
        <v>276</v>
      </c>
      <c r="E250" s="23" t="s">
        <v>15</v>
      </c>
      <c r="F250" s="24">
        <v>20000722</v>
      </c>
      <c r="G250" s="16">
        <f t="shared" si="28"/>
        <v>36729</v>
      </c>
      <c r="H250" s="2">
        <f t="shared" si="29"/>
        <v>21</v>
      </c>
      <c r="I250" s="17"/>
      <c r="J250" s="25">
        <v>20190401</v>
      </c>
      <c r="K250" s="16">
        <f t="shared" si="30"/>
        <v>43556</v>
      </c>
      <c r="L250" s="2">
        <f t="shared" si="31"/>
        <v>2</v>
      </c>
      <c r="M250" s="25"/>
      <c r="N250" s="26"/>
      <c r="O250" s="27">
        <v>6</v>
      </c>
      <c r="P250" s="70">
        <v>41011</v>
      </c>
      <c r="Q250" s="70" t="s">
        <v>258</v>
      </c>
      <c r="R250" s="22">
        <v>1</v>
      </c>
      <c r="S250" s="22" t="s">
        <v>636</v>
      </c>
      <c r="T250" s="22">
        <v>2</v>
      </c>
      <c r="AE250">
        <f t="shared" si="27"/>
        <v>41011</v>
      </c>
    </row>
    <row r="251" spans="1:31">
      <c r="A251">
        <v>20</v>
      </c>
      <c r="B251" s="21">
        <v>367</v>
      </c>
      <c r="C251" s="22">
        <v>3520</v>
      </c>
      <c r="D251" s="22" t="s">
        <v>277</v>
      </c>
      <c r="E251" s="23" t="s">
        <v>635</v>
      </c>
      <c r="F251" s="24">
        <v>20010529</v>
      </c>
      <c r="G251" s="16">
        <f t="shared" si="28"/>
        <v>37040</v>
      </c>
      <c r="H251" s="2">
        <f t="shared" si="29"/>
        <v>20</v>
      </c>
      <c r="I251" s="17"/>
      <c r="J251" s="25">
        <v>20200401</v>
      </c>
      <c r="K251" s="16">
        <f t="shared" si="30"/>
        <v>43922</v>
      </c>
      <c r="L251" s="2">
        <f t="shared" si="31"/>
        <v>1</v>
      </c>
      <c r="M251" s="25"/>
      <c r="N251" s="26"/>
      <c r="O251" s="27">
        <v>6</v>
      </c>
      <c r="P251" s="70">
        <v>41011</v>
      </c>
      <c r="Q251" s="70" t="s">
        <v>258</v>
      </c>
      <c r="R251" s="22">
        <v>1</v>
      </c>
      <c r="S251" s="22" t="s">
        <v>636</v>
      </c>
      <c r="T251" s="22">
        <v>2</v>
      </c>
      <c r="AE251">
        <f t="shared" si="27"/>
        <v>41011</v>
      </c>
    </row>
    <row r="252" spans="1:31">
      <c r="A252">
        <v>21</v>
      </c>
      <c r="B252" s="21"/>
      <c r="C252" s="22">
        <v>3526</v>
      </c>
      <c r="D252" s="22" t="s">
        <v>278</v>
      </c>
      <c r="E252" s="23" t="s">
        <v>635</v>
      </c>
      <c r="F252" s="24">
        <v>20020507</v>
      </c>
      <c r="G252" s="16">
        <f t="shared" si="28"/>
        <v>37383</v>
      </c>
      <c r="H252" s="2">
        <f t="shared" si="29"/>
        <v>19</v>
      </c>
      <c r="I252" s="17"/>
      <c r="J252" s="25">
        <v>20210401</v>
      </c>
      <c r="K252" s="16">
        <f t="shared" si="30"/>
        <v>44287</v>
      </c>
      <c r="L252" s="2">
        <f t="shared" si="31"/>
        <v>0</v>
      </c>
      <c r="M252" s="25"/>
      <c r="N252" s="26"/>
      <c r="O252" s="27"/>
      <c r="P252" s="70">
        <v>41011</v>
      </c>
      <c r="Q252" s="70" t="s">
        <v>258</v>
      </c>
      <c r="R252" s="22"/>
      <c r="S252" s="22"/>
      <c r="T252" s="22"/>
      <c r="AE252">
        <f t="shared" si="27"/>
        <v>41011</v>
      </c>
    </row>
    <row r="253" spans="1:31">
      <c r="A253">
        <v>22</v>
      </c>
      <c r="B253" s="21">
        <v>126</v>
      </c>
      <c r="C253" s="22">
        <v>2979</v>
      </c>
      <c r="D253" s="22" t="s">
        <v>279</v>
      </c>
      <c r="E253" s="23" t="s">
        <v>15</v>
      </c>
      <c r="F253" s="24">
        <v>19750704</v>
      </c>
      <c r="G253" s="16">
        <f t="shared" si="28"/>
        <v>27579</v>
      </c>
      <c r="H253" s="2">
        <f t="shared" si="29"/>
        <v>46</v>
      </c>
      <c r="I253" s="17"/>
      <c r="J253" s="25">
        <v>19940322</v>
      </c>
      <c r="K253" s="16">
        <f t="shared" si="30"/>
        <v>34415</v>
      </c>
      <c r="L253" s="2">
        <f t="shared" si="31"/>
        <v>27</v>
      </c>
      <c r="M253" s="25"/>
      <c r="N253" s="26"/>
      <c r="O253" s="27" t="s">
        <v>35</v>
      </c>
      <c r="P253" s="70">
        <v>41111</v>
      </c>
      <c r="Q253" s="70" t="s">
        <v>280</v>
      </c>
      <c r="R253" s="22">
        <v>1</v>
      </c>
      <c r="S253" s="22" t="s">
        <v>636</v>
      </c>
      <c r="T253" s="22">
        <v>1</v>
      </c>
      <c r="AE253">
        <f t="shared" si="27"/>
        <v>41111</v>
      </c>
    </row>
    <row r="254" spans="1:31">
      <c r="A254">
        <v>23</v>
      </c>
      <c r="B254" s="21">
        <v>468</v>
      </c>
      <c r="C254" s="22">
        <v>5266</v>
      </c>
      <c r="D254" s="22" t="s">
        <v>281</v>
      </c>
      <c r="E254" s="23" t="s">
        <v>15</v>
      </c>
      <c r="F254" s="24">
        <v>19800629</v>
      </c>
      <c r="G254" s="16">
        <f t="shared" si="28"/>
        <v>29401</v>
      </c>
      <c r="H254" s="2">
        <f t="shared" si="29"/>
        <v>41</v>
      </c>
      <c r="I254" s="17"/>
      <c r="J254" s="25">
        <v>19960328</v>
      </c>
      <c r="K254" s="16">
        <f t="shared" si="30"/>
        <v>35152</v>
      </c>
      <c r="L254" s="2">
        <f t="shared" si="31"/>
        <v>25</v>
      </c>
      <c r="M254" s="25"/>
      <c r="N254" s="26"/>
      <c r="O254" s="27" t="s">
        <v>77</v>
      </c>
      <c r="P254" s="70">
        <v>41111</v>
      </c>
      <c r="Q254" s="70" t="s">
        <v>280</v>
      </c>
      <c r="R254" s="22">
        <v>1</v>
      </c>
      <c r="S254" s="22" t="s">
        <v>636</v>
      </c>
      <c r="T254" s="22">
        <v>1</v>
      </c>
      <c r="AE254">
        <f t="shared" si="27"/>
        <v>41111</v>
      </c>
    </row>
    <row r="255" spans="1:31">
      <c r="A255">
        <v>24</v>
      </c>
      <c r="B255" s="21">
        <v>264</v>
      </c>
      <c r="C255" s="22">
        <v>3365</v>
      </c>
      <c r="D255" s="22" t="s">
        <v>282</v>
      </c>
      <c r="E255" s="23" t="s">
        <v>15</v>
      </c>
      <c r="F255" s="24">
        <v>19930912</v>
      </c>
      <c r="G255" s="16">
        <f t="shared" si="28"/>
        <v>34224</v>
      </c>
      <c r="H255" s="2">
        <f t="shared" si="29"/>
        <v>27</v>
      </c>
      <c r="I255" s="17"/>
      <c r="J255" s="25">
        <v>20120321</v>
      </c>
      <c r="K255" s="16">
        <f t="shared" si="30"/>
        <v>40989</v>
      </c>
      <c r="L255" s="2">
        <f t="shared" si="31"/>
        <v>9</v>
      </c>
      <c r="M255" s="25"/>
      <c r="N255" s="26"/>
      <c r="O255" s="27" t="s">
        <v>35</v>
      </c>
      <c r="P255" s="70">
        <v>41111</v>
      </c>
      <c r="Q255" s="70" t="s">
        <v>280</v>
      </c>
      <c r="R255" s="22">
        <v>1</v>
      </c>
      <c r="S255" s="22" t="s">
        <v>636</v>
      </c>
      <c r="T255" s="22">
        <v>1</v>
      </c>
      <c r="AE255">
        <f t="shared" si="27"/>
        <v>41111</v>
      </c>
    </row>
    <row r="256" spans="1:31">
      <c r="A256">
        <v>25</v>
      </c>
      <c r="B256" s="21">
        <v>76</v>
      </c>
      <c r="C256" s="22">
        <v>2692</v>
      </c>
      <c r="D256" s="22" t="s">
        <v>283</v>
      </c>
      <c r="E256" s="23" t="s">
        <v>15</v>
      </c>
      <c r="F256" s="24">
        <v>19650611</v>
      </c>
      <c r="G256" s="16">
        <f t="shared" si="28"/>
        <v>23904</v>
      </c>
      <c r="H256" s="2">
        <f t="shared" si="29"/>
        <v>56</v>
      </c>
      <c r="I256" s="17"/>
      <c r="J256" s="25">
        <v>19840321</v>
      </c>
      <c r="K256" s="16">
        <f t="shared" si="30"/>
        <v>30762</v>
      </c>
      <c r="L256" s="2">
        <f t="shared" si="31"/>
        <v>37</v>
      </c>
      <c r="M256" s="25"/>
      <c r="N256" s="26"/>
      <c r="O256" s="27" t="s">
        <v>35</v>
      </c>
      <c r="P256" s="70">
        <v>41111</v>
      </c>
      <c r="Q256" s="70" t="s">
        <v>280</v>
      </c>
      <c r="R256" s="22">
        <v>1</v>
      </c>
      <c r="S256" s="22" t="s">
        <v>636</v>
      </c>
      <c r="T256" s="22">
        <v>2</v>
      </c>
      <c r="AE256">
        <f t="shared" si="27"/>
        <v>41111</v>
      </c>
    </row>
    <row r="257" spans="1:31">
      <c r="A257">
        <v>26</v>
      </c>
      <c r="B257" s="21">
        <v>105</v>
      </c>
      <c r="C257" s="22">
        <v>2852</v>
      </c>
      <c r="D257" s="22" t="s">
        <v>284</v>
      </c>
      <c r="E257" s="23" t="s">
        <v>15</v>
      </c>
      <c r="F257" s="24">
        <v>19700516</v>
      </c>
      <c r="G257" s="16">
        <f t="shared" si="28"/>
        <v>25704</v>
      </c>
      <c r="H257" s="2">
        <f t="shared" si="29"/>
        <v>51</v>
      </c>
      <c r="I257" s="17"/>
      <c r="J257" s="25">
        <v>19890322</v>
      </c>
      <c r="K257" s="16">
        <f t="shared" si="30"/>
        <v>32589</v>
      </c>
      <c r="L257" s="2">
        <f t="shared" si="31"/>
        <v>32</v>
      </c>
      <c r="M257" s="25"/>
      <c r="N257" s="26"/>
      <c r="O257" s="27" t="s">
        <v>35</v>
      </c>
      <c r="P257" s="70">
        <v>41111</v>
      </c>
      <c r="Q257" s="70" t="s">
        <v>280</v>
      </c>
      <c r="R257" s="22">
        <v>1</v>
      </c>
      <c r="S257" s="22" t="s">
        <v>636</v>
      </c>
      <c r="T257" s="22">
        <v>2</v>
      </c>
      <c r="AE257">
        <f t="shared" si="27"/>
        <v>41111</v>
      </c>
    </row>
    <row r="258" spans="1:31">
      <c r="A258">
        <v>27</v>
      </c>
      <c r="B258" s="21">
        <v>169</v>
      </c>
      <c r="C258" s="22">
        <v>3150</v>
      </c>
      <c r="D258" s="22" t="s">
        <v>285</v>
      </c>
      <c r="E258" s="23" t="s">
        <v>15</v>
      </c>
      <c r="F258" s="24">
        <v>19780131</v>
      </c>
      <c r="G258" s="16">
        <f t="shared" si="28"/>
        <v>28521</v>
      </c>
      <c r="H258" s="2">
        <f t="shared" si="29"/>
        <v>43</v>
      </c>
      <c r="I258" s="17"/>
      <c r="J258" s="25">
        <v>19980323</v>
      </c>
      <c r="K258" s="16">
        <f t="shared" si="30"/>
        <v>35877</v>
      </c>
      <c r="L258" s="2">
        <f t="shared" si="31"/>
        <v>23</v>
      </c>
      <c r="M258" s="25"/>
      <c r="N258" s="26"/>
      <c r="O258" s="27" t="s">
        <v>19</v>
      </c>
      <c r="P258" s="70">
        <v>41111</v>
      </c>
      <c r="Q258" s="70" t="s">
        <v>280</v>
      </c>
      <c r="R258" s="22">
        <v>1</v>
      </c>
      <c r="S258" s="22" t="s">
        <v>636</v>
      </c>
      <c r="T258" s="22">
        <v>2</v>
      </c>
      <c r="AE258">
        <f t="shared" si="27"/>
        <v>41111</v>
      </c>
    </row>
    <row r="259" spans="1:31">
      <c r="A259">
        <v>28</v>
      </c>
      <c r="B259" s="21">
        <v>434</v>
      </c>
      <c r="C259" s="22">
        <v>3989</v>
      </c>
      <c r="D259" s="22" t="s">
        <v>286</v>
      </c>
      <c r="E259" s="23" t="s">
        <v>15</v>
      </c>
      <c r="F259" s="24">
        <v>19750412</v>
      </c>
      <c r="G259" s="16">
        <f t="shared" si="28"/>
        <v>27496</v>
      </c>
      <c r="H259" s="2">
        <f t="shared" si="29"/>
        <v>46</v>
      </c>
      <c r="I259" s="17"/>
      <c r="J259" s="25">
        <v>20071101</v>
      </c>
      <c r="K259" s="16">
        <f t="shared" si="30"/>
        <v>39387</v>
      </c>
      <c r="L259" s="2">
        <f t="shared" si="31"/>
        <v>13</v>
      </c>
      <c r="M259" s="25"/>
      <c r="N259" s="26"/>
      <c r="O259" s="27" t="s">
        <v>19</v>
      </c>
      <c r="P259" s="70">
        <v>41111</v>
      </c>
      <c r="Q259" s="70" t="s">
        <v>280</v>
      </c>
      <c r="R259" s="22">
        <v>1</v>
      </c>
      <c r="S259" s="22" t="s">
        <v>636</v>
      </c>
      <c r="T259" s="22">
        <v>2</v>
      </c>
      <c r="AE259">
        <f t="shared" si="27"/>
        <v>41111</v>
      </c>
    </row>
    <row r="260" spans="1:31">
      <c r="A260">
        <v>29</v>
      </c>
      <c r="B260" s="21">
        <v>218</v>
      </c>
      <c r="C260" s="22">
        <v>3264</v>
      </c>
      <c r="D260" s="22" t="s">
        <v>287</v>
      </c>
      <c r="E260" s="23" t="s">
        <v>15</v>
      </c>
      <c r="F260" s="24">
        <v>19880519</v>
      </c>
      <c r="G260" s="16">
        <f t="shared" si="28"/>
        <v>32282</v>
      </c>
      <c r="H260" s="2">
        <f t="shared" si="29"/>
        <v>33</v>
      </c>
      <c r="I260" s="17"/>
      <c r="J260" s="25">
        <v>20070321</v>
      </c>
      <c r="K260" s="16">
        <f t="shared" si="30"/>
        <v>39162</v>
      </c>
      <c r="L260" s="2">
        <f t="shared" si="31"/>
        <v>14</v>
      </c>
      <c r="M260" s="25"/>
      <c r="N260" s="26"/>
      <c r="O260" s="27" t="s">
        <v>35</v>
      </c>
      <c r="P260" s="70">
        <v>41111</v>
      </c>
      <c r="Q260" s="70" t="s">
        <v>280</v>
      </c>
      <c r="R260" s="22">
        <v>1</v>
      </c>
      <c r="S260" s="22" t="s">
        <v>636</v>
      </c>
      <c r="T260" s="22">
        <v>2</v>
      </c>
      <c r="AE260">
        <f t="shared" si="27"/>
        <v>41111</v>
      </c>
    </row>
    <row r="261" spans="1:31">
      <c r="A261">
        <v>30</v>
      </c>
      <c r="B261" s="21">
        <v>366</v>
      </c>
      <c r="C261" s="22">
        <v>3519</v>
      </c>
      <c r="D261" s="22" t="s">
        <v>288</v>
      </c>
      <c r="E261" s="23" t="s">
        <v>635</v>
      </c>
      <c r="F261" s="24">
        <v>20011128</v>
      </c>
      <c r="G261" s="16">
        <f t="shared" si="28"/>
        <v>37223</v>
      </c>
      <c r="H261" s="2">
        <f t="shared" si="29"/>
        <v>19</v>
      </c>
      <c r="I261" s="17"/>
      <c r="J261" s="25">
        <v>20200401</v>
      </c>
      <c r="K261" s="16">
        <f t="shared" si="30"/>
        <v>43922</v>
      </c>
      <c r="L261" s="2">
        <f t="shared" si="31"/>
        <v>1</v>
      </c>
      <c r="M261" s="25"/>
      <c r="N261" s="26"/>
      <c r="O261" s="27">
        <v>6</v>
      </c>
      <c r="P261" s="70">
        <v>41111</v>
      </c>
      <c r="Q261" s="70" t="s">
        <v>280</v>
      </c>
      <c r="R261" s="22">
        <v>1</v>
      </c>
      <c r="S261" s="22" t="s">
        <v>636</v>
      </c>
      <c r="T261" s="22">
        <v>2</v>
      </c>
      <c r="AE261">
        <f t="shared" si="27"/>
        <v>41111</v>
      </c>
    </row>
    <row r="262" spans="1:31">
      <c r="A262">
        <v>31</v>
      </c>
      <c r="B262" s="21">
        <v>191</v>
      </c>
      <c r="C262" s="22">
        <v>3206</v>
      </c>
      <c r="D262" s="22" t="s">
        <v>289</v>
      </c>
      <c r="E262" s="23" t="s">
        <v>15</v>
      </c>
      <c r="F262" s="24">
        <v>19840907</v>
      </c>
      <c r="G262" s="16">
        <f t="shared" si="28"/>
        <v>30932</v>
      </c>
      <c r="H262" s="2">
        <f t="shared" si="29"/>
        <v>36</v>
      </c>
      <c r="I262" s="17"/>
      <c r="J262" s="25">
        <v>20030321</v>
      </c>
      <c r="K262" s="16">
        <f t="shared" si="30"/>
        <v>37701</v>
      </c>
      <c r="L262" s="2">
        <f t="shared" si="31"/>
        <v>18</v>
      </c>
      <c r="M262" s="25"/>
      <c r="N262" s="26"/>
      <c r="O262" s="27" t="s">
        <v>35</v>
      </c>
      <c r="P262" s="70">
        <v>42011</v>
      </c>
      <c r="Q262" s="70" t="s">
        <v>290</v>
      </c>
      <c r="R262" s="22">
        <v>1</v>
      </c>
      <c r="S262" s="22" t="s">
        <v>636</v>
      </c>
      <c r="T262" s="22">
        <v>1</v>
      </c>
      <c r="AE262">
        <f t="shared" ref="AE262:AE325" si="32">ROUNDDOWN(P262*1,0)</f>
        <v>42011</v>
      </c>
    </row>
    <row r="263" spans="1:31">
      <c r="A263">
        <v>32</v>
      </c>
      <c r="B263" s="21">
        <v>205</v>
      </c>
      <c r="C263" s="22">
        <v>3236</v>
      </c>
      <c r="D263" s="22" t="s">
        <v>291</v>
      </c>
      <c r="E263" s="23" t="s">
        <v>15</v>
      </c>
      <c r="F263" s="24">
        <v>19860912</v>
      </c>
      <c r="G263" s="16">
        <f t="shared" si="28"/>
        <v>31667</v>
      </c>
      <c r="H263" s="2">
        <f t="shared" si="29"/>
        <v>34</v>
      </c>
      <c r="I263" s="17"/>
      <c r="J263" s="25">
        <v>20050321</v>
      </c>
      <c r="K263" s="16">
        <f t="shared" si="30"/>
        <v>38432</v>
      </c>
      <c r="L263" s="2">
        <f t="shared" si="31"/>
        <v>16</v>
      </c>
      <c r="M263" s="25"/>
      <c r="N263" s="26"/>
      <c r="O263" s="27" t="s">
        <v>35</v>
      </c>
      <c r="P263" s="70">
        <v>42011</v>
      </c>
      <c r="Q263" s="70" t="s">
        <v>290</v>
      </c>
      <c r="R263" s="22">
        <v>1</v>
      </c>
      <c r="S263" s="22" t="s">
        <v>636</v>
      </c>
      <c r="T263" s="22">
        <v>1</v>
      </c>
      <c r="AE263">
        <f t="shared" si="32"/>
        <v>42011</v>
      </c>
    </row>
    <row r="264" spans="1:31">
      <c r="A264">
        <v>33</v>
      </c>
      <c r="B264" s="21">
        <v>216</v>
      </c>
      <c r="C264" s="22">
        <v>3262</v>
      </c>
      <c r="D264" s="22" t="s">
        <v>292</v>
      </c>
      <c r="E264" s="23" t="s">
        <v>15</v>
      </c>
      <c r="F264" s="24">
        <v>19881128</v>
      </c>
      <c r="G264" s="16">
        <f t="shared" si="28"/>
        <v>32475</v>
      </c>
      <c r="H264" s="2">
        <f t="shared" si="29"/>
        <v>32</v>
      </c>
      <c r="I264" s="17"/>
      <c r="J264" s="25">
        <v>20070321</v>
      </c>
      <c r="K264" s="16">
        <f t="shared" si="30"/>
        <v>39162</v>
      </c>
      <c r="L264" s="2">
        <f t="shared" si="31"/>
        <v>14</v>
      </c>
      <c r="M264" s="25"/>
      <c r="N264" s="26"/>
      <c r="O264" s="27" t="s">
        <v>35</v>
      </c>
      <c r="P264" s="70">
        <v>42011</v>
      </c>
      <c r="Q264" s="70" t="s">
        <v>290</v>
      </c>
      <c r="R264" s="22">
        <v>1</v>
      </c>
      <c r="S264" s="22" t="s">
        <v>636</v>
      </c>
      <c r="T264" s="22">
        <v>1</v>
      </c>
      <c r="AE264">
        <f t="shared" si="32"/>
        <v>42011</v>
      </c>
    </row>
    <row r="265" spans="1:31">
      <c r="A265">
        <v>34</v>
      </c>
      <c r="B265" s="21">
        <v>305</v>
      </c>
      <c r="C265" s="22">
        <v>3437</v>
      </c>
      <c r="D265" s="22" t="s">
        <v>293</v>
      </c>
      <c r="E265" s="23" t="s">
        <v>15</v>
      </c>
      <c r="F265" s="24">
        <v>19960902</v>
      </c>
      <c r="G265" s="16">
        <f t="shared" si="28"/>
        <v>35310</v>
      </c>
      <c r="H265" s="2">
        <f t="shared" si="29"/>
        <v>24</v>
      </c>
      <c r="I265" s="17"/>
      <c r="J265" s="25">
        <v>20150401</v>
      </c>
      <c r="K265" s="16">
        <f t="shared" si="30"/>
        <v>42095</v>
      </c>
      <c r="L265" s="2">
        <f t="shared" si="31"/>
        <v>6</v>
      </c>
      <c r="M265" s="25"/>
      <c r="N265" s="26"/>
      <c r="O265" s="27" t="s">
        <v>35</v>
      </c>
      <c r="P265" s="70">
        <v>42011</v>
      </c>
      <c r="Q265" s="70" t="s">
        <v>290</v>
      </c>
      <c r="R265" s="22">
        <v>1</v>
      </c>
      <c r="S265" s="22" t="s">
        <v>636</v>
      </c>
      <c r="T265" s="22">
        <v>1</v>
      </c>
      <c r="AE265">
        <f t="shared" si="32"/>
        <v>42011</v>
      </c>
    </row>
    <row r="266" spans="1:31">
      <c r="A266">
        <v>35</v>
      </c>
      <c r="B266" s="21">
        <v>446</v>
      </c>
      <c r="C266" s="22">
        <v>5050</v>
      </c>
      <c r="D266" s="22" t="s">
        <v>294</v>
      </c>
      <c r="E266" s="23" t="s">
        <v>15</v>
      </c>
      <c r="F266" s="24">
        <v>19660726</v>
      </c>
      <c r="G266" s="16">
        <f t="shared" si="28"/>
        <v>24314</v>
      </c>
      <c r="H266" s="2">
        <f t="shared" si="29"/>
        <v>55</v>
      </c>
      <c r="I266" s="17"/>
      <c r="J266" s="25">
        <v>19820325</v>
      </c>
      <c r="K266" s="16">
        <f t="shared" si="30"/>
        <v>30035</v>
      </c>
      <c r="L266" s="2">
        <f t="shared" si="31"/>
        <v>39</v>
      </c>
      <c r="M266" s="25"/>
      <c r="N266" s="26"/>
      <c r="O266" s="27" t="s">
        <v>295</v>
      </c>
      <c r="P266" s="70">
        <v>42011</v>
      </c>
      <c r="Q266" s="70" t="s">
        <v>290</v>
      </c>
      <c r="R266" s="22">
        <v>1</v>
      </c>
      <c r="S266" s="22" t="s">
        <v>636</v>
      </c>
      <c r="T266" s="22">
        <v>2</v>
      </c>
      <c r="AE266">
        <f t="shared" si="32"/>
        <v>42011</v>
      </c>
    </row>
    <row r="267" spans="1:31">
      <c r="A267">
        <v>36</v>
      </c>
      <c r="B267" s="21">
        <v>92</v>
      </c>
      <c r="C267" s="22">
        <v>2776</v>
      </c>
      <c r="D267" s="22" t="s">
        <v>296</v>
      </c>
      <c r="E267" s="23" t="s">
        <v>15</v>
      </c>
      <c r="F267" s="24">
        <v>19680217</v>
      </c>
      <c r="G267" s="16">
        <f t="shared" si="28"/>
        <v>24885</v>
      </c>
      <c r="H267" s="2">
        <f t="shared" si="29"/>
        <v>53</v>
      </c>
      <c r="I267" s="17"/>
      <c r="J267" s="25">
        <v>19860326</v>
      </c>
      <c r="K267" s="16">
        <f t="shared" si="30"/>
        <v>31497</v>
      </c>
      <c r="L267" s="2">
        <f t="shared" si="31"/>
        <v>35</v>
      </c>
      <c r="M267" s="25"/>
      <c r="N267" s="26"/>
      <c r="O267" s="27" t="s">
        <v>35</v>
      </c>
      <c r="P267" s="70">
        <v>42011</v>
      </c>
      <c r="Q267" s="70" t="s">
        <v>290</v>
      </c>
      <c r="R267" s="22">
        <v>1</v>
      </c>
      <c r="S267" s="22" t="s">
        <v>636</v>
      </c>
      <c r="T267" s="22">
        <v>2</v>
      </c>
      <c r="AE267">
        <f t="shared" si="32"/>
        <v>42011</v>
      </c>
    </row>
    <row r="268" spans="1:31">
      <c r="A268">
        <v>37</v>
      </c>
      <c r="B268" s="21">
        <v>371</v>
      </c>
      <c r="C268" s="22">
        <v>3728</v>
      </c>
      <c r="D268" s="22" t="s">
        <v>297</v>
      </c>
      <c r="E268" s="23" t="s">
        <v>15</v>
      </c>
      <c r="F268" s="24">
        <v>19630117</v>
      </c>
      <c r="G268" s="16">
        <f t="shared" si="28"/>
        <v>23028</v>
      </c>
      <c r="H268" s="2">
        <f t="shared" si="29"/>
        <v>58</v>
      </c>
      <c r="I268" s="17"/>
      <c r="J268" s="25">
        <v>19870921</v>
      </c>
      <c r="K268" s="16">
        <f t="shared" si="30"/>
        <v>32041</v>
      </c>
      <c r="L268" s="2">
        <f t="shared" si="31"/>
        <v>33</v>
      </c>
      <c r="M268" s="25"/>
      <c r="N268" s="26"/>
      <c r="O268" s="27" t="s">
        <v>35</v>
      </c>
      <c r="P268" s="70">
        <v>42011</v>
      </c>
      <c r="Q268" s="70" t="s">
        <v>290</v>
      </c>
      <c r="R268" s="22">
        <v>1</v>
      </c>
      <c r="S268" s="22" t="s">
        <v>636</v>
      </c>
      <c r="T268" s="22">
        <v>2</v>
      </c>
      <c r="AE268">
        <f t="shared" si="32"/>
        <v>42011</v>
      </c>
    </row>
    <row r="269" spans="1:31">
      <c r="A269">
        <v>38</v>
      </c>
      <c r="B269" s="21">
        <v>125</v>
      </c>
      <c r="C269" s="22">
        <v>2974</v>
      </c>
      <c r="D269" s="22" t="s">
        <v>298</v>
      </c>
      <c r="E269" s="23" t="s">
        <v>15</v>
      </c>
      <c r="F269" s="24">
        <v>19740124</v>
      </c>
      <c r="G269" s="16">
        <f t="shared" si="28"/>
        <v>27053</v>
      </c>
      <c r="H269" s="2">
        <f t="shared" si="29"/>
        <v>47</v>
      </c>
      <c r="I269" s="17"/>
      <c r="J269" s="25">
        <v>19940322</v>
      </c>
      <c r="K269" s="16">
        <f t="shared" si="30"/>
        <v>34415</v>
      </c>
      <c r="L269" s="2">
        <f t="shared" si="31"/>
        <v>27</v>
      </c>
      <c r="M269" s="25"/>
      <c r="N269" s="26"/>
      <c r="O269" s="27" t="s">
        <v>19</v>
      </c>
      <c r="P269" s="70">
        <v>42011</v>
      </c>
      <c r="Q269" s="70" t="s">
        <v>290</v>
      </c>
      <c r="R269" s="22">
        <v>1</v>
      </c>
      <c r="S269" s="22" t="s">
        <v>636</v>
      </c>
      <c r="T269" s="22">
        <v>2</v>
      </c>
      <c r="AE269">
        <f t="shared" si="32"/>
        <v>42011</v>
      </c>
    </row>
    <row r="270" spans="1:31">
      <c r="A270">
        <v>39</v>
      </c>
      <c r="B270" s="21">
        <v>146</v>
      </c>
      <c r="C270" s="22">
        <v>3050</v>
      </c>
      <c r="D270" s="22" t="s">
        <v>299</v>
      </c>
      <c r="E270" s="23" t="s">
        <v>15</v>
      </c>
      <c r="F270" s="24">
        <v>19770209</v>
      </c>
      <c r="G270" s="16">
        <f t="shared" si="28"/>
        <v>28165</v>
      </c>
      <c r="H270" s="2">
        <f t="shared" si="29"/>
        <v>44</v>
      </c>
      <c r="I270" s="17"/>
      <c r="J270" s="25">
        <v>19950322</v>
      </c>
      <c r="K270" s="16">
        <f t="shared" si="30"/>
        <v>34780</v>
      </c>
      <c r="L270" s="2">
        <f t="shared" si="31"/>
        <v>26</v>
      </c>
      <c r="M270" s="25"/>
      <c r="N270" s="26"/>
      <c r="O270" s="27" t="s">
        <v>35</v>
      </c>
      <c r="P270" s="70">
        <v>42011</v>
      </c>
      <c r="Q270" s="70" t="s">
        <v>290</v>
      </c>
      <c r="R270" s="22">
        <v>1</v>
      </c>
      <c r="S270" s="22" t="s">
        <v>636</v>
      </c>
      <c r="T270" s="22">
        <v>2</v>
      </c>
      <c r="AE270">
        <f t="shared" si="32"/>
        <v>42011</v>
      </c>
    </row>
    <row r="271" spans="1:31">
      <c r="A271">
        <v>40</v>
      </c>
      <c r="B271" s="21">
        <v>392</v>
      </c>
      <c r="C271" s="22">
        <v>3888</v>
      </c>
      <c r="D271" s="22" t="s">
        <v>300</v>
      </c>
      <c r="E271" s="23" t="s">
        <v>15</v>
      </c>
      <c r="F271" s="24">
        <v>19721231</v>
      </c>
      <c r="G271" s="16">
        <f t="shared" si="28"/>
        <v>26664</v>
      </c>
      <c r="H271" s="2">
        <f t="shared" si="29"/>
        <v>48</v>
      </c>
      <c r="I271" s="17"/>
      <c r="J271" s="25">
        <v>19910325</v>
      </c>
      <c r="K271" s="16">
        <f t="shared" si="30"/>
        <v>33322</v>
      </c>
      <c r="L271" s="2">
        <f t="shared" si="31"/>
        <v>30</v>
      </c>
      <c r="M271" s="25"/>
      <c r="N271" s="26"/>
      <c r="O271" s="27" t="s">
        <v>35</v>
      </c>
      <c r="P271" s="70">
        <v>42011</v>
      </c>
      <c r="Q271" s="70" t="s">
        <v>290</v>
      </c>
      <c r="R271" s="22">
        <v>1</v>
      </c>
      <c r="S271" s="22" t="s">
        <v>636</v>
      </c>
      <c r="T271" s="22">
        <v>2</v>
      </c>
      <c r="AE271">
        <f t="shared" si="32"/>
        <v>42011</v>
      </c>
    </row>
    <row r="272" spans="1:31">
      <c r="A272">
        <v>41</v>
      </c>
      <c r="B272" s="21">
        <v>190</v>
      </c>
      <c r="C272" s="22">
        <v>3203</v>
      </c>
      <c r="D272" s="22" t="s">
        <v>301</v>
      </c>
      <c r="E272" s="23" t="s">
        <v>15</v>
      </c>
      <c r="F272" s="24">
        <v>19841016</v>
      </c>
      <c r="G272" s="16">
        <f t="shared" si="28"/>
        <v>30971</v>
      </c>
      <c r="H272" s="2">
        <f t="shared" si="29"/>
        <v>36</v>
      </c>
      <c r="I272" s="17"/>
      <c r="J272" s="25">
        <v>20030321</v>
      </c>
      <c r="K272" s="16">
        <f t="shared" si="30"/>
        <v>37701</v>
      </c>
      <c r="L272" s="2">
        <f t="shared" si="31"/>
        <v>18</v>
      </c>
      <c r="M272" s="25"/>
      <c r="N272" s="26"/>
      <c r="O272" s="27" t="s">
        <v>35</v>
      </c>
      <c r="P272" s="70">
        <v>42011</v>
      </c>
      <c r="Q272" s="70" t="s">
        <v>290</v>
      </c>
      <c r="R272" s="22">
        <v>1</v>
      </c>
      <c r="S272" s="22" t="s">
        <v>636</v>
      </c>
      <c r="T272" s="22">
        <v>2</v>
      </c>
      <c r="AE272">
        <f t="shared" si="32"/>
        <v>42011</v>
      </c>
    </row>
    <row r="273" spans="1:31">
      <c r="A273">
        <v>42</v>
      </c>
      <c r="B273" s="21">
        <v>358</v>
      </c>
      <c r="C273" s="22">
        <v>3508</v>
      </c>
      <c r="D273" s="22" t="s">
        <v>302</v>
      </c>
      <c r="E273" s="23" t="s">
        <v>15</v>
      </c>
      <c r="F273" s="24">
        <v>20001207</v>
      </c>
      <c r="G273" s="16">
        <f t="shared" si="28"/>
        <v>36867</v>
      </c>
      <c r="H273" s="2">
        <f t="shared" si="29"/>
        <v>20</v>
      </c>
      <c r="I273" s="17"/>
      <c r="J273" s="25">
        <v>20190401</v>
      </c>
      <c r="K273" s="16">
        <f t="shared" si="30"/>
        <v>43556</v>
      </c>
      <c r="L273" s="2">
        <f t="shared" si="31"/>
        <v>2</v>
      </c>
      <c r="M273" s="25"/>
      <c r="N273" s="26"/>
      <c r="O273" s="27">
        <v>6</v>
      </c>
      <c r="P273" s="70">
        <v>42011</v>
      </c>
      <c r="Q273" s="70" t="s">
        <v>290</v>
      </c>
      <c r="R273" s="22">
        <v>1</v>
      </c>
      <c r="S273" s="22" t="s">
        <v>636</v>
      </c>
      <c r="T273" s="22">
        <v>2</v>
      </c>
      <c r="AE273">
        <f t="shared" si="32"/>
        <v>42011</v>
      </c>
    </row>
    <row r="274" spans="1:31">
      <c r="A274">
        <v>43</v>
      </c>
      <c r="B274" s="21"/>
      <c r="C274" s="22">
        <v>3524</v>
      </c>
      <c r="D274" s="22" t="s">
        <v>303</v>
      </c>
      <c r="E274" s="23" t="s">
        <v>635</v>
      </c>
      <c r="F274" s="24">
        <v>20020831</v>
      </c>
      <c r="G274" s="16">
        <f t="shared" si="28"/>
        <v>37499</v>
      </c>
      <c r="H274" s="2">
        <f t="shared" si="29"/>
        <v>18</v>
      </c>
      <c r="I274" s="17"/>
      <c r="J274" s="25">
        <v>20210401</v>
      </c>
      <c r="K274" s="16">
        <f t="shared" si="30"/>
        <v>44287</v>
      </c>
      <c r="L274" s="2">
        <f t="shared" si="31"/>
        <v>0</v>
      </c>
      <c r="M274" s="25"/>
      <c r="N274" s="26"/>
      <c r="O274" s="27"/>
      <c r="P274" s="70">
        <v>42011</v>
      </c>
      <c r="Q274" s="70" t="s">
        <v>290</v>
      </c>
      <c r="R274" s="22"/>
      <c r="S274" s="22"/>
      <c r="T274" s="22"/>
      <c r="AE274">
        <f t="shared" si="32"/>
        <v>42011</v>
      </c>
    </row>
    <row r="275" spans="1:31">
      <c r="A275">
        <v>44</v>
      </c>
      <c r="B275" s="21">
        <v>116</v>
      </c>
      <c r="C275" s="22">
        <v>2936</v>
      </c>
      <c r="D275" s="22" t="s">
        <v>304</v>
      </c>
      <c r="E275" s="23" t="s">
        <v>15</v>
      </c>
      <c r="F275" s="24">
        <v>19750215</v>
      </c>
      <c r="G275" s="16">
        <f t="shared" si="28"/>
        <v>27440</v>
      </c>
      <c r="H275" s="2">
        <f t="shared" si="29"/>
        <v>46</v>
      </c>
      <c r="I275" s="17"/>
      <c r="J275" s="25">
        <v>19930322</v>
      </c>
      <c r="K275" s="16">
        <f t="shared" si="30"/>
        <v>34050</v>
      </c>
      <c r="L275" s="2">
        <f t="shared" si="31"/>
        <v>28</v>
      </c>
      <c r="M275" s="25"/>
      <c r="N275" s="26"/>
      <c r="O275" s="27" t="s">
        <v>35</v>
      </c>
      <c r="P275" s="70">
        <v>42111</v>
      </c>
      <c r="Q275" s="70" t="s">
        <v>305</v>
      </c>
      <c r="R275" s="22">
        <v>1</v>
      </c>
      <c r="S275" s="22" t="s">
        <v>636</v>
      </c>
      <c r="T275" s="22">
        <v>1</v>
      </c>
      <c r="AE275">
        <f t="shared" si="32"/>
        <v>42111</v>
      </c>
    </row>
    <row r="276" spans="1:31">
      <c r="A276">
        <v>45</v>
      </c>
      <c r="B276" s="21">
        <v>141</v>
      </c>
      <c r="C276" s="22">
        <v>3032</v>
      </c>
      <c r="D276" s="22" t="s">
        <v>306</v>
      </c>
      <c r="E276" s="23" t="s">
        <v>15</v>
      </c>
      <c r="F276" s="24">
        <v>19750320</v>
      </c>
      <c r="G276" s="16">
        <f t="shared" si="28"/>
        <v>27473</v>
      </c>
      <c r="H276" s="2">
        <f t="shared" si="29"/>
        <v>46</v>
      </c>
      <c r="I276" s="17"/>
      <c r="J276" s="25">
        <v>19950322</v>
      </c>
      <c r="K276" s="16">
        <f t="shared" si="30"/>
        <v>34780</v>
      </c>
      <c r="L276" s="2">
        <f t="shared" si="31"/>
        <v>26</v>
      </c>
      <c r="M276" s="25"/>
      <c r="N276" s="26"/>
      <c r="O276" s="27" t="s">
        <v>19</v>
      </c>
      <c r="P276" s="70">
        <v>43311</v>
      </c>
      <c r="Q276" s="70" t="s">
        <v>377</v>
      </c>
      <c r="R276" s="22">
        <v>1</v>
      </c>
      <c r="S276" s="22" t="s">
        <v>636</v>
      </c>
      <c r="T276" s="22">
        <v>1</v>
      </c>
      <c r="AE276">
        <f t="shared" si="32"/>
        <v>43311</v>
      </c>
    </row>
    <row r="277" spans="1:31">
      <c r="A277">
        <v>46</v>
      </c>
      <c r="B277" s="21">
        <v>282</v>
      </c>
      <c r="C277" s="22">
        <v>3397</v>
      </c>
      <c r="D277" s="22" t="s">
        <v>307</v>
      </c>
      <c r="E277" s="23" t="s">
        <v>15</v>
      </c>
      <c r="F277" s="24">
        <v>19941205</v>
      </c>
      <c r="G277" s="16">
        <f t="shared" si="28"/>
        <v>34673</v>
      </c>
      <c r="H277" s="2">
        <f t="shared" si="29"/>
        <v>26</v>
      </c>
      <c r="I277" s="17"/>
      <c r="J277" s="25">
        <v>20130321</v>
      </c>
      <c r="K277" s="16">
        <f t="shared" si="30"/>
        <v>41354</v>
      </c>
      <c r="L277" s="2">
        <f t="shared" si="31"/>
        <v>8</v>
      </c>
      <c r="M277" s="25"/>
      <c r="N277" s="26"/>
      <c r="O277" s="27" t="s">
        <v>35</v>
      </c>
      <c r="P277" s="70">
        <v>42111</v>
      </c>
      <c r="Q277" s="70" t="s">
        <v>305</v>
      </c>
      <c r="R277" s="22">
        <v>1</v>
      </c>
      <c r="S277" s="22" t="s">
        <v>636</v>
      </c>
      <c r="T277" s="22">
        <v>1</v>
      </c>
      <c r="AE277">
        <f t="shared" si="32"/>
        <v>42111</v>
      </c>
    </row>
    <row r="278" spans="1:31">
      <c r="A278">
        <v>47</v>
      </c>
      <c r="B278" s="21">
        <v>139</v>
      </c>
      <c r="C278" s="22">
        <v>3027</v>
      </c>
      <c r="D278" s="22" t="s">
        <v>308</v>
      </c>
      <c r="E278" s="23" t="s">
        <v>15</v>
      </c>
      <c r="F278" s="24">
        <v>19730214</v>
      </c>
      <c r="G278" s="16">
        <f t="shared" si="28"/>
        <v>26709</v>
      </c>
      <c r="H278" s="2">
        <f t="shared" si="29"/>
        <v>48</v>
      </c>
      <c r="I278" s="17"/>
      <c r="J278" s="25">
        <v>19950322</v>
      </c>
      <c r="K278" s="16">
        <f t="shared" si="30"/>
        <v>34780</v>
      </c>
      <c r="L278" s="2">
        <f t="shared" si="31"/>
        <v>26</v>
      </c>
      <c r="M278" s="25"/>
      <c r="N278" s="26"/>
      <c r="O278" s="27" t="s">
        <v>16</v>
      </c>
      <c r="P278" s="70">
        <v>42111</v>
      </c>
      <c r="Q278" s="70" t="s">
        <v>305</v>
      </c>
      <c r="R278" s="22">
        <v>1</v>
      </c>
      <c r="S278" s="22" t="s">
        <v>636</v>
      </c>
      <c r="T278" s="22">
        <v>2</v>
      </c>
      <c r="AE278">
        <f t="shared" si="32"/>
        <v>42111</v>
      </c>
    </row>
    <row r="279" spans="1:31">
      <c r="A279">
        <v>48</v>
      </c>
      <c r="B279" s="21">
        <v>108</v>
      </c>
      <c r="C279" s="22">
        <v>2893</v>
      </c>
      <c r="D279" s="22" t="s">
        <v>309</v>
      </c>
      <c r="E279" s="23" t="s">
        <v>15</v>
      </c>
      <c r="F279" s="24">
        <v>19730323</v>
      </c>
      <c r="G279" s="16">
        <f t="shared" si="28"/>
        <v>26746</v>
      </c>
      <c r="H279" s="2">
        <f t="shared" si="29"/>
        <v>48</v>
      </c>
      <c r="I279" s="17"/>
      <c r="J279" s="25">
        <v>19910325</v>
      </c>
      <c r="K279" s="16">
        <f t="shared" si="30"/>
        <v>33322</v>
      </c>
      <c r="L279" s="2">
        <f t="shared" si="31"/>
        <v>30</v>
      </c>
      <c r="M279" s="25"/>
      <c r="N279" s="26"/>
      <c r="O279" s="27" t="s">
        <v>35</v>
      </c>
      <c r="P279" s="70">
        <v>42111</v>
      </c>
      <c r="Q279" s="70" t="s">
        <v>305</v>
      </c>
      <c r="R279" s="22">
        <v>1</v>
      </c>
      <c r="S279" s="22" t="s">
        <v>636</v>
      </c>
      <c r="T279" s="22">
        <v>2</v>
      </c>
      <c r="AE279">
        <f t="shared" si="32"/>
        <v>42111</v>
      </c>
    </row>
    <row r="280" spans="1:31">
      <c r="A280">
        <v>49</v>
      </c>
      <c r="B280" s="21">
        <v>110</v>
      </c>
      <c r="C280" s="22">
        <v>2908</v>
      </c>
      <c r="D280" s="22" t="s">
        <v>310</v>
      </c>
      <c r="E280" s="23" t="s">
        <v>15</v>
      </c>
      <c r="F280" s="24">
        <v>19730404</v>
      </c>
      <c r="G280" s="16">
        <f t="shared" si="28"/>
        <v>26758</v>
      </c>
      <c r="H280" s="2">
        <f t="shared" si="29"/>
        <v>48</v>
      </c>
      <c r="I280" s="17"/>
      <c r="J280" s="25">
        <v>19920323</v>
      </c>
      <c r="K280" s="16">
        <f t="shared" si="30"/>
        <v>33686</v>
      </c>
      <c r="L280" s="2">
        <f t="shared" si="31"/>
        <v>29</v>
      </c>
      <c r="M280" s="25"/>
      <c r="N280" s="26"/>
      <c r="O280" s="27" t="s">
        <v>35</v>
      </c>
      <c r="P280" s="70">
        <v>42111</v>
      </c>
      <c r="Q280" s="70" t="s">
        <v>305</v>
      </c>
      <c r="R280" s="22">
        <v>1</v>
      </c>
      <c r="S280" s="22" t="s">
        <v>636</v>
      </c>
      <c r="T280" s="22">
        <v>2</v>
      </c>
      <c r="AE280">
        <f t="shared" si="32"/>
        <v>42111</v>
      </c>
    </row>
    <row r="281" spans="1:31">
      <c r="A281">
        <v>50</v>
      </c>
      <c r="B281" s="21">
        <v>39</v>
      </c>
      <c r="C281" s="22">
        <v>1381</v>
      </c>
      <c r="D281" s="22" t="s">
        <v>311</v>
      </c>
      <c r="E281" s="23" t="s">
        <v>15</v>
      </c>
      <c r="F281" s="24">
        <v>19771023</v>
      </c>
      <c r="G281" s="16">
        <f t="shared" si="28"/>
        <v>28421</v>
      </c>
      <c r="H281" s="2">
        <f t="shared" si="29"/>
        <v>43</v>
      </c>
      <c r="I281" s="17"/>
      <c r="J281" s="25">
        <v>20120612</v>
      </c>
      <c r="K281" s="16">
        <f t="shared" si="30"/>
        <v>41072</v>
      </c>
      <c r="L281" s="2">
        <f t="shared" si="31"/>
        <v>9</v>
      </c>
      <c r="M281" s="25"/>
      <c r="N281" s="26"/>
      <c r="O281" s="27" t="s">
        <v>35</v>
      </c>
      <c r="P281" s="70">
        <v>42111</v>
      </c>
      <c r="Q281" s="70" t="s">
        <v>305</v>
      </c>
      <c r="R281" s="22">
        <v>1</v>
      </c>
      <c r="S281" s="22" t="s">
        <v>636</v>
      </c>
      <c r="T281" s="22">
        <v>2</v>
      </c>
      <c r="AE281">
        <f t="shared" si="32"/>
        <v>42111</v>
      </c>
    </row>
    <row r="282" spans="1:31">
      <c r="A282">
        <v>51</v>
      </c>
      <c r="B282" s="21">
        <v>235</v>
      </c>
      <c r="C282" s="22">
        <v>3312</v>
      </c>
      <c r="D282" s="22" t="s">
        <v>312</v>
      </c>
      <c r="E282" s="23" t="s">
        <v>15</v>
      </c>
      <c r="F282" s="24">
        <v>19901025</v>
      </c>
      <c r="G282" s="16">
        <f t="shared" si="28"/>
        <v>33171</v>
      </c>
      <c r="H282" s="2">
        <f t="shared" si="29"/>
        <v>30</v>
      </c>
      <c r="I282" s="17"/>
      <c r="J282" s="25">
        <v>20090323</v>
      </c>
      <c r="K282" s="16">
        <f t="shared" si="30"/>
        <v>39895</v>
      </c>
      <c r="L282" s="2">
        <f t="shared" si="31"/>
        <v>12</v>
      </c>
      <c r="M282" s="25"/>
      <c r="N282" s="26"/>
      <c r="O282" s="27" t="s">
        <v>35</v>
      </c>
      <c r="P282" s="70">
        <v>42111</v>
      </c>
      <c r="Q282" s="70" t="s">
        <v>305</v>
      </c>
      <c r="R282" s="22">
        <v>1</v>
      </c>
      <c r="S282" s="22" t="s">
        <v>636</v>
      </c>
      <c r="T282" s="22">
        <v>2</v>
      </c>
      <c r="AE282">
        <f t="shared" si="32"/>
        <v>42111</v>
      </c>
    </row>
    <row r="283" spans="1:31">
      <c r="A283">
        <v>52</v>
      </c>
      <c r="B283" s="21">
        <v>320</v>
      </c>
      <c r="C283" s="22">
        <v>3456</v>
      </c>
      <c r="D283" s="22" t="s">
        <v>313</v>
      </c>
      <c r="E283" s="23" t="s">
        <v>15</v>
      </c>
      <c r="F283" s="24">
        <v>19971207</v>
      </c>
      <c r="G283" s="16">
        <f t="shared" si="28"/>
        <v>35771</v>
      </c>
      <c r="H283" s="2">
        <f t="shared" si="29"/>
        <v>23</v>
      </c>
      <c r="I283" s="17"/>
      <c r="J283" s="25">
        <v>20160401</v>
      </c>
      <c r="K283" s="16">
        <f t="shared" si="30"/>
        <v>42461</v>
      </c>
      <c r="L283" s="2">
        <f t="shared" si="31"/>
        <v>5</v>
      </c>
      <c r="M283" s="25"/>
      <c r="N283" s="26"/>
      <c r="O283" s="27" t="s">
        <v>35</v>
      </c>
      <c r="P283" s="70">
        <v>42111</v>
      </c>
      <c r="Q283" s="70" t="s">
        <v>305</v>
      </c>
      <c r="R283" s="22">
        <v>1</v>
      </c>
      <c r="S283" s="22" t="s">
        <v>636</v>
      </c>
      <c r="T283" s="22">
        <v>2</v>
      </c>
      <c r="AE283">
        <f t="shared" si="32"/>
        <v>42111</v>
      </c>
    </row>
    <row r="284" spans="1:31">
      <c r="A284">
        <v>53</v>
      </c>
      <c r="B284" s="21">
        <v>346</v>
      </c>
      <c r="C284" s="22">
        <v>3494</v>
      </c>
      <c r="D284" s="22" t="s">
        <v>314</v>
      </c>
      <c r="E284" s="23" t="s">
        <v>15</v>
      </c>
      <c r="F284" s="24">
        <v>19991113</v>
      </c>
      <c r="G284" s="16">
        <f t="shared" si="28"/>
        <v>36477</v>
      </c>
      <c r="H284" s="2">
        <f t="shared" si="29"/>
        <v>21</v>
      </c>
      <c r="I284" s="17"/>
      <c r="J284" s="25">
        <v>20180402</v>
      </c>
      <c r="K284" s="16">
        <f t="shared" si="30"/>
        <v>43192</v>
      </c>
      <c r="L284" s="2">
        <f t="shared" si="31"/>
        <v>3</v>
      </c>
      <c r="M284" s="25"/>
      <c r="N284" s="26"/>
      <c r="O284" s="27">
        <v>6</v>
      </c>
      <c r="P284" s="70">
        <v>42111</v>
      </c>
      <c r="Q284" s="70" t="s">
        <v>305</v>
      </c>
      <c r="R284" s="22">
        <v>1</v>
      </c>
      <c r="S284" s="22" t="s">
        <v>636</v>
      </c>
      <c r="T284" s="22">
        <v>2</v>
      </c>
      <c r="AE284">
        <f t="shared" si="32"/>
        <v>42111</v>
      </c>
    </row>
    <row r="285" spans="1:31">
      <c r="A285">
        <v>54</v>
      </c>
      <c r="B285" s="21">
        <v>359</v>
      </c>
      <c r="C285" s="22">
        <v>3509</v>
      </c>
      <c r="D285" s="22" t="s">
        <v>315</v>
      </c>
      <c r="E285" s="23" t="s">
        <v>15</v>
      </c>
      <c r="F285" s="24">
        <v>20001115</v>
      </c>
      <c r="G285" s="16">
        <f t="shared" si="28"/>
        <v>36845</v>
      </c>
      <c r="H285" s="2">
        <f t="shared" si="29"/>
        <v>20</v>
      </c>
      <c r="I285" s="17"/>
      <c r="J285" s="25">
        <v>20190401</v>
      </c>
      <c r="K285" s="16">
        <f t="shared" si="30"/>
        <v>43556</v>
      </c>
      <c r="L285" s="2">
        <f t="shared" si="31"/>
        <v>2</v>
      </c>
      <c r="M285" s="25"/>
      <c r="N285" s="26"/>
      <c r="O285" s="27">
        <v>6</v>
      </c>
      <c r="P285" s="70">
        <v>42111</v>
      </c>
      <c r="Q285" s="70" t="s">
        <v>305</v>
      </c>
      <c r="R285" s="22">
        <v>1</v>
      </c>
      <c r="S285" s="22" t="s">
        <v>636</v>
      </c>
      <c r="T285" s="22">
        <v>2</v>
      </c>
      <c r="AE285">
        <f t="shared" si="32"/>
        <v>42111</v>
      </c>
    </row>
    <row r="286" spans="1:31">
      <c r="A286">
        <v>55</v>
      </c>
      <c r="B286" s="21"/>
      <c r="C286" s="22">
        <v>3525</v>
      </c>
      <c r="D286" s="22" t="s">
        <v>316</v>
      </c>
      <c r="E286" s="23" t="s">
        <v>635</v>
      </c>
      <c r="F286" s="24">
        <v>20020917</v>
      </c>
      <c r="G286" s="16">
        <f t="shared" si="28"/>
        <v>37516</v>
      </c>
      <c r="H286" s="2">
        <f t="shared" si="29"/>
        <v>18</v>
      </c>
      <c r="I286" s="17"/>
      <c r="J286" s="25">
        <v>20210401</v>
      </c>
      <c r="K286" s="16">
        <f t="shared" si="30"/>
        <v>44287</v>
      </c>
      <c r="L286" s="2">
        <f t="shared" si="31"/>
        <v>0</v>
      </c>
      <c r="M286" s="25"/>
      <c r="N286" s="26"/>
      <c r="O286" s="27"/>
      <c r="P286" s="70">
        <v>42411</v>
      </c>
      <c r="Q286" s="70" t="s">
        <v>339</v>
      </c>
      <c r="R286" s="22"/>
      <c r="S286" s="22"/>
      <c r="T286" s="22"/>
      <c r="AE286">
        <f t="shared" si="32"/>
        <v>42411</v>
      </c>
    </row>
    <row r="287" spans="1:31">
      <c r="A287">
        <v>56</v>
      </c>
      <c r="B287" s="21">
        <v>182</v>
      </c>
      <c r="C287" s="22">
        <v>3184</v>
      </c>
      <c r="D287" s="22" t="s">
        <v>317</v>
      </c>
      <c r="E287" s="23" t="s">
        <v>15</v>
      </c>
      <c r="F287" s="24">
        <v>19840311</v>
      </c>
      <c r="G287" s="16">
        <f t="shared" si="28"/>
        <v>30752</v>
      </c>
      <c r="H287" s="2">
        <f t="shared" si="29"/>
        <v>37</v>
      </c>
      <c r="I287" s="17"/>
      <c r="J287" s="25">
        <v>20020322</v>
      </c>
      <c r="K287" s="16">
        <f t="shared" si="30"/>
        <v>37337</v>
      </c>
      <c r="L287" s="2">
        <f t="shared" si="31"/>
        <v>19</v>
      </c>
      <c r="M287" s="25"/>
      <c r="N287" s="26"/>
      <c r="O287" s="27" t="s">
        <v>35</v>
      </c>
      <c r="P287" s="70">
        <v>42211</v>
      </c>
      <c r="Q287" s="70" t="s">
        <v>318</v>
      </c>
      <c r="R287" s="22">
        <v>1</v>
      </c>
      <c r="S287" s="22" t="s">
        <v>636</v>
      </c>
      <c r="T287" s="22">
        <v>1</v>
      </c>
      <c r="AE287">
        <f t="shared" si="32"/>
        <v>42211</v>
      </c>
    </row>
    <row r="288" spans="1:31">
      <c r="A288">
        <v>57</v>
      </c>
      <c r="B288" s="21">
        <v>255</v>
      </c>
      <c r="C288" s="22">
        <v>3350</v>
      </c>
      <c r="D288" s="22" t="s">
        <v>319</v>
      </c>
      <c r="E288" s="23" t="s">
        <v>15</v>
      </c>
      <c r="F288" s="24">
        <v>19910903</v>
      </c>
      <c r="G288" s="16">
        <f t="shared" si="28"/>
        <v>33484</v>
      </c>
      <c r="H288" s="2">
        <f t="shared" si="29"/>
        <v>29</v>
      </c>
      <c r="I288" s="17"/>
      <c r="J288" s="25">
        <v>20110321</v>
      </c>
      <c r="K288" s="16">
        <f t="shared" si="30"/>
        <v>40623</v>
      </c>
      <c r="L288" s="2">
        <f t="shared" si="31"/>
        <v>10</v>
      </c>
      <c r="M288" s="25"/>
      <c r="N288" s="26"/>
      <c r="O288" s="27" t="s">
        <v>35</v>
      </c>
      <c r="P288" s="70">
        <v>42211</v>
      </c>
      <c r="Q288" s="70" t="s">
        <v>318</v>
      </c>
      <c r="R288" s="22">
        <v>1</v>
      </c>
      <c r="S288" s="22" t="s">
        <v>636</v>
      </c>
      <c r="T288" s="22">
        <v>1</v>
      </c>
      <c r="AE288">
        <f t="shared" si="32"/>
        <v>42211</v>
      </c>
    </row>
    <row r="289" spans="1:31">
      <c r="A289">
        <v>58</v>
      </c>
      <c r="B289" s="21">
        <v>65</v>
      </c>
      <c r="C289" s="22">
        <v>2575</v>
      </c>
      <c r="D289" s="22" t="s">
        <v>320</v>
      </c>
      <c r="E289" s="23" t="s">
        <v>15</v>
      </c>
      <c r="F289" s="24">
        <v>19621220</v>
      </c>
      <c r="G289" s="16">
        <f t="shared" si="28"/>
        <v>23000</v>
      </c>
      <c r="H289" s="2">
        <f t="shared" si="29"/>
        <v>58</v>
      </c>
      <c r="I289" s="17"/>
      <c r="J289" s="25">
        <v>19810330</v>
      </c>
      <c r="K289" s="16">
        <f t="shared" si="30"/>
        <v>29675</v>
      </c>
      <c r="L289" s="2">
        <f t="shared" si="31"/>
        <v>40</v>
      </c>
      <c r="M289" s="25"/>
      <c r="N289" s="26"/>
      <c r="O289" s="27" t="s">
        <v>35</v>
      </c>
      <c r="P289" s="70">
        <v>42211</v>
      </c>
      <c r="Q289" s="70" t="s">
        <v>318</v>
      </c>
      <c r="R289" s="22">
        <v>1</v>
      </c>
      <c r="S289" s="22" t="s">
        <v>636</v>
      </c>
      <c r="T289" s="22">
        <v>2</v>
      </c>
      <c r="AE289">
        <f t="shared" si="32"/>
        <v>42211</v>
      </c>
    </row>
    <row r="290" spans="1:31">
      <c r="A290">
        <v>59</v>
      </c>
      <c r="B290" s="21">
        <v>70</v>
      </c>
      <c r="C290" s="22">
        <v>2654</v>
      </c>
      <c r="D290" s="22" t="s">
        <v>321</v>
      </c>
      <c r="E290" s="23" t="s">
        <v>15</v>
      </c>
      <c r="F290" s="24">
        <v>19640412</v>
      </c>
      <c r="G290" s="16">
        <f t="shared" si="28"/>
        <v>23479</v>
      </c>
      <c r="H290" s="2">
        <f t="shared" si="29"/>
        <v>57</v>
      </c>
      <c r="I290" s="17"/>
      <c r="J290" s="25">
        <v>19830322</v>
      </c>
      <c r="K290" s="16">
        <f t="shared" si="30"/>
        <v>30397</v>
      </c>
      <c r="L290" s="2">
        <f t="shared" si="31"/>
        <v>38</v>
      </c>
      <c r="M290" s="25"/>
      <c r="N290" s="26"/>
      <c r="O290" s="27" t="s">
        <v>35</v>
      </c>
      <c r="P290" s="70">
        <v>42211</v>
      </c>
      <c r="Q290" s="70" t="s">
        <v>318</v>
      </c>
      <c r="R290" s="22">
        <v>1</v>
      </c>
      <c r="S290" s="22" t="s">
        <v>636</v>
      </c>
      <c r="T290" s="22">
        <v>2</v>
      </c>
      <c r="AE290">
        <f t="shared" si="32"/>
        <v>42211</v>
      </c>
    </row>
    <row r="291" spans="1:31">
      <c r="A291">
        <v>60</v>
      </c>
      <c r="B291" s="21">
        <v>453</v>
      </c>
      <c r="C291" s="22">
        <v>5111</v>
      </c>
      <c r="D291" s="22" t="s">
        <v>322</v>
      </c>
      <c r="E291" s="23" t="s">
        <v>15</v>
      </c>
      <c r="F291" s="24">
        <v>19680901</v>
      </c>
      <c r="G291" s="16">
        <f t="shared" si="28"/>
        <v>25082</v>
      </c>
      <c r="H291" s="2">
        <f t="shared" si="29"/>
        <v>52</v>
      </c>
      <c r="I291" s="17"/>
      <c r="J291" s="25">
        <v>19840327</v>
      </c>
      <c r="K291" s="16">
        <f t="shared" si="30"/>
        <v>30768</v>
      </c>
      <c r="L291" s="2">
        <f t="shared" si="31"/>
        <v>37</v>
      </c>
      <c r="M291" s="25"/>
      <c r="N291" s="26"/>
      <c r="O291" s="27" t="s">
        <v>77</v>
      </c>
      <c r="P291" s="70">
        <v>42211</v>
      </c>
      <c r="Q291" s="70" t="s">
        <v>318</v>
      </c>
      <c r="R291" s="22">
        <v>1</v>
      </c>
      <c r="S291" s="22" t="s">
        <v>636</v>
      </c>
      <c r="T291" s="22">
        <v>2</v>
      </c>
      <c r="AE291">
        <f t="shared" si="32"/>
        <v>42211</v>
      </c>
    </row>
    <row r="292" spans="1:31">
      <c r="A292">
        <v>61</v>
      </c>
      <c r="B292" s="21">
        <v>457</v>
      </c>
      <c r="C292" s="22">
        <v>5132</v>
      </c>
      <c r="D292" s="22" t="s">
        <v>323</v>
      </c>
      <c r="E292" s="23" t="s">
        <v>15</v>
      </c>
      <c r="F292" s="24">
        <v>19691206</v>
      </c>
      <c r="G292" s="16">
        <f t="shared" si="28"/>
        <v>25543</v>
      </c>
      <c r="H292" s="2">
        <f t="shared" si="29"/>
        <v>51</v>
      </c>
      <c r="I292" s="17"/>
      <c r="J292" s="25">
        <v>19850326</v>
      </c>
      <c r="K292" s="16">
        <f t="shared" si="30"/>
        <v>31132</v>
      </c>
      <c r="L292" s="2">
        <f t="shared" si="31"/>
        <v>36</v>
      </c>
      <c r="M292" s="25"/>
      <c r="N292" s="26"/>
      <c r="O292" s="27" t="s">
        <v>77</v>
      </c>
      <c r="P292" s="70">
        <v>42211</v>
      </c>
      <c r="Q292" s="70" t="s">
        <v>318</v>
      </c>
      <c r="R292" s="22">
        <v>1</v>
      </c>
      <c r="S292" s="22" t="s">
        <v>636</v>
      </c>
      <c r="T292" s="22">
        <v>2</v>
      </c>
      <c r="AE292">
        <f t="shared" si="32"/>
        <v>42211</v>
      </c>
    </row>
    <row r="293" spans="1:31">
      <c r="A293">
        <v>62</v>
      </c>
      <c r="B293" s="21">
        <v>98</v>
      </c>
      <c r="C293" s="22">
        <v>2811</v>
      </c>
      <c r="D293" s="22" t="s">
        <v>324</v>
      </c>
      <c r="E293" s="23" t="s">
        <v>15</v>
      </c>
      <c r="F293" s="24">
        <v>19690124</v>
      </c>
      <c r="G293" s="16">
        <f t="shared" si="28"/>
        <v>25227</v>
      </c>
      <c r="H293" s="2">
        <f t="shared" si="29"/>
        <v>52</v>
      </c>
      <c r="I293" s="17"/>
      <c r="J293" s="25">
        <v>19870326</v>
      </c>
      <c r="K293" s="16">
        <f t="shared" si="30"/>
        <v>31862</v>
      </c>
      <c r="L293" s="2">
        <f t="shared" si="31"/>
        <v>34</v>
      </c>
      <c r="M293" s="25"/>
      <c r="N293" s="26"/>
      <c r="O293" s="27" t="s">
        <v>35</v>
      </c>
      <c r="P293" s="70">
        <v>42211</v>
      </c>
      <c r="Q293" s="70" t="s">
        <v>318</v>
      </c>
      <c r="R293" s="22">
        <v>1</v>
      </c>
      <c r="S293" s="22" t="s">
        <v>636</v>
      </c>
      <c r="T293" s="22">
        <v>2</v>
      </c>
      <c r="AE293">
        <f t="shared" si="32"/>
        <v>42211</v>
      </c>
    </row>
    <row r="294" spans="1:31">
      <c r="A294">
        <v>63</v>
      </c>
      <c r="B294" s="21">
        <v>433</v>
      </c>
      <c r="C294" s="22">
        <v>3988</v>
      </c>
      <c r="D294" s="22" t="s">
        <v>325</v>
      </c>
      <c r="E294" s="23" t="s">
        <v>15</v>
      </c>
      <c r="F294" s="24">
        <v>19730609</v>
      </c>
      <c r="G294" s="16">
        <f t="shared" si="28"/>
        <v>26824</v>
      </c>
      <c r="H294" s="2">
        <f t="shared" si="29"/>
        <v>48</v>
      </c>
      <c r="I294" s="17"/>
      <c r="J294" s="25">
        <v>20071021</v>
      </c>
      <c r="K294" s="16">
        <f t="shared" si="30"/>
        <v>39376</v>
      </c>
      <c r="L294" s="2">
        <f t="shared" si="31"/>
        <v>13</v>
      </c>
      <c r="M294" s="25"/>
      <c r="N294" s="26"/>
      <c r="O294" s="27" t="s">
        <v>19</v>
      </c>
      <c r="P294" s="70">
        <v>42211</v>
      </c>
      <c r="Q294" s="70" t="s">
        <v>318</v>
      </c>
      <c r="R294" s="22">
        <v>1</v>
      </c>
      <c r="S294" s="22" t="s">
        <v>636</v>
      </c>
      <c r="T294" s="22">
        <v>2</v>
      </c>
      <c r="AE294">
        <f t="shared" si="32"/>
        <v>42211</v>
      </c>
    </row>
    <row r="295" spans="1:31">
      <c r="A295">
        <v>64</v>
      </c>
      <c r="B295" s="21">
        <v>199</v>
      </c>
      <c r="C295" s="22">
        <v>3219</v>
      </c>
      <c r="D295" s="22" t="s">
        <v>326</v>
      </c>
      <c r="E295" s="23" t="s">
        <v>15</v>
      </c>
      <c r="F295" s="24">
        <v>19851029</v>
      </c>
      <c r="G295" s="16">
        <f t="shared" si="28"/>
        <v>31349</v>
      </c>
      <c r="H295" s="2">
        <f t="shared" si="29"/>
        <v>35</v>
      </c>
      <c r="I295" s="17"/>
      <c r="J295" s="25">
        <v>20040322</v>
      </c>
      <c r="K295" s="16">
        <f t="shared" si="30"/>
        <v>38068</v>
      </c>
      <c r="L295" s="2">
        <f t="shared" si="31"/>
        <v>17</v>
      </c>
      <c r="M295" s="25"/>
      <c r="N295" s="26"/>
      <c r="O295" s="27" t="s">
        <v>35</v>
      </c>
      <c r="P295" s="70">
        <v>42211</v>
      </c>
      <c r="Q295" s="70" t="s">
        <v>318</v>
      </c>
      <c r="R295" s="22">
        <v>1</v>
      </c>
      <c r="S295" s="22" t="s">
        <v>636</v>
      </c>
      <c r="T295" s="22">
        <v>2</v>
      </c>
      <c r="AE295">
        <f t="shared" si="32"/>
        <v>42211</v>
      </c>
    </row>
    <row r="296" spans="1:31">
      <c r="A296">
        <v>65</v>
      </c>
      <c r="B296" s="21">
        <v>283</v>
      </c>
      <c r="C296" s="22">
        <v>3398</v>
      </c>
      <c r="D296" s="22" t="s">
        <v>327</v>
      </c>
      <c r="E296" s="23" t="s">
        <v>15</v>
      </c>
      <c r="F296" s="24">
        <v>19950211</v>
      </c>
      <c r="G296" s="16">
        <f t="shared" ref="G296:G359" si="33">DATE(INT(F296/10000),INT(MOD(F296,10000)/100),MOD(F296,100))</f>
        <v>34741</v>
      </c>
      <c r="H296" s="2">
        <f t="shared" ref="H296:H359" si="34">DATEDIF(G296,$G$4,"Y")</f>
        <v>26</v>
      </c>
      <c r="I296" s="17"/>
      <c r="J296" s="25">
        <v>20130321</v>
      </c>
      <c r="K296" s="16">
        <f t="shared" ref="K296:K359" si="35">DATE(INT(J296/10000),INT(MOD(J296,10000)/100),MOD(J296,100))</f>
        <v>41354</v>
      </c>
      <c r="L296" s="2">
        <f t="shared" ref="L296:L359" si="36">DATEDIF(K296,$G$4,"Y")</f>
        <v>8</v>
      </c>
      <c r="M296" s="25"/>
      <c r="N296" s="26"/>
      <c r="O296" s="27" t="s">
        <v>35</v>
      </c>
      <c r="P296" s="70">
        <v>42211</v>
      </c>
      <c r="Q296" s="70" t="s">
        <v>318</v>
      </c>
      <c r="R296" s="22">
        <v>1</v>
      </c>
      <c r="S296" s="22" t="s">
        <v>636</v>
      </c>
      <c r="T296" s="22">
        <v>2</v>
      </c>
      <c r="AE296">
        <f t="shared" si="32"/>
        <v>42211</v>
      </c>
    </row>
    <row r="297" spans="1:31">
      <c r="A297">
        <v>66</v>
      </c>
      <c r="B297" s="21">
        <v>321</v>
      </c>
      <c r="C297" s="22">
        <v>3457</v>
      </c>
      <c r="D297" s="22" t="s">
        <v>328</v>
      </c>
      <c r="E297" s="23" t="s">
        <v>15</v>
      </c>
      <c r="F297" s="24">
        <v>19971125</v>
      </c>
      <c r="G297" s="16">
        <f t="shared" si="33"/>
        <v>35759</v>
      </c>
      <c r="H297" s="2">
        <f t="shared" si="34"/>
        <v>23</v>
      </c>
      <c r="I297" s="17"/>
      <c r="J297" s="25">
        <v>20160401</v>
      </c>
      <c r="K297" s="16">
        <f t="shared" si="35"/>
        <v>42461</v>
      </c>
      <c r="L297" s="2">
        <f t="shared" si="36"/>
        <v>5</v>
      </c>
      <c r="M297" s="25"/>
      <c r="N297" s="26"/>
      <c r="O297" s="27" t="s">
        <v>35</v>
      </c>
      <c r="P297" s="70">
        <v>42211</v>
      </c>
      <c r="Q297" s="70" t="s">
        <v>318</v>
      </c>
      <c r="R297" s="22">
        <v>1</v>
      </c>
      <c r="S297" s="22" t="s">
        <v>636</v>
      </c>
      <c r="T297" s="22">
        <v>2</v>
      </c>
      <c r="AE297">
        <f t="shared" si="32"/>
        <v>42211</v>
      </c>
    </row>
    <row r="298" spans="1:31">
      <c r="A298">
        <v>67</v>
      </c>
      <c r="B298" s="21">
        <v>357</v>
      </c>
      <c r="C298" s="22">
        <v>3506</v>
      </c>
      <c r="D298" s="22" t="s">
        <v>329</v>
      </c>
      <c r="E298" s="23" t="s">
        <v>15</v>
      </c>
      <c r="F298" s="24">
        <v>20000526</v>
      </c>
      <c r="G298" s="16">
        <f t="shared" si="33"/>
        <v>36672</v>
      </c>
      <c r="H298" s="2">
        <f t="shared" si="34"/>
        <v>21</v>
      </c>
      <c r="I298" s="17"/>
      <c r="J298" s="25">
        <v>20190401</v>
      </c>
      <c r="K298" s="16">
        <f t="shared" si="35"/>
        <v>43556</v>
      </c>
      <c r="L298" s="2">
        <f t="shared" si="36"/>
        <v>2</v>
      </c>
      <c r="M298" s="25"/>
      <c r="N298" s="26"/>
      <c r="O298" s="27">
        <v>6</v>
      </c>
      <c r="P298" s="70">
        <v>44011</v>
      </c>
      <c r="Q298" s="70" t="s">
        <v>381</v>
      </c>
      <c r="R298" s="22">
        <v>1</v>
      </c>
      <c r="S298" s="22" t="s">
        <v>636</v>
      </c>
      <c r="T298" s="22">
        <v>2</v>
      </c>
      <c r="AE298">
        <f t="shared" si="32"/>
        <v>44011</v>
      </c>
    </row>
    <row r="299" spans="1:31">
      <c r="A299">
        <v>68</v>
      </c>
      <c r="B299" s="21">
        <v>450</v>
      </c>
      <c r="C299" s="22">
        <v>5067</v>
      </c>
      <c r="D299" s="22" t="s">
        <v>330</v>
      </c>
      <c r="E299" s="23" t="s">
        <v>15</v>
      </c>
      <c r="F299" s="24">
        <v>19650508</v>
      </c>
      <c r="G299" s="16">
        <f t="shared" si="33"/>
        <v>23870</v>
      </c>
      <c r="H299" s="2">
        <f t="shared" si="34"/>
        <v>56</v>
      </c>
      <c r="I299" s="17"/>
      <c r="J299" s="25">
        <v>19830325</v>
      </c>
      <c r="K299" s="16">
        <f t="shared" si="35"/>
        <v>30400</v>
      </c>
      <c r="L299" s="2">
        <f t="shared" si="36"/>
        <v>38</v>
      </c>
      <c r="M299" s="25"/>
      <c r="N299" s="26"/>
      <c r="O299" s="27" t="s">
        <v>75</v>
      </c>
      <c r="P299" s="70">
        <v>42311</v>
      </c>
      <c r="Q299" s="70" t="s">
        <v>331</v>
      </c>
      <c r="R299" s="22">
        <v>1</v>
      </c>
      <c r="S299" s="22" t="s">
        <v>636</v>
      </c>
      <c r="T299" s="22">
        <v>1</v>
      </c>
      <c r="AE299">
        <f t="shared" si="32"/>
        <v>42311</v>
      </c>
    </row>
    <row r="300" spans="1:31">
      <c r="A300">
        <v>69</v>
      </c>
      <c r="B300" s="21">
        <v>374</v>
      </c>
      <c r="C300" s="22">
        <v>3805</v>
      </c>
      <c r="D300" s="22" t="s">
        <v>332</v>
      </c>
      <c r="E300" s="23" t="s">
        <v>15</v>
      </c>
      <c r="F300" s="24">
        <v>19690803</v>
      </c>
      <c r="G300" s="16">
        <f t="shared" si="33"/>
        <v>25418</v>
      </c>
      <c r="H300" s="2">
        <f t="shared" si="34"/>
        <v>51</v>
      </c>
      <c r="I300" s="17"/>
      <c r="J300" s="25">
        <v>19900710</v>
      </c>
      <c r="K300" s="16">
        <f t="shared" si="35"/>
        <v>33064</v>
      </c>
      <c r="L300" s="2">
        <f t="shared" si="36"/>
        <v>31</v>
      </c>
      <c r="M300" s="25"/>
      <c r="N300" s="26"/>
      <c r="O300" s="27" t="s">
        <v>35</v>
      </c>
      <c r="P300" s="70">
        <v>42311</v>
      </c>
      <c r="Q300" s="70" t="s">
        <v>331</v>
      </c>
      <c r="R300" s="22">
        <v>1</v>
      </c>
      <c r="S300" s="22" t="s">
        <v>636</v>
      </c>
      <c r="T300" s="22">
        <v>1</v>
      </c>
      <c r="AE300">
        <f t="shared" si="32"/>
        <v>42311</v>
      </c>
    </row>
    <row r="301" spans="1:31">
      <c r="A301">
        <v>70</v>
      </c>
      <c r="B301" s="21">
        <v>307</v>
      </c>
      <c r="C301" s="22">
        <v>3439</v>
      </c>
      <c r="D301" s="22" t="s">
        <v>333</v>
      </c>
      <c r="E301" s="23" t="s">
        <v>15</v>
      </c>
      <c r="F301" s="24">
        <v>19960515</v>
      </c>
      <c r="G301" s="16">
        <f t="shared" si="33"/>
        <v>35200</v>
      </c>
      <c r="H301" s="2">
        <f t="shared" si="34"/>
        <v>25</v>
      </c>
      <c r="I301" s="17"/>
      <c r="J301" s="25">
        <v>20150401</v>
      </c>
      <c r="K301" s="16">
        <f t="shared" si="35"/>
        <v>42095</v>
      </c>
      <c r="L301" s="2">
        <f t="shared" si="36"/>
        <v>6</v>
      </c>
      <c r="M301" s="25"/>
      <c r="N301" s="26"/>
      <c r="O301" s="27" t="s">
        <v>35</v>
      </c>
      <c r="P301" s="70">
        <v>42311</v>
      </c>
      <c r="Q301" s="70" t="s">
        <v>331</v>
      </c>
      <c r="R301" s="22">
        <v>1</v>
      </c>
      <c r="S301" s="22" t="s">
        <v>636</v>
      </c>
      <c r="T301" s="22">
        <v>1</v>
      </c>
      <c r="AE301">
        <f t="shared" si="32"/>
        <v>42311</v>
      </c>
    </row>
    <row r="302" spans="1:31">
      <c r="A302">
        <v>71</v>
      </c>
      <c r="B302" s="21">
        <v>99</v>
      </c>
      <c r="C302" s="22">
        <v>2825</v>
      </c>
      <c r="D302" s="22" t="s">
        <v>334</v>
      </c>
      <c r="E302" s="23" t="s">
        <v>15</v>
      </c>
      <c r="F302" s="24">
        <v>19690623</v>
      </c>
      <c r="G302" s="16">
        <f t="shared" si="33"/>
        <v>25377</v>
      </c>
      <c r="H302" s="2">
        <f t="shared" si="34"/>
        <v>52</v>
      </c>
      <c r="I302" s="17"/>
      <c r="J302" s="25">
        <v>19880324</v>
      </c>
      <c r="K302" s="16">
        <f t="shared" si="35"/>
        <v>32226</v>
      </c>
      <c r="L302" s="2">
        <f t="shared" si="36"/>
        <v>33</v>
      </c>
      <c r="M302" s="25"/>
      <c r="N302" s="26"/>
      <c r="O302" s="27" t="s">
        <v>35</v>
      </c>
      <c r="P302" s="70">
        <v>42311</v>
      </c>
      <c r="Q302" s="70" t="s">
        <v>331</v>
      </c>
      <c r="R302" s="22">
        <v>1</v>
      </c>
      <c r="S302" s="22" t="s">
        <v>636</v>
      </c>
      <c r="T302" s="22">
        <v>2</v>
      </c>
      <c r="AE302">
        <f t="shared" si="32"/>
        <v>42311</v>
      </c>
    </row>
    <row r="303" spans="1:31">
      <c r="A303">
        <v>72</v>
      </c>
      <c r="B303" s="21">
        <v>122</v>
      </c>
      <c r="C303" s="22">
        <v>2971</v>
      </c>
      <c r="D303" s="22" t="s">
        <v>335</v>
      </c>
      <c r="E303" s="23" t="s">
        <v>15</v>
      </c>
      <c r="F303" s="24">
        <v>19730504</v>
      </c>
      <c r="G303" s="16">
        <f t="shared" si="33"/>
        <v>26788</v>
      </c>
      <c r="H303" s="2">
        <f t="shared" si="34"/>
        <v>48</v>
      </c>
      <c r="I303" s="17"/>
      <c r="J303" s="25">
        <v>19940322</v>
      </c>
      <c r="K303" s="16">
        <f t="shared" si="35"/>
        <v>34415</v>
      </c>
      <c r="L303" s="2">
        <f t="shared" si="36"/>
        <v>27</v>
      </c>
      <c r="M303" s="25"/>
      <c r="N303" s="26"/>
      <c r="O303" s="27" t="s">
        <v>19</v>
      </c>
      <c r="P303" s="70">
        <v>42311</v>
      </c>
      <c r="Q303" s="70" t="s">
        <v>331</v>
      </c>
      <c r="R303" s="22">
        <v>1</v>
      </c>
      <c r="S303" s="22" t="s">
        <v>636</v>
      </c>
      <c r="T303" s="22">
        <v>2</v>
      </c>
      <c r="AE303">
        <f t="shared" si="32"/>
        <v>42311</v>
      </c>
    </row>
    <row r="304" spans="1:31">
      <c r="A304">
        <v>73</v>
      </c>
      <c r="B304" s="21">
        <v>269</v>
      </c>
      <c r="C304" s="22">
        <v>3372</v>
      </c>
      <c r="D304" s="22" t="s">
        <v>336</v>
      </c>
      <c r="E304" s="23" t="s">
        <v>15</v>
      </c>
      <c r="F304" s="24">
        <v>19930911</v>
      </c>
      <c r="G304" s="16">
        <f t="shared" si="33"/>
        <v>34223</v>
      </c>
      <c r="H304" s="2">
        <f t="shared" si="34"/>
        <v>27</v>
      </c>
      <c r="I304" s="17"/>
      <c r="J304" s="25">
        <v>20120321</v>
      </c>
      <c r="K304" s="16">
        <f t="shared" si="35"/>
        <v>40989</v>
      </c>
      <c r="L304" s="2">
        <f t="shared" si="36"/>
        <v>9</v>
      </c>
      <c r="M304" s="25"/>
      <c r="N304" s="26"/>
      <c r="O304" s="27" t="s">
        <v>35</v>
      </c>
      <c r="P304" s="70">
        <v>42311</v>
      </c>
      <c r="Q304" s="70" t="s">
        <v>331</v>
      </c>
      <c r="R304" s="22">
        <v>1</v>
      </c>
      <c r="S304" s="22" t="s">
        <v>636</v>
      </c>
      <c r="T304" s="22">
        <v>2</v>
      </c>
      <c r="AE304">
        <f t="shared" si="32"/>
        <v>42311</v>
      </c>
    </row>
    <row r="305" spans="1:31">
      <c r="A305">
        <v>74</v>
      </c>
      <c r="B305" s="21">
        <v>333</v>
      </c>
      <c r="C305" s="22">
        <v>3477</v>
      </c>
      <c r="D305" s="22" t="s">
        <v>337</v>
      </c>
      <c r="E305" s="23" t="s">
        <v>15</v>
      </c>
      <c r="F305" s="24">
        <v>19990326</v>
      </c>
      <c r="G305" s="16">
        <f t="shared" si="33"/>
        <v>36245</v>
      </c>
      <c r="H305" s="2">
        <f t="shared" si="34"/>
        <v>22</v>
      </c>
      <c r="I305" s="17"/>
      <c r="J305" s="25">
        <v>20170403</v>
      </c>
      <c r="K305" s="16">
        <f t="shared" si="35"/>
        <v>42828</v>
      </c>
      <c r="L305" s="2">
        <f t="shared" si="36"/>
        <v>4</v>
      </c>
      <c r="M305" s="25"/>
      <c r="N305" s="26"/>
      <c r="O305" s="27">
        <v>6</v>
      </c>
      <c r="P305" s="70">
        <v>42311</v>
      </c>
      <c r="Q305" s="70" t="s">
        <v>331</v>
      </c>
      <c r="R305" s="22">
        <v>1</v>
      </c>
      <c r="S305" s="22" t="s">
        <v>636</v>
      </c>
      <c r="T305" s="22">
        <v>2</v>
      </c>
      <c r="AE305">
        <f t="shared" si="32"/>
        <v>42311</v>
      </c>
    </row>
    <row r="306" spans="1:31">
      <c r="A306">
        <v>75</v>
      </c>
      <c r="B306" s="21">
        <v>401</v>
      </c>
      <c r="C306" s="22">
        <v>3910</v>
      </c>
      <c r="D306" s="22" t="s">
        <v>338</v>
      </c>
      <c r="E306" s="23" t="s">
        <v>15</v>
      </c>
      <c r="F306" s="24">
        <v>19750327</v>
      </c>
      <c r="G306" s="16">
        <f t="shared" si="33"/>
        <v>27480</v>
      </c>
      <c r="H306" s="2">
        <f t="shared" si="34"/>
        <v>46</v>
      </c>
      <c r="I306" s="17"/>
      <c r="J306" s="25">
        <v>20030921</v>
      </c>
      <c r="K306" s="16">
        <f t="shared" si="35"/>
        <v>37885</v>
      </c>
      <c r="L306" s="2">
        <f t="shared" si="36"/>
        <v>17</v>
      </c>
      <c r="M306" s="25"/>
      <c r="N306" s="26"/>
      <c r="O306" s="27" t="s">
        <v>16</v>
      </c>
      <c r="P306" s="70">
        <v>42411</v>
      </c>
      <c r="Q306" s="70" t="s">
        <v>339</v>
      </c>
      <c r="R306" s="22">
        <v>1</v>
      </c>
      <c r="S306" s="22" t="s">
        <v>636</v>
      </c>
      <c r="T306" s="22">
        <v>1</v>
      </c>
      <c r="AE306">
        <f t="shared" si="32"/>
        <v>42411</v>
      </c>
    </row>
    <row r="307" spans="1:31">
      <c r="A307">
        <v>76</v>
      </c>
      <c r="B307" s="21">
        <v>217</v>
      </c>
      <c r="C307" s="22">
        <v>3263</v>
      </c>
      <c r="D307" s="22" t="s">
        <v>340</v>
      </c>
      <c r="E307" s="23" t="s">
        <v>15</v>
      </c>
      <c r="F307" s="24">
        <v>19881025</v>
      </c>
      <c r="G307" s="16">
        <f t="shared" si="33"/>
        <v>32441</v>
      </c>
      <c r="H307" s="2">
        <f t="shared" si="34"/>
        <v>32</v>
      </c>
      <c r="I307" s="17"/>
      <c r="J307" s="25">
        <v>20070321</v>
      </c>
      <c r="K307" s="16">
        <f t="shared" si="35"/>
        <v>39162</v>
      </c>
      <c r="L307" s="2">
        <f t="shared" si="36"/>
        <v>14</v>
      </c>
      <c r="M307" s="25"/>
      <c r="N307" s="26"/>
      <c r="O307" s="27" t="s">
        <v>35</v>
      </c>
      <c r="P307" s="70">
        <v>42411</v>
      </c>
      <c r="Q307" s="70" t="s">
        <v>339</v>
      </c>
      <c r="R307" s="22">
        <v>1</v>
      </c>
      <c r="S307" s="22" t="s">
        <v>636</v>
      </c>
      <c r="T307" s="22">
        <v>1</v>
      </c>
      <c r="AE307">
        <f t="shared" si="32"/>
        <v>42411</v>
      </c>
    </row>
    <row r="308" spans="1:31">
      <c r="A308">
        <v>77</v>
      </c>
      <c r="B308" s="21">
        <v>225</v>
      </c>
      <c r="C308" s="22">
        <v>3286</v>
      </c>
      <c r="D308" s="22" t="s">
        <v>341</v>
      </c>
      <c r="E308" s="23" t="s">
        <v>15</v>
      </c>
      <c r="F308" s="24">
        <v>19891204</v>
      </c>
      <c r="G308" s="16">
        <f t="shared" si="33"/>
        <v>32846</v>
      </c>
      <c r="H308" s="2">
        <f t="shared" si="34"/>
        <v>31</v>
      </c>
      <c r="I308" s="17"/>
      <c r="J308" s="25">
        <v>20080321</v>
      </c>
      <c r="K308" s="16">
        <f t="shared" si="35"/>
        <v>39528</v>
      </c>
      <c r="L308" s="2">
        <f t="shared" si="36"/>
        <v>13</v>
      </c>
      <c r="M308" s="25"/>
      <c r="N308" s="26"/>
      <c r="O308" s="27" t="s">
        <v>35</v>
      </c>
      <c r="P308" s="70">
        <v>42411</v>
      </c>
      <c r="Q308" s="70" t="s">
        <v>339</v>
      </c>
      <c r="R308" s="22">
        <v>1</v>
      </c>
      <c r="S308" s="22" t="s">
        <v>636</v>
      </c>
      <c r="T308" s="22">
        <v>1</v>
      </c>
      <c r="AE308">
        <f t="shared" si="32"/>
        <v>42411</v>
      </c>
    </row>
    <row r="309" spans="1:31">
      <c r="A309">
        <v>78</v>
      </c>
      <c r="B309" s="21">
        <v>306</v>
      </c>
      <c r="C309" s="22">
        <v>3438</v>
      </c>
      <c r="D309" s="22" t="s">
        <v>342</v>
      </c>
      <c r="E309" s="23" t="s">
        <v>15</v>
      </c>
      <c r="F309" s="24">
        <v>19960702</v>
      </c>
      <c r="G309" s="16">
        <f t="shared" si="33"/>
        <v>35248</v>
      </c>
      <c r="H309" s="2">
        <f t="shared" si="34"/>
        <v>25</v>
      </c>
      <c r="I309" s="17"/>
      <c r="J309" s="25">
        <v>20150401</v>
      </c>
      <c r="K309" s="16">
        <f t="shared" si="35"/>
        <v>42095</v>
      </c>
      <c r="L309" s="2">
        <f t="shared" si="36"/>
        <v>6</v>
      </c>
      <c r="M309" s="25"/>
      <c r="N309" s="26"/>
      <c r="O309" s="27" t="s">
        <v>35</v>
      </c>
      <c r="P309" s="70">
        <v>42411</v>
      </c>
      <c r="Q309" s="70" t="s">
        <v>339</v>
      </c>
      <c r="R309" s="22">
        <v>1</v>
      </c>
      <c r="S309" s="22" t="s">
        <v>636</v>
      </c>
      <c r="T309" s="22">
        <v>1</v>
      </c>
      <c r="AE309">
        <f t="shared" si="32"/>
        <v>42411</v>
      </c>
    </row>
    <row r="310" spans="1:31">
      <c r="A310">
        <v>79</v>
      </c>
      <c r="B310" s="21">
        <v>462</v>
      </c>
      <c r="C310" s="22">
        <v>5164</v>
      </c>
      <c r="D310" s="22" t="s">
        <v>343</v>
      </c>
      <c r="E310" s="23" t="s">
        <v>15</v>
      </c>
      <c r="F310" s="24">
        <v>19710821</v>
      </c>
      <c r="G310" s="16">
        <f t="shared" si="33"/>
        <v>26166</v>
      </c>
      <c r="H310" s="2">
        <f t="shared" si="34"/>
        <v>49</v>
      </c>
      <c r="I310" s="17"/>
      <c r="J310" s="25">
        <v>19880325</v>
      </c>
      <c r="K310" s="16">
        <f t="shared" si="35"/>
        <v>32227</v>
      </c>
      <c r="L310" s="2">
        <f t="shared" si="36"/>
        <v>33</v>
      </c>
      <c r="M310" s="25"/>
      <c r="N310" s="26"/>
      <c r="O310" s="27" t="s">
        <v>105</v>
      </c>
      <c r="P310" s="70">
        <v>42411</v>
      </c>
      <c r="Q310" s="70" t="s">
        <v>339</v>
      </c>
      <c r="R310" s="22">
        <v>1</v>
      </c>
      <c r="S310" s="22" t="s">
        <v>636</v>
      </c>
      <c r="T310" s="22">
        <v>2</v>
      </c>
      <c r="AE310">
        <f t="shared" si="32"/>
        <v>42411</v>
      </c>
    </row>
    <row r="311" spans="1:31">
      <c r="A311">
        <v>80</v>
      </c>
      <c r="B311" s="21">
        <v>465</v>
      </c>
      <c r="C311" s="22">
        <v>5175</v>
      </c>
      <c r="D311" s="22" t="s">
        <v>344</v>
      </c>
      <c r="E311" s="23" t="s">
        <v>15</v>
      </c>
      <c r="F311" s="24">
        <v>19721126</v>
      </c>
      <c r="G311" s="16">
        <f t="shared" si="33"/>
        <v>26629</v>
      </c>
      <c r="H311" s="2">
        <f t="shared" si="34"/>
        <v>48</v>
      </c>
      <c r="I311" s="17"/>
      <c r="J311" s="25">
        <v>19900322</v>
      </c>
      <c r="K311" s="16">
        <f t="shared" si="35"/>
        <v>32954</v>
      </c>
      <c r="L311" s="2">
        <f t="shared" si="36"/>
        <v>31</v>
      </c>
      <c r="M311" s="25"/>
      <c r="N311" s="26"/>
      <c r="O311" s="27" t="s">
        <v>345</v>
      </c>
      <c r="P311" s="70">
        <v>42411</v>
      </c>
      <c r="Q311" s="70" t="s">
        <v>339</v>
      </c>
      <c r="R311" s="22">
        <v>1</v>
      </c>
      <c r="S311" s="22" t="s">
        <v>636</v>
      </c>
      <c r="T311" s="22">
        <v>2</v>
      </c>
      <c r="AE311">
        <f t="shared" si="32"/>
        <v>42411</v>
      </c>
    </row>
    <row r="312" spans="1:31">
      <c r="A312">
        <v>81</v>
      </c>
      <c r="B312" s="21">
        <v>210</v>
      </c>
      <c r="C312" s="22">
        <v>3250</v>
      </c>
      <c r="D312" s="22" t="s">
        <v>346</v>
      </c>
      <c r="E312" s="23" t="s">
        <v>15</v>
      </c>
      <c r="F312" s="24">
        <v>19880106</v>
      </c>
      <c r="G312" s="16">
        <f t="shared" si="33"/>
        <v>32148</v>
      </c>
      <c r="H312" s="2">
        <f t="shared" si="34"/>
        <v>33</v>
      </c>
      <c r="I312" s="17"/>
      <c r="J312" s="25">
        <v>20060321</v>
      </c>
      <c r="K312" s="16">
        <f t="shared" si="35"/>
        <v>38797</v>
      </c>
      <c r="L312" s="2">
        <f t="shared" si="36"/>
        <v>15</v>
      </c>
      <c r="M312" s="25"/>
      <c r="N312" s="26"/>
      <c r="O312" s="27" t="s">
        <v>35</v>
      </c>
      <c r="P312" s="70">
        <v>42411</v>
      </c>
      <c r="Q312" s="70" t="s">
        <v>339</v>
      </c>
      <c r="R312" s="22">
        <v>1</v>
      </c>
      <c r="S312" s="22" t="s">
        <v>636</v>
      </c>
      <c r="T312" s="22">
        <v>2</v>
      </c>
      <c r="AE312">
        <f t="shared" si="32"/>
        <v>42411</v>
      </c>
    </row>
    <row r="313" spans="1:31">
      <c r="A313">
        <v>82</v>
      </c>
      <c r="B313" s="21">
        <v>365</v>
      </c>
      <c r="C313" s="22">
        <v>3518</v>
      </c>
      <c r="D313" s="22" t="s">
        <v>347</v>
      </c>
      <c r="E313" s="23" t="s">
        <v>635</v>
      </c>
      <c r="F313" s="24">
        <v>20020126</v>
      </c>
      <c r="G313" s="16">
        <f t="shared" si="33"/>
        <v>37282</v>
      </c>
      <c r="H313" s="2">
        <f t="shared" si="34"/>
        <v>19</v>
      </c>
      <c r="I313" s="17"/>
      <c r="J313" s="25">
        <v>20200401</v>
      </c>
      <c r="K313" s="16">
        <f t="shared" si="35"/>
        <v>43922</v>
      </c>
      <c r="L313" s="2">
        <f t="shared" si="36"/>
        <v>1</v>
      </c>
      <c r="M313" s="25"/>
      <c r="N313" s="26"/>
      <c r="O313" s="27">
        <v>6</v>
      </c>
      <c r="P313" s="70">
        <v>42411</v>
      </c>
      <c r="Q313" s="70" t="s">
        <v>339</v>
      </c>
      <c r="R313" s="22">
        <v>1</v>
      </c>
      <c r="S313" s="22" t="s">
        <v>636</v>
      </c>
      <c r="T313" s="22">
        <v>2</v>
      </c>
      <c r="AE313">
        <f t="shared" si="32"/>
        <v>42411</v>
      </c>
    </row>
    <row r="314" spans="1:31">
      <c r="A314">
        <v>83</v>
      </c>
      <c r="B314" s="21">
        <v>140</v>
      </c>
      <c r="C314" s="22">
        <v>3030</v>
      </c>
      <c r="D314" s="22" t="s">
        <v>348</v>
      </c>
      <c r="E314" s="23" t="s">
        <v>15</v>
      </c>
      <c r="F314" s="24">
        <v>19740619</v>
      </c>
      <c r="G314" s="16">
        <f t="shared" si="33"/>
        <v>27199</v>
      </c>
      <c r="H314" s="2">
        <f t="shared" si="34"/>
        <v>47</v>
      </c>
      <c r="I314" s="17"/>
      <c r="J314" s="25">
        <v>19950322</v>
      </c>
      <c r="K314" s="16">
        <f t="shared" si="35"/>
        <v>34780</v>
      </c>
      <c r="L314" s="2">
        <f t="shared" si="36"/>
        <v>26</v>
      </c>
      <c r="M314" s="25"/>
      <c r="N314" s="26"/>
      <c r="O314" s="27" t="s">
        <v>19</v>
      </c>
      <c r="P314" s="70">
        <v>43011</v>
      </c>
      <c r="Q314" s="70" t="s">
        <v>349</v>
      </c>
      <c r="R314" s="22">
        <v>1</v>
      </c>
      <c r="S314" s="22" t="s">
        <v>636</v>
      </c>
      <c r="T314" s="22">
        <v>1</v>
      </c>
      <c r="AE314">
        <f t="shared" si="32"/>
        <v>43011</v>
      </c>
    </row>
    <row r="315" spans="1:31">
      <c r="A315">
        <v>84</v>
      </c>
      <c r="B315" s="21">
        <v>220</v>
      </c>
      <c r="C315" s="22">
        <v>3273</v>
      </c>
      <c r="D315" s="22" t="s">
        <v>350</v>
      </c>
      <c r="E315" s="23" t="s">
        <v>15</v>
      </c>
      <c r="F315" s="24">
        <v>19850326</v>
      </c>
      <c r="G315" s="16">
        <f t="shared" si="33"/>
        <v>31132</v>
      </c>
      <c r="H315" s="2">
        <f t="shared" si="34"/>
        <v>36</v>
      </c>
      <c r="I315" s="17"/>
      <c r="J315" s="25">
        <v>20071021</v>
      </c>
      <c r="K315" s="16">
        <f t="shared" si="35"/>
        <v>39376</v>
      </c>
      <c r="L315" s="2">
        <f t="shared" si="36"/>
        <v>13</v>
      </c>
      <c r="M315" s="25"/>
      <c r="N315" s="26"/>
      <c r="O315" s="27" t="s">
        <v>16</v>
      </c>
      <c r="P315" s="70">
        <v>43011</v>
      </c>
      <c r="Q315" s="70" t="s">
        <v>349</v>
      </c>
      <c r="R315" s="22">
        <v>1</v>
      </c>
      <c r="S315" s="22" t="s">
        <v>636</v>
      </c>
      <c r="T315" s="22">
        <v>1</v>
      </c>
      <c r="AE315">
        <f t="shared" si="32"/>
        <v>43011</v>
      </c>
    </row>
    <row r="316" spans="1:31">
      <c r="A316">
        <v>85</v>
      </c>
      <c r="B316" s="21">
        <v>200</v>
      </c>
      <c r="C316" s="22">
        <v>3225</v>
      </c>
      <c r="D316" s="22" t="s">
        <v>351</v>
      </c>
      <c r="E316" s="23" t="s">
        <v>15</v>
      </c>
      <c r="F316" s="24">
        <v>19850414</v>
      </c>
      <c r="G316" s="16">
        <f t="shared" si="33"/>
        <v>31151</v>
      </c>
      <c r="H316" s="2">
        <f t="shared" si="34"/>
        <v>36</v>
      </c>
      <c r="I316" s="17"/>
      <c r="J316" s="25">
        <v>20040322</v>
      </c>
      <c r="K316" s="16">
        <f t="shared" si="35"/>
        <v>38068</v>
      </c>
      <c r="L316" s="2">
        <f t="shared" si="36"/>
        <v>17</v>
      </c>
      <c r="M316" s="25"/>
      <c r="N316" s="26"/>
      <c r="O316" s="27" t="s">
        <v>35</v>
      </c>
      <c r="P316" s="70">
        <v>43011</v>
      </c>
      <c r="Q316" s="70" t="s">
        <v>349</v>
      </c>
      <c r="R316" s="22">
        <v>1</v>
      </c>
      <c r="S316" s="22" t="s">
        <v>636</v>
      </c>
      <c r="T316" s="22">
        <v>1</v>
      </c>
      <c r="AE316">
        <f t="shared" si="32"/>
        <v>43011</v>
      </c>
    </row>
    <row r="317" spans="1:31">
      <c r="A317">
        <v>86</v>
      </c>
      <c r="B317" s="21">
        <v>309</v>
      </c>
      <c r="C317" s="22">
        <v>3442</v>
      </c>
      <c r="D317" s="22" t="s">
        <v>352</v>
      </c>
      <c r="E317" s="23" t="s">
        <v>15</v>
      </c>
      <c r="F317" s="24">
        <v>19960916</v>
      </c>
      <c r="G317" s="16">
        <f t="shared" si="33"/>
        <v>35324</v>
      </c>
      <c r="H317" s="2">
        <f t="shared" si="34"/>
        <v>24</v>
      </c>
      <c r="I317" s="17"/>
      <c r="J317" s="25">
        <v>20150401</v>
      </c>
      <c r="K317" s="16">
        <f t="shared" si="35"/>
        <v>42095</v>
      </c>
      <c r="L317" s="2">
        <f t="shared" si="36"/>
        <v>6</v>
      </c>
      <c r="M317" s="25"/>
      <c r="N317" s="26"/>
      <c r="O317" s="27" t="s">
        <v>35</v>
      </c>
      <c r="P317" s="70">
        <v>43011</v>
      </c>
      <c r="Q317" s="70" t="s">
        <v>349</v>
      </c>
      <c r="R317" s="22">
        <v>1</v>
      </c>
      <c r="S317" s="22" t="s">
        <v>636</v>
      </c>
      <c r="T317" s="22">
        <v>1</v>
      </c>
      <c r="AE317">
        <f t="shared" si="32"/>
        <v>43011</v>
      </c>
    </row>
    <row r="318" spans="1:31">
      <c r="A318">
        <v>87</v>
      </c>
      <c r="B318" s="21">
        <v>115</v>
      </c>
      <c r="C318" s="22">
        <v>2934</v>
      </c>
      <c r="D318" s="22" t="s">
        <v>353</v>
      </c>
      <c r="E318" s="23" t="s">
        <v>15</v>
      </c>
      <c r="F318" s="24">
        <v>19740924</v>
      </c>
      <c r="G318" s="16">
        <f t="shared" si="33"/>
        <v>27296</v>
      </c>
      <c r="H318" s="2">
        <f t="shared" si="34"/>
        <v>46</v>
      </c>
      <c r="I318" s="17"/>
      <c r="J318" s="25">
        <v>19930322</v>
      </c>
      <c r="K318" s="16">
        <f t="shared" si="35"/>
        <v>34050</v>
      </c>
      <c r="L318" s="2">
        <f t="shared" si="36"/>
        <v>28</v>
      </c>
      <c r="M318" s="25"/>
      <c r="N318" s="26"/>
      <c r="O318" s="27" t="s">
        <v>35</v>
      </c>
      <c r="P318" s="70">
        <v>43011</v>
      </c>
      <c r="Q318" s="70" t="s">
        <v>349</v>
      </c>
      <c r="R318" s="22">
        <v>1</v>
      </c>
      <c r="S318" s="22" t="s">
        <v>636</v>
      </c>
      <c r="T318" s="22">
        <v>2</v>
      </c>
      <c r="AE318">
        <f t="shared" si="32"/>
        <v>43011</v>
      </c>
    </row>
    <row r="319" spans="1:31">
      <c r="A319">
        <v>88</v>
      </c>
      <c r="B319" s="21">
        <v>383</v>
      </c>
      <c r="C319" s="22">
        <v>3863</v>
      </c>
      <c r="D319" s="22" t="s">
        <v>354</v>
      </c>
      <c r="E319" s="23" t="s">
        <v>15</v>
      </c>
      <c r="F319" s="24">
        <v>19750221</v>
      </c>
      <c r="G319" s="16">
        <f t="shared" si="33"/>
        <v>27446</v>
      </c>
      <c r="H319" s="2">
        <f t="shared" si="34"/>
        <v>46</v>
      </c>
      <c r="I319" s="17"/>
      <c r="J319" s="25">
        <v>19961021</v>
      </c>
      <c r="K319" s="16">
        <f t="shared" si="35"/>
        <v>35359</v>
      </c>
      <c r="L319" s="2">
        <f t="shared" si="36"/>
        <v>24</v>
      </c>
      <c r="M319" s="25"/>
      <c r="N319" s="26"/>
      <c r="O319" s="27" t="s">
        <v>19</v>
      </c>
      <c r="P319" s="70">
        <v>43011</v>
      </c>
      <c r="Q319" s="70" t="s">
        <v>349</v>
      </c>
      <c r="R319" s="22">
        <v>1</v>
      </c>
      <c r="S319" s="22" t="s">
        <v>636</v>
      </c>
      <c r="T319" s="22">
        <v>2</v>
      </c>
      <c r="AE319">
        <f t="shared" si="32"/>
        <v>43011</v>
      </c>
    </row>
    <row r="320" spans="1:31">
      <c r="A320">
        <v>89</v>
      </c>
      <c r="B320" s="21">
        <v>402</v>
      </c>
      <c r="C320" s="22">
        <v>3911</v>
      </c>
      <c r="D320" s="22" t="s">
        <v>355</v>
      </c>
      <c r="E320" s="23" t="s">
        <v>15</v>
      </c>
      <c r="F320" s="24">
        <v>19741225</v>
      </c>
      <c r="G320" s="16">
        <f t="shared" si="33"/>
        <v>27388</v>
      </c>
      <c r="H320" s="2">
        <f t="shared" si="34"/>
        <v>46</v>
      </c>
      <c r="I320" s="17"/>
      <c r="J320" s="25">
        <v>20030709</v>
      </c>
      <c r="K320" s="16">
        <f t="shared" si="35"/>
        <v>37811</v>
      </c>
      <c r="L320" s="2">
        <f t="shared" si="36"/>
        <v>18</v>
      </c>
      <c r="M320" s="25"/>
      <c r="N320" s="26"/>
      <c r="O320" s="27" t="s">
        <v>35</v>
      </c>
      <c r="P320" s="70">
        <v>43011</v>
      </c>
      <c r="Q320" s="70" t="s">
        <v>349</v>
      </c>
      <c r="R320" s="22">
        <v>1</v>
      </c>
      <c r="S320" s="22" t="s">
        <v>636</v>
      </c>
      <c r="T320" s="22">
        <v>2</v>
      </c>
      <c r="AE320">
        <f t="shared" si="32"/>
        <v>43011</v>
      </c>
    </row>
    <row r="321" spans="1:31">
      <c r="A321">
        <v>90</v>
      </c>
      <c r="B321" s="21">
        <v>32</v>
      </c>
      <c r="C321" s="22">
        <v>1368</v>
      </c>
      <c r="D321" s="22" t="s">
        <v>356</v>
      </c>
      <c r="E321" s="23" t="s">
        <v>15</v>
      </c>
      <c r="F321" s="24">
        <v>19721110</v>
      </c>
      <c r="G321" s="16">
        <f t="shared" si="33"/>
        <v>26613</v>
      </c>
      <c r="H321" s="2">
        <f t="shared" si="34"/>
        <v>48</v>
      </c>
      <c r="I321" s="17"/>
      <c r="J321" s="25">
        <v>20110121</v>
      </c>
      <c r="K321" s="16">
        <f t="shared" si="35"/>
        <v>40564</v>
      </c>
      <c r="L321" s="2">
        <f t="shared" si="36"/>
        <v>10</v>
      </c>
      <c r="M321" s="25"/>
      <c r="N321" s="26"/>
      <c r="O321" s="27" t="s">
        <v>19</v>
      </c>
      <c r="P321" s="70">
        <v>43011</v>
      </c>
      <c r="Q321" s="70" t="s">
        <v>349</v>
      </c>
      <c r="R321" s="22">
        <v>1</v>
      </c>
      <c r="S321" s="22" t="s">
        <v>636</v>
      </c>
      <c r="T321" s="22">
        <v>2</v>
      </c>
      <c r="AE321">
        <f t="shared" si="32"/>
        <v>43011</v>
      </c>
    </row>
    <row r="322" spans="1:31">
      <c r="A322">
        <v>91</v>
      </c>
      <c r="B322" s="21">
        <v>117</v>
      </c>
      <c r="C322" s="22">
        <v>2940</v>
      </c>
      <c r="D322" s="22" t="s">
        <v>357</v>
      </c>
      <c r="E322" s="23" t="s">
        <v>15</v>
      </c>
      <c r="F322" s="24">
        <v>19740515</v>
      </c>
      <c r="G322" s="16">
        <f t="shared" si="33"/>
        <v>27164</v>
      </c>
      <c r="H322" s="2">
        <f t="shared" si="34"/>
        <v>47</v>
      </c>
      <c r="I322" s="17"/>
      <c r="J322" s="25">
        <v>19930322</v>
      </c>
      <c r="K322" s="16">
        <f t="shared" si="35"/>
        <v>34050</v>
      </c>
      <c r="L322" s="2">
        <f t="shared" si="36"/>
        <v>28</v>
      </c>
      <c r="M322" s="25"/>
      <c r="N322" s="26"/>
      <c r="O322" s="27" t="s">
        <v>35</v>
      </c>
      <c r="P322" s="70">
        <v>43011</v>
      </c>
      <c r="Q322" s="70" t="s">
        <v>349</v>
      </c>
      <c r="R322" s="22">
        <v>1</v>
      </c>
      <c r="S322" s="22" t="s">
        <v>636</v>
      </c>
      <c r="T322" s="22">
        <v>2</v>
      </c>
      <c r="AE322">
        <f t="shared" si="32"/>
        <v>43011</v>
      </c>
    </row>
    <row r="323" spans="1:31">
      <c r="A323">
        <v>92</v>
      </c>
      <c r="B323" s="21">
        <v>214</v>
      </c>
      <c r="C323" s="22">
        <v>3255</v>
      </c>
      <c r="D323" s="22" t="s">
        <v>358</v>
      </c>
      <c r="E323" s="23" t="s">
        <v>15</v>
      </c>
      <c r="F323" s="24">
        <v>19870615</v>
      </c>
      <c r="G323" s="16">
        <f t="shared" si="33"/>
        <v>31943</v>
      </c>
      <c r="H323" s="2">
        <f t="shared" si="34"/>
        <v>34</v>
      </c>
      <c r="I323" s="17"/>
      <c r="J323" s="25">
        <v>20060321</v>
      </c>
      <c r="K323" s="16">
        <f t="shared" si="35"/>
        <v>38797</v>
      </c>
      <c r="L323" s="2">
        <f t="shared" si="36"/>
        <v>15</v>
      </c>
      <c r="M323" s="25"/>
      <c r="N323" s="26"/>
      <c r="O323" s="27" t="s">
        <v>35</v>
      </c>
      <c r="P323" s="70">
        <v>43011</v>
      </c>
      <c r="Q323" s="70" t="s">
        <v>349</v>
      </c>
      <c r="R323" s="22">
        <v>1</v>
      </c>
      <c r="S323" s="22" t="s">
        <v>636</v>
      </c>
      <c r="T323" s="22">
        <v>2</v>
      </c>
      <c r="AE323">
        <f t="shared" si="32"/>
        <v>43011</v>
      </c>
    </row>
    <row r="324" spans="1:31">
      <c r="A324">
        <v>93</v>
      </c>
      <c r="B324" s="21">
        <v>303</v>
      </c>
      <c r="C324" s="22">
        <v>3435</v>
      </c>
      <c r="D324" s="22" t="s">
        <v>359</v>
      </c>
      <c r="E324" s="23" t="s">
        <v>15</v>
      </c>
      <c r="F324" s="24">
        <v>19970122</v>
      </c>
      <c r="G324" s="16">
        <f t="shared" si="33"/>
        <v>35452</v>
      </c>
      <c r="H324" s="2">
        <f t="shared" si="34"/>
        <v>24</v>
      </c>
      <c r="I324" s="17"/>
      <c r="J324" s="25">
        <v>20150401</v>
      </c>
      <c r="K324" s="16">
        <f t="shared" si="35"/>
        <v>42095</v>
      </c>
      <c r="L324" s="2">
        <f t="shared" si="36"/>
        <v>6</v>
      </c>
      <c r="M324" s="25"/>
      <c r="N324" s="26"/>
      <c r="O324" s="27" t="s">
        <v>35</v>
      </c>
      <c r="P324" s="70">
        <v>43011</v>
      </c>
      <c r="Q324" s="70" t="s">
        <v>349</v>
      </c>
      <c r="R324" s="22">
        <v>1</v>
      </c>
      <c r="S324" s="22" t="s">
        <v>636</v>
      </c>
      <c r="T324" s="22">
        <v>2</v>
      </c>
      <c r="AE324">
        <f t="shared" si="32"/>
        <v>43011</v>
      </c>
    </row>
    <row r="325" spans="1:31">
      <c r="A325">
        <v>94</v>
      </c>
      <c r="B325" s="21">
        <v>335</v>
      </c>
      <c r="C325" s="22">
        <v>3479</v>
      </c>
      <c r="D325" s="22" t="s">
        <v>360</v>
      </c>
      <c r="E325" s="23" t="s">
        <v>15</v>
      </c>
      <c r="F325" s="24">
        <v>19980615</v>
      </c>
      <c r="G325" s="16">
        <f t="shared" si="33"/>
        <v>35961</v>
      </c>
      <c r="H325" s="2">
        <f t="shared" si="34"/>
        <v>23</v>
      </c>
      <c r="I325" s="17"/>
      <c r="J325" s="25">
        <v>20170403</v>
      </c>
      <c r="K325" s="16">
        <f t="shared" si="35"/>
        <v>42828</v>
      </c>
      <c r="L325" s="2">
        <f t="shared" si="36"/>
        <v>4</v>
      </c>
      <c r="M325" s="25"/>
      <c r="N325" s="26"/>
      <c r="O325" s="27">
        <v>6</v>
      </c>
      <c r="P325" s="70">
        <v>43011</v>
      </c>
      <c r="Q325" s="70" t="s">
        <v>349</v>
      </c>
      <c r="R325" s="22">
        <v>1</v>
      </c>
      <c r="S325" s="22" t="s">
        <v>636</v>
      </c>
      <c r="T325" s="22">
        <v>2</v>
      </c>
      <c r="AE325">
        <f t="shared" si="32"/>
        <v>43011</v>
      </c>
    </row>
    <row r="326" spans="1:31">
      <c r="A326">
        <v>95</v>
      </c>
      <c r="B326" s="21">
        <v>345</v>
      </c>
      <c r="C326" s="22">
        <v>3492</v>
      </c>
      <c r="D326" s="22" t="s">
        <v>361</v>
      </c>
      <c r="E326" s="23" t="s">
        <v>15</v>
      </c>
      <c r="F326" s="24">
        <v>19991229</v>
      </c>
      <c r="G326" s="16">
        <f t="shared" si="33"/>
        <v>36523</v>
      </c>
      <c r="H326" s="2">
        <f t="shared" si="34"/>
        <v>21</v>
      </c>
      <c r="I326" s="17"/>
      <c r="J326" s="25">
        <v>20180402</v>
      </c>
      <c r="K326" s="16">
        <f t="shared" si="35"/>
        <v>43192</v>
      </c>
      <c r="L326" s="2">
        <f t="shared" si="36"/>
        <v>3</v>
      </c>
      <c r="M326" s="25"/>
      <c r="N326" s="26"/>
      <c r="O326" s="27">
        <v>6</v>
      </c>
      <c r="P326" s="70">
        <v>43011</v>
      </c>
      <c r="Q326" s="70" t="s">
        <v>349</v>
      </c>
      <c r="R326" s="22">
        <v>1</v>
      </c>
      <c r="S326" s="22" t="s">
        <v>636</v>
      </c>
      <c r="T326" s="22">
        <v>2</v>
      </c>
      <c r="AE326">
        <f t="shared" ref="AE326:AE389" si="37">ROUNDDOWN(P326*1,0)</f>
        <v>43011</v>
      </c>
    </row>
    <row r="327" spans="1:31">
      <c r="A327">
        <v>96</v>
      </c>
      <c r="B327" s="21">
        <v>355</v>
      </c>
      <c r="C327" s="22">
        <v>3504</v>
      </c>
      <c r="D327" s="22" t="s">
        <v>362</v>
      </c>
      <c r="E327" s="23" t="s">
        <v>15</v>
      </c>
      <c r="F327" s="24">
        <v>20010327</v>
      </c>
      <c r="G327" s="16">
        <f t="shared" si="33"/>
        <v>36977</v>
      </c>
      <c r="H327" s="2">
        <f t="shared" si="34"/>
        <v>20</v>
      </c>
      <c r="I327" s="17"/>
      <c r="J327" s="25">
        <v>20190401</v>
      </c>
      <c r="K327" s="16">
        <f t="shared" si="35"/>
        <v>43556</v>
      </c>
      <c r="L327" s="2">
        <f t="shared" si="36"/>
        <v>2</v>
      </c>
      <c r="M327" s="25"/>
      <c r="N327" s="26"/>
      <c r="O327" s="27">
        <v>6</v>
      </c>
      <c r="P327" s="70">
        <v>43011</v>
      </c>
      <c r="Q327" s="70" t="s">
        <v>349</v>
      </c>
      <c r="R327" s="22">
        <v>1</v>
      </c>
      <c r="S327" s="22" t="s">
        <v>636</v>
      </c>
      <c r="T327" s="22">
        <v>2</v>
      </c>
      <c r="AE327">
        <f t="shared" si="37"/>
        <v>43011</v>
      </c>
    </row>
    <row r="328" spans="1:31">
      <c r="A328">
        <v>97</v>
      </c>
      <c r="B328" s="21">
        <v>101</v>
      </c>
      <c r="C328" s="22">
        <v>2830</v>
      </c>
      <c r="D328" s="22" t="s">
        <v>363</v>
      </c>
      <c r="E328" s="23" t="s">
        <v>15</v>
      </c>
      <c r="F328" s="24">
        <v>19700222</v>
      </c>
      <c r="G328" s="16">
        <f t="shared" si="33"/>
        <v>25621</v>
      </c>
      <c r="H328" s="2">
        <f t="shared" si="34"/>
        <v>51</v>
      </c>
      <c r="I328" s="17"/>
      <c r="J328" s="25">
        <v>19880324</v>
      </c>
      <c r="K328" s="16">
        <f t="shared" si="35"/>
        <v>32226</v>
      </c>
      <c r="L328" s="2">
        <f t="shared" si="36"/>
        <v>33</v>
      </c>
      <c r="M328" s="25"/>
      <c r="N328" s="26"/>
      <c r="O328" s="27" t="s">
        <v>35</v>
      </c>
      <c r="P328" s="70">
        <v>43211</v>
      </c>
      <c r="Q328" s="70" t="s">
        <v>364</v>
      </c>
      <c r="R328" s="22">
        <v>1</v>
      </c>
      <c r="S328" s="22" t="s">
        <v>636</v>
      </c>
      <c r="T328" s="22">
        <v>1</v>
      </c>
      <c r="AE328">
        <f t="shared" si="37"/>
        <v>43211</v>
      </c>
    </row>
    <row r="329" spans="1:31">
      <c r="A329">
        <v>98</v>
      </c>
      <c r="B329" s="21">
        <v>189</v>
      </c>
      <c r="C329" s="22">
        <v>3199</v>
      </c>
      <c r="D329" s="22" t="s">
        <v>365</v>
      </c>
      <c r="E329" s="23" t="s">
        <v>15</v>
      </c>
      <c r="F329" s="24">
        <v>19841227</v>
      </c>
      <c r="G329" s="16">
        <f t="shared" si="33"/>
        <v>31043</v>
      </c>
      <c r="H329" s="2">
        <f t="shared" si="34"/>
        <v>36</v>
      </c>
      <c r="I329" s="17"/>
      <c r="J329" s="25">
        <v>20030321</v>
      </c>
      <c r="K329" s="16">
        <f t="shared" si="35"/>
        <v>37701</v>
      </c>
      <c r="L329" s="2">
        <f t="shared" si="36"/>
        <v>18</v>
      </c>
      <c r="M329" s="25"/>
      <c r="N329" s="26"/>
      <c r="O329" s="27" t="s">
        <v>35</v>
      </c>
      <c r="P329" s="70">
        <v>43211</v>
      </c>
      <c r="Q329" s="70" t="s">
        <v>364</v>
      </c>
      <c r="R329" s="22">
        <v>1</v>
      </c>
      <c r="S329" s="22" t="s">
        <v>636</v>
      </c>
      <c r="T329" s="22">
        <v>1</v>
      </c>
      <c r="AE329">
        <f t="shared" si="37"/>
        <v>43211</v>
      </c>
    </row>
    <row r="330" spans="1:31">
      <c r="A330">
        <v>99</v>
      </c>
      <c r="B330" s="21">
        <v>27</v>
      </c>
      <c r="C330" s="22">
        <v>1357</v>
      </c>
      <c r="D330" s="22" t="s">
        <v>366</v>
      </c>
      <c r="E330" s="23" t="s">
        <v>15</v>
      </c>
      <c r="F330" s="24">
        <v>19750405</v>
      </c>
      <c r="G330" s="16">
        <f t="shared" si="33"/>
        <v>27489</v>
      </c>
      <c r="H330" s="2">
        <f t="shared" si="34"/>
        <v>46</v>
      </c>
      <c r="I330" s="17"/>
      <c r="J330" s="25">
        <v>20080903</v>
      </c>
      <c r="K330" s="16">
        <f t="shared" si="35"/>
        <v>39694</v>
      </c>
      <c r="L330" s="2">
        <f t="shared" si="36"/>
        <v>12</v>
      </c>
      <c r="M330" s="25"/>
      <c r="N330" s="26"/>
      <c r="O330" s="27" t="s">
        <v>16</v>
      </c>
      <c r="P330" s="70">
        <v>43211</v>
      </c>
      <c r="Q330" s="70" t="s">
        <v>364</v>
      </c>
      <c r="R330" s="22">
        <v>1</v>
      </c>
      <c r="S330" s="22" t="s">
        <v>636</v>
      </c>
      <c r="T330" s="22">
        <v>1</v>
      </c>
      <c r="AE330">
        <f t="shared" si="37"/>
        <v>43211</v>
      </c>
    </row>
    <row r="331" spans="1:31">
      <c r="A331">
        <v>100</v>
      </c>
      <c r="B331" s="21">
        <v>444</v>
      </c>
      <c r="C331" s="22">
        <v>5010</v>
      </c>
      <c r="D331" s="22" t="s">
        <v>367</v>
      </c>
      <c r="E331" s="23" t="s">
        <v>15</v>
      </c>
      <c r="F331" s="24">
        <v>19640701</v>
      </c>
      <c r="G331" s="16">
        <f t="shared" si="33"/>
        <v>23559</v>
      </c>
      <c r="H331" s="2">
        <f t="shared" si="34"/>
        <v>57</v>
      </c>
      <c r="I331" s="17"/>
      <c r="J331" s="25">
        <v>19800325</v>
      </c>
      <c r="K331" s="16">
        <f t="shared" si="35"/>
        <v>29305</v>
      </c>
      <c r="L331" s="2">
        <f t="shared" si="36"/>
        <v>41</v>
      </c>
      <c r="M331" s="25"/>
      <c r="N331" s="26"/>
      <c r="O331" s="27" t="s">
        <v>77</v>
      </c>
      <c r="P331" s="70">
        <v>43211</v>
      </c>
      <c r="Q331" s="70" t="s">
        <v>364</v>
      </c>
      <c r="R331" s="22">
        <v>1</v>
      </c>
      <c r="S331" s="22" t="s">
        <v>636</v>
      </c>
      <c r="T331" s="22">
        <v>2</v>
      </c>
      <c r="AE331">
        <f t="shared" si="37"/>
        <v>43211</v>
      </c>
    </row>
    <row r="332" spans="1:31">
      <c r="A332">
        <v>101</v>
      </c>
      <c r="B332" s="21">
        <v>376</v>
      </c>
      <c r="C332" s="22">
        <v>3833</v>
      </c>
      <c r="D332" s="22" t="s">
        <v>368</v>
      </c>
      <c r="E332" s="23" t="s">
        <v>15</v>
      </c>
      <c r="F332" s="24">
        <v>19710803</v>
      </c>
      <c r="G332" s="16">
        <f t="shared" si="33"/>
        <v>26148</v>
      </c>
      <c r="H332" s="2">
        <f t="shared" si="34"/>
        <v>49</v>
      </c>
      <c r="I332" s="17"/>
      <c r="J332" s="25">
        <v>19920217</v>
      </c>
      <c r="K332" s="16">
        <f t="shared" si="35"/>
        <v>33651</v>
      </c>
      <c r="L332" s="2">
        <f t="shared" si="36"/>
        <v>29</v>
      </c>
      <c r="M332" s="25"/>
      <c r="N332" s="26"/>
      <c r="O332" s="27" t="s">
        <v>295</v>
      </c>
      <c r="P332" s="70">
        <v>43211</v>
      </c>
      <c r="Q332" s="70" t="s">
        <v>364</v>
      </c>
      <c r="R332" s="22">
        <v>1</v>
      </c>
      <c r="S332" s="22" t="s">
        <v>636</v>
      </c>
      <c r="T332" s="22">
        <v>2</v>
      </c>
      <c r="AE332">
        <f t="shared" si="37"/>
        <v>43211</v>
      </c>
    </row>
    <row r="333" spans="1:31">
      <c r="A333">
        <v>102</v>
      </c>
      <c r="B333" s="21">
        <v>411</v>
      </c>
      <c r="C333" s="22">
        <v>3948</v>
      </c>
      <c r="D333" s="22" t="s">
        <v>369</v>
      </c>
      <c r="E333" s="23" t="s">
        <v>15</v>
      </c>
      <c r="F333" s="24">
        <v>19671015</v>
      </c>
      <c r="G333" s="16">
        <f t="shared" si="33"/>
        <v>24760</v>
      </c>
      <c r="H333" s="2">
        <f t="shared" si="34"/>
        <v>53</v>
      </c>
      <c r="I333" s="17"/>
      <c r="J333" s="25">
        <v>20061221</v>
      </c>
      <c r="K333" s="16">
        <f t="shared" si="35"/>
        <v>39072</v>
      </c>
      <c r="L333" s="2">
        <f t="shared" si="36"/>
        <v>14</v>
      </c>
      <c r="M333" s="25"/>
      <c r="N333" s="26"/>
      <c r="O333" s="27" t="s">
        <v>35</v>
      </c>
      <c r="P333" s="70">
        <v>43211</v>
      </c>
      <c r="Q333" s="70" t="s">
        <v>364</v>
      </c>
      <c r="R333" s="22">
        <v>1</v>
      </c>
      <c r="S333" s="22" t="s">
        <v>636</v>
      </c>
      <c r="T333" s="22">
        <v>2</v>
      </c>
      <c r="AE333">
        <f t="shared" si="37"/>
        <v>43211</v>
      </c>
    </row>
    <row r="334" spans="1:31">
      <c r="A334">
        <v>103</v>
      </c>
      <c r="B334" s="21">
        <v>148</v>
      </c>
      <c r="C334" s="22">
        <v>3055</v>
      </c>
      <c r="D334" s="22" t="s">
        <v>370</v>
      </c>
      <c r="E334" s="23" t="s">
        <v>15</v>
      </c>
      <c r="F334" s="24">
        <v>19761225</v>
      </c>
      <c r="G334" s="16">
        <f t="shared" si="33"/>
        <v>28119</v>
      </c>
      <c r="H334" s="2">
        <f t="shared" si="34"/>
        <v>44</v>
      </c>
      <c r="I334" s="17"/>
      <c r="J334" s="25">
        <v>19950322</v>
      </c>
      <c r="K334" s="16">
        <f t="shared" si="35"/>
        <v>34780</v>
      </c>
      <c r="L334" s="2">
        <f t="shared" si="36"/>
        <v>26</v>
      </c>
      <c r="M334" s="25"/>
      <c r="N334" s="26"/>
      <c r="O334" s="27" t="s">
        <v>35</v>
      </c>
      <c r="P334" s="70">
        <v>43211</v>
      </c>
      <c r="Q334" s="70" t="s">
        <v>364</v>
      </c>
      <c r="R334" s="22">
        <v>1</v>
      </c>
      <c r="S334" s="22" t="s">
        <v>636</v>
      </c>
      <c r="T334" s="22">
        <v>2</v>
      </c>
      <c r="AE334">
        <f t="shared" si="37"/>
        <v>43211</v>
      </c>
    </row>
    <row r="335" spans="1:31">
      <c r="A335">
        <v>104</v>
      </c>
      <c r="B335" s="21">
        <v>395</v>
      </c>
      <c r="C335" s="22">
        <v>3891</v>
      </c>
      <c r="D335" s="22" t="s">
        <v>371</v>
      </c>
      <c r="E335" s="23" t="s">
        <v>15</v>
      </c>
      <c r="F335" s="24">
        <v>19771101</v>
      </c>
      <c r="G335" s="16">
        <f t="shared" si="33"/>
        <v>28430</v>
      </c>
      <c r="H335" s="2">
        <f t="shared" si="34"/>
        <v>43</v>
      </c>
      <c r="I335" s="17"/>
      <c r="J335" s="25">
        <v>19960321</v>
      </c>
      <c r="K335" s="16">
        <f t="shared" si="35"/>
        <v>35145</v>
      </c>
      <c r="L335" s="2">
        <f t="shared" si="36"/>
        <v>25</v>
      </c>
      <c r="M335" s="25"/>
      <c r="N335" s="26"/>
      <c r="O335" s="27" t="s">
        <v>35</v>
      </c>
      <c r="P335" s="70">
        <v>43211</v>
      </c>
      <c r="Q335" s="70" t="s">
        <v>364</v>
      </c>
      <c r="R335" s="22">
        <v>1</v>
      </c>
      <c r="S335" s="22" t="s">
        <v>636</v>
      </c>
      <c r="T335" s="22">
        <v>2</v>
      </c>
      <c r="AE335">
        <f t="shared" si="37"/>
        <v>43211</v>
      </c>
    </row>
    <row r="336" spans="1:31">
      <c r="A336">
        <v>105</v>
      </c>
      <c r="B336" s="21">
        <v>252</v>
      </c>
      <c r="C336" s="22">
        <v>3345</v>
      </c>
      <c r="D336" s="22" t="s">
        <v>372</v>
      </c>
      <c r="E336" s="23" t="s">
        <v>15</v>
      </c>
      <c r="F336" s="24">
        <v>19921003</v>
      </c>
      <c r="G336" s="16">
        <f t="shared" si="33"/>
        <v>33880</v>
      </c>
      <c r="H336" s="2">
        <f t="shared" si="34"/>
        <v>28</v>
      </c>
      <c r="I336" s="17"/>
      <c r="J336" s="25">
        <v>20110321</v>
      </c>
      <c r="K336" s="16">
        <f t="shared" si="35"/>
        <v>40623</v>
      </c>
      <c r="L336" s="2">
        <f t="shared" si="36"/>
        <v>10</v>
      </c>
      <c r="M336" s="25"/>
      <c r="N336" s="26"/>
      <c r="O336" s="27" t="s">
        <v>35</v>
      </c>
      <c r="P336" s="70">
        <v>43211</v>
      </c>
      <c r="Q336" s="70" t="s">
        <v>364</v>
      </c>
      <c r="R336" s="22">
        <v>1</v>
      </c>
      <c r="S336" s="22" t="s">
        <v>636</v>
      </c>
      <c r="T336" s="22">
        <v>2</v>
      </c>
      <c r="AE336">
        <f t="shared" si="37"/>
        <v>43211</v>
      </c>
    </row>
    <row r="337" spans="1:31">
      <c r="A337">
        <v>106</v>
      </c>
      <c r="B337" s="21">
        <v>267</v>
      </c>
      <c r="C337" s="22">
        <v>3368</v>
      </c>
      <c r="D337" s="22" t="s">
        <v>373</v>
      </c>
      <c r="E337" s="23" t="s">
        <v>15</v>
      </c>
      <c r="F337" s="24">
        <v>19931123</v>
      </c>
      <c r="G337" s="16">
        <f t="shared" si="33"/>
        <v>34296</v>
      </c>
      <c r="H337" s="2">
        <f t="shared" si="34"/>
        <v>27</v>
      </c>
      <c r="I337" s="17"/>
      <c r="J337" s="25">
        <v>20120321</v>
      </c>
      <c r="K337" s="16">
        <f t="shared" si="35"/>
        <v>40989</v>
      </c>
      <c r="L337" s="2">
        <f t="shared" si="36"/>
        <v>9</v>
      </c>
      <c r="M337" s="25"/>
      <c r="N337" s="26"/>
      <c r="O337" s="27" t="s">
        <v>35</v>
      </c>
      <c r="P337" s="70">
        <v>43211</v>
      </c>
      <c r="Q337" s="70" t="s">
        <v>364</v>
      </c>
      <c r="R337" s="22">
        <v>1</v>
      </c>
      <c r="S337" s="22" t="s">
        <v>636</v>
      </c>
      <c r="T337" s="22">
        <v>2</v>
      </c>
      <c r="AE337">
        <f t="shared" si="37"/>
        <v>43211</v>
      </c>
    </row>
    <row r="338" spans="1:31">
      <c r="A338">
        <v>107</v>
      </c>
      <c r="B338" s="21">
        <v>287</v>
      </c>
      <c r="C338" s="22">
        <v>3407</v>
      </c>
      <c r="D338" s="22" t="s">
        <v>374</v>
      </c>
      <c r="E338" s="23" t="s">
        <v>15</v>
      </c>
      <c r="F338" s="24">
        <v>19940818</v>
      </c>
      <c r="G338" s="16">
        <f t="shared" si="33"/>
        <v>34564</v>
      </c>
      <c r="H338" s="2">
        <f t="shared" si="34"/>
        <v>26</v>
      </c>
      <c r="I338" s="17"/>
      <c r="J338" s="25">
        <v>20130321</v>
      </c>
      <c r="K338" s="16">
        <f t="shared" si="35"/>
        <v>41354</v>
      </c>
      <c r="L338" s="2">
        <f t="shared" si="36"/>
        <v>8</v>
      </c>
      <c r="M338" s="25"/>
      <c r="N338" s="26"/>
      <c r="O338" s="27" t="s">
        <v>35</v>
      </c>
      <c r="P338" s="70">
        <v>43211</v>
      </c>
      <c r="Q338" s="70" t="s">
        <v>364</v>
      </c>
      <c r="R338" s="22">
        <v>1</v>
      </c>
      <c r="S338" s="22" t="s">
        <v>636</v>
      </c>
      <c r="T338" s="22">
        <v>2</v>
      </c>
      <c r="AE338">
        <f t="shared" si="37"/>
        <v>43211</v>
      </c>
    </row>
    <row r="339" spans="1:31">
      <c r="A339">
        <v>108</v>
      </c>
      <c r="B339" s="21">
        <v>334</v>
      </c>
      <c r="C339" s="22">
        <v>3478</v>
      </c>
      <c r="D339" s="22" t="s">
        <v>375</v>
      </c>
      <c r="E339" s="23" t="s">
        <v>15</v>
      </c>
      <c r="F339" s="24">
        <v>19980502</v>
      </c>
      <c r="G339" s="16">
        <f t="shared" si="33"/>
        <v>35917</v>
      </c>
      <c r="H339" s="2">
        <f t="shared" si="34"/>
        <v>23</v>
      </c>
      <c r="I339" s="17"/>
      <c r="J339" s="25">
        <v>20170403</v>
      </c>
      <c r="K339" s="16">
        <f t="shared" si="35"/>
        <v>42828</v>
      </c>
      <c r="L339" s="2">
        <f t="shared" si="36"/>
        <v>4</v>
      </c>
      <c r="M339" s="25"/>
      <c r="N339" s="26"/>
      <c r="O339" s="27">
        <v>6</v>
      </c>
      <c r="P339" s="70">
        <v>43211</v>
      </c>
      <c r="Q339" s="70" t="s">
        <v>364</v>
      </c>
      <c r="R339" s="22">
        <v>1</v>
      </c>
      <c r="S339" s="22" t="s">
        <v>636</v>
      </c>
      <c r="T339" s="22">
        <v>2</v>
      </c>
      <c r="AE339">
        <f t="shared" si="37"/>
        <v>43211</v>
      </c>
    </row>
    <row r="340" spans="1:31">
      <c r="A340">
        <v>109</v>
      </c>
      <c r="B340" s="21">
        <v>412</v>
      </c>
      <c r="C340" s="22">
        <v>3949</v>
      </c>
      <c r="D340" s="22" t="s">
        <v>376</v>
      </c>
      <c r="E340" s="23" t="s">
        <v>15</v>
      </c>
      <c r="F340" s="24">
        <v>19650914</v>
      </c>
      <c r="G340" s="16">
        <f t="shared" si="33"/>
        <v>23999</v>
      </c>
      <c r="H340" s="2">
        <f t="shared" si="34"/>
        <v>55</v>
      </c>
      <c r="I340" s="17"/>
      <c r="J340" s="25">
        <v>20070621</v>
      </c>
      <c r="K340" s="16">
        <f t="shared" si="35"/>
        <v>39254</v>
      </c>
      <c r="L340" s="2">
        <f t="shared" si="36"/>
        <v>14</v>
      </c>
      <c r="M340" s="25"/>
      <c r="N340" s="26"/>
      <c r="O340" s="27" t="s">
        <v>35</v>
      </c>
      <c r="P340" s="70">
        <v>43311</v>
      </c>
      <c r="Q340" s="70" t="s">
        <v>377</v>
      </c>
      <c r="R340" s="22">
        <v>0</v>
      </c>
      <c r="S340" s="22"/>
      <c r="T340" s="22">
        <v>1</v>
      </c>
      <c r="AE340">
        <f t="shared" si="37"/>
        <v>43311</v>
      </c>
    </row>
    <row r="341" spans="1:31">
      <c r="A341">
        <v>110</v>
      </c>
      <c r="B341" s="21">
        <v>381</v>
      </c>
      <c r="C341" s="22">
        <v>3855</v>
      </c>
      <c r="D341" s="22" t="s">
        <v>378</v>
      </c>
      <c r="E341" s="23" t="s">
        <v>15</v>
      </c>
      <c r="F341" s="24">
        <v>19720117</v>
      </c>
      <c r="G341" s="16">
        <f t="shared" si="33"/>
        <v>26315</v>
      </c>
      <c r="H341" s="2">
        <f t="shared" si="34"/>
        <v>49</v>
      </c>
      <c r="I341" s="17"/>
      <c r="J341" s="25">
        <v>19950421</v>
      </c>
      <c r="K341" s="16">
        <f t="shared" si="35"/>
        <v>34810</v>
      </c>
      <c r="L341" s="2">
        <f t="shared" si="36"/>
        <v>26</v>
      </c>
      <c r="M341" s="25"/>
      <c r="N341" s="26"/>
      <c r="O341" s="27" t="s">
        <v>295</v>
      </c>
      <c r="P341" s="70">
        <v>43311</v>
      </c>
      <c r="Q341" s="70" t="s">
        <v>377</v>
      </c>
      <c r="R341" s="22">
        <v>0</v>
      </c>
      <c r="S341" s="22"/>
      <c r="T341" s="22">
        <v>2</v>
      </c>
      <c r="AE341">
        <f t="shared" si="37"/>
        <v>43311</v>
      </c>
    </row>
    <row r="342" spans="1:31">
      <c r="A342">
        <v>111</v>
      </c>
      <c r="B342" s="21">
        <v>400</v>
      </c>
      <c r="C342" s="22">
        <v>3909</v>
      </c>
      <c r="D342" s="22" t="s">
        <v>379</v>
      </c>
      <c r="E342" s="23" t="s">
        <v>15</v>
      </c>
      <c r="F342" s="24">
        <v>19620404</v>
      </c>
      <c r="G342" s="16">
        <f t="shared" si="33"/>
        <v>22740</v>
      </c>
      <c r="H342" s="2">
        <f t="shared" si="34"/>
        <v>59</v>
      </c>
      <c r="I342" s="17"/>
      <c r="J342" s="25">
        <v>20021107</v>
      </c>
      <c r="K342" s="16">
        <f t="shared" si="35"/>
        <v>37567</v>
      </c>
      <c r="L342" s="2">
        <f t="shared" si="36"/>
        <v>18</v>
      </c>
      <c r="M342" s="25"/>
      <c r="N342" s="26"/>
      <c r="O342" s="27" t="s">
        <v>35</v>
      </c>
      <c r="P342" s="70">
        <v>43311</v>
      </c>
      <c r="Q342" s="70" t="s">
        <v>377</v>
      </c>
      <c r="R342" s="22">
        <v>1</v>
      </c>
      <c r="S342" s="22" t="s">
        <v>636</v>
      </c>
      <c r="T342" s="22">
        <v>2</v>
      </c>
      <c r="AE342">
        <f t="shared" si="37"/>
        <v>43311</v>
      </c>
    </row>
    <row r="343" spans="1:31">
      <c r="A343">
        <v>112</v>
      </c>
      <c r="B343" s="21">
        <v>234</v>
      </c>
      <c r="C343" s="22">
        <v>3307</v>
      </c>
      <c r="D343" s="22" t="s">
        <v>380</v>
      </c>
      <c r="E343" s="23" t="s">
        <v>15</v>
      </c>
      <c r="F343" s="24">
        <v>19901023</v>
      </c>
      <c r="G343" s="16">
        <f t="shared" si="33"/>
        <v>33169</v>
      </c>
      <c r="H343" s="2">
        <f t="shared" si="34"/>
        <v>30</v>
      </c>
      <c r="I343" s="17"/>
      <c r="J343" s="25">
        <v>20090323</v>
      </c>
      <c r="K343" s="16">
        <f t="shared" si="35"/>
        <v>39895</v>
      </c>
      <c r="L343" s="2">
        <f t="shared" si="36"/>
        <v>12</v>
      </c>
      <c r="M343" s="25"/>
      <c r="N343" s="26"/>
      <c r="O343" s="27" t="s">
        <v>35</v>
      </c>
      <c r="P343" s="70">
        <v>44011</v>
      </c>
      <c r="Q343" s="70" t="s">
        <v>381</v>
      </c>
      <c r="R343" s="22">
        <v>1</v>
      </c>
      <c r="S343" s="22" t="s">
        <v>636</v>
      </c>
      <c r="T343" s="22">
        <v>1</v>
      </c>
      <c r="AE343">
        <f t="shared" si="37"/>
        <v>44011</v>
      </c>
    </row>
    <row r="344" spans="1:31">
      <c r="A344">
        <v>113</v>
      </c>
      <c r="B344" s="21">
        <v>167</v>
      </c>
      <c r="C344" s="22">
        <v>3142</v>
      </c>
      <c r="D344" s="22" t="s">
        <v>382</v>
      </c>
      <c r="E344" s="23" t="s">
        <v>15</v>
      </c>
      <c r="F344" s="24">
        <v>19780623</v>
      </c>
      <c r="G344" s="16">
        <f t="shared" si="33"/>
        <v>28664</v>
      </c>
      <c r="H344" s="2">
        <f t="shared" si="34"/>
        <v>43</v>
      </c>
      <c r="I344" s="17"/>
      <c r="J344" s="25">
        <v>19970321</v>
      </c>
      <c r="K344" s="16">
        <f t="shared" si="35"/>
        <v>35510</v>
      </c>
      <c r="L344" s="2">
        <f t="shared" si="36"/>
        <v>24</v>
      </c>
      <c r="M344" s="25"/>
      <c r="N344" s="26"/>
      <c r="O344" s="27" t="s">
        <v>35</v>
      </c>
      <c r="P344" s="70">
        <v>44111</v>
      </c>
      <c r="Q344" s="70" t="s">
        <v>383</v>
      </c>
      <c r="R344" s="22">
        <v>1</v>
      </c>
      <c r="S344" s="22" t="s">
        <v>636</v>
      </c>
      <c r="T344" s="22">
        <v>1</v>
      </c>
      <c r="AE344">
        <f t="shared" si="37"/>
        <v>44111</v>
      </c>
    </row>
    <row r="345" spans="1:31">
      <c r="A345">
        <v>114</v>
      </c>
      <c r="B345" s="21">
        <v>73</v>
      </c>
      <c r="C345" s="22">
        <v>2685</v>
      </c>
      <c r="D345" s="22" t="s">
        <v>384</v>
      </c>
      <c r="E345" s="23" t="s">
        <v>15</v>
      </c>
      <c r="F345" s="24">
        <v>19660304</v>
      </c>
      <c r="G345" s="16">
        <f t="shared" si="33"/>
        <v>24170</v>
      </c>
      <c r="H345" s="2">
        <f t="shared" si="34"/>
        <v>55</v>
      </c>
      <c r="I345" s="17"/>
      <c r="J345" s="25">
        <v>19840321</v>
      </c>
      <c r="K345" s="16">
        <f t="shared" si="35"/>
        <v>30762</v>
      </c>
      <c r="L345" s="2">
        <f t="shared" si="36"/>
        <v>37</v>
      </c>
      <c r="M345" s="25"/>
      <c r="N345" s="26"/>
      <c r="O345" s="27" t="s">
        <v>35</v>
      </c>
      <c r="P345" s="70">
        <v>44111</v>
      </c>
      <c r="Q345" s="70" t="s">
        <v>383</v>
      </c>
      <c r="R345" s="22">
        <v>1</v>
      </c>
      <c r="S345" s="22" t="s">
        <v>636</v>
      </c>
      <c r="T345" s="22">
        <v>2</v>
      </c>
      <c r="AE345">
        <f t="shared" si="37"/>
        <v>44111</v>
      </c>
    </row>
    <row r="346" spans="1:31">
      <c r="A346">
        <v>115</v>
      </c>
      <c r="B346" s="21">
        <v>90</v>
      </c>
      <c r="C346" s="22">
        <v>2770</v>
      </c>
      <c r="D346" s="22" t="s">
        <v>385</v>
      </c>
      <c r="E346" s="23" t="s">
        <v>15</v>
      </c>
      <c r="F346" s="24">
        <v>19671216</v>
      </c>
      <c r="G346" s="16">
        <f t="shared" si="33"/>
        <v>24822</v>
      </c>
      <c r="H346" s="2">
        <f t="shared" si="34"/>
        <v>53</v>
      </c>
      <c r="I346" s="17"/>
      <c r="J346" s="25">
        <v>19860326</v>
      </c>
      <c r="K346" s="16">
        <f t="shared" si="35"/>
        <v>31497</v>
      </c>
      <c r="L346" s="2">
        <f t="shared" si="36"/>
        <v>35</v>
      </c>
      <c r="M346" s="25"/>
      <c r="N346" s="26"/>
      <c r="O346" s="27" t="s">
        <v>35</v>
      </c>
      <c r="P346" s="70">
        <v>44111</v>
      </c>
      <c r="Q346" s="70" t="s">
        <v>383</v>
      </c>
      <c r="R346" s="22">
        <v>1</v>
      </c>
      <c r="S346" s="22" t="s">
        <v>636</v>
      </c>
      <c r="T346" s="22">
        <v>2</v>
      </c>
      <c r="AE346">
        <f t="shared" si="37"/>
        <v>44111</v>
      </c>
    </row>
    <row r="347" spans="1:31">
      <c r="A347">
        <v>116</v>
      </c>
      <c r="B347" s="21">
        <v>391</v>
      </c>
      <c r="C347" s="22">
        <v>3887</v>
      </c>
      <c r="D347" s="22" t="s">
        <v>386</v>
      </c>
      <c r="E347" s="23" t="s">
        <v>15</v>
      </c>
      <c r="F347" s="24">
        <v>19721013</v>
      </c>
      <c r="G347" s="16">
        <f t="shared" si="33"/>
        <v>26585</v>
      </c>
      <c r="H347" s="2">
        <f t="shared" si="34"/>
        <v>48</v>
      </c>
      <c r="I347" s="17"/>
      <c r="J347" s="25">
        <v>19890325</v>
      </c>
      <c r="K347" s="16">
        <f t="shared" si="35"/>
        <v>32592</v>
      </c>
      <c r="L347" s="2">
        <f t="shared" si="36"/>
        <v>32</v>
      </c>
      <c r="M347" s="25"/>
      <c r="N347" s="26"/>
      <c r="O347" s="27" t="s">
        <v>345</v>
      </c>
      <c r="P347" s="70">
        <v>44111</v>
      </c>
      <c r="Q347" s="70" t="s">
        <v>383</v>
      </c>
      <c r="R347" s="22">
        <v>1</v>
      </c>
      <c r="S347" s="22" t="s">
        <v>636</v>
      </c>
      <c r="T347" s="22">
        <v>2</v>
      </c>
      <c r="AE347">
        <f t="shared" si="37"/>
        <v>44111</v>
      </c>
    </row>
    <row r="348" spans="1:31">
      <c r="A348">
        <v>117</v>
      </c>
      <c r="B348" s="21">
        <v>337</v>
      </c>
      <c r="C348" s="22">
        <v>3482</v>
      </c>
      <c r="D348" s="22" t="s">
        <v>387</v>
      </c>
      <c r="E348" s="23" t="s">
        <v>15</v>
      </c>
      <c r="F348" s="24">
        <v>19981002</v>
      </c>
      <c r="G348" s="16">
        <f t="shared" si="33"/>
        <v>36070</v>
      </c>
      <c r="H348" s="2">
        <f t="shared" si="34"/>
        <v>22</v>
      </c>
      <c r="I348" s="17"/>
      <c r="J348" s="25">
        <v>20170403</v>
      </c>
      <c r="K348" s="16">
        <f t="shared" si="35"/>
        <v>42828</v>
      </c>
      <c r="L348" s="2">
        <f t="shared" si="36"/>
        <v>4</v>
      </c>
      <c r="M348" s="25"/>
      <c r="N348" s="26"/>
      <c r="O348" s="27">
        <v>6</v>
      </c>
      <c r="P348" s="70">
        <v>44111</v>
      </c>
      <c r="Q348" s="70" t="s">
        <v>383</v>
      </c>
      <c r="R348" s="22">
        <v>1</v>
      </c>
      <c r="S348" s="22" t="s">
        <v>636</v>
      </c>
      <c r="T348" s="22">
        <v>2</v>
      </c>
      <c r="AE348">
        <f t="shared" si="37"/>
        <v>44111</v>
      </c>
    </row>
    <row r="349" spans="1:31">
      <c r="A349">
        <v>118</v>
      </c>
      <c r="B349" s="21">
        <v>451</v>
      </c>
      <c r="C349" s="22">
        <v>5070</v>
      </c>
      <c r="D349" s="22" t="s">
        <v>388</v>
      </c>
      <c r="E349" s="23" t="s">
        <v>15</v>
      </c>
      <c r="F349" s="24">
        <v>19661026</v>
      </c>
      <c r="G349" s="16">
        <f t="shared" si="33"/>
        <v>24406</v>
      </c>
      <c r="H349" s="2">
        <f t="shared" si="34"/>
        <v>54</v>
      </c>
      <c r="I349" s="17"/>
      <c r="J349" s="25">
        <v>19830325</v>
      </c>
      <c r="K349" s="16">
        <f t="shared" si="35"/>
        <v>30400</v>
      </c>
      <c r="L349" s="2">
        <f t="shared" si="36"/>
        <v>38</v>
      </c>
      <c r="M349" s="25"/>
      <c r="N349" s="26"/>
      <c r="O349" s="27" t="s">
        <v>105</v>
      </c>
      <c r="P349" s="70">
        <v>44511</v>
      </c>
      <c r="Q349" s="70" t="s">
        <v>389</v>
      </c>
      <c r="R349" s="22">
        <v>0</v>
      </c>
      <c r="S349" s="22"/>
      <c r="T349" s="22">
        <v>1</v>
      </c>
      <c r="AE349">
        <f t="shared" si="37"/>
        <v>44511</v>
      </c>
    </row>
    <row r="350" spans="1:31">
      <c r="A350">
        <v>119</v>
      </c>
      <c r="B350" s="21">
        <v>155</v>
      </c>
      <c r="C350" s="22">
        <v>3097</v>
      </c>
      <c r="D350" s="22" t="s">
        <v>390</v>
      </c>
      <c r="E350" s="23" t="s">
        <v>15</v>
      </c>
      <c r="F350" s="24">
        <v>19750514</v>
      </c>
      <c r="G350" s="16">
        <f t="shared" si="33"/>
        <v>27528</v>
      </c>
      <c r="H350" s="2">
        <f t="shared" si="34"/>
        <v>46</v>
      </c>
      <c r="I350" s="17"/>
      <c r="J350" s="25">
        <v>19960325</v>
      </c>
      <c r="K350" s="16">
        <f t="shared" si="35"/>
        <v>35149</v>
      </c>
      <c r="L350" s="2">
        <f t="shared" si="36"/>
        <v>25</v>
      </c>
      <c r="M350" s="25"/>
      <c r="N350" s="26"/>
      <c r="O350" s="27" t="s">
        <v>19</v>
      </c>
      <c r="P350" s="70">
        <v>44511</v>
      </c>
      <c r="Q350" s="70" t="s">
        <v>389</v>
      </c>
      <c r="R350" s="22">
        <v>1</v>
      </c>
      <c r="S350" s="22" t="s">
        <v>636</v>
      </c>
      <c r="T350" s="22">
        <v>1</v>
      </c>
      <c r="AE350">
        <f t="shared" si="37"/>
        <v>44511</v>
      </c>
    </row>
    <row r="351" spans="1:31">
      <c r="A351">
        <v>120</v>
      </c>
      <c r="B351" s="21">
        <v>410</v>
      </c>
      <c r="C351" s="22">
        <v>3946</v>
      </c>
      <c r="D351" s="22" t="s">
        <v>391</v>
      </c>
      <c r="E351" s="23" t="s">
        <v>15</v>
      </c>
      <c r="F351" s="24">
        <v>19750308</v>
      </c>
      <c r="G351" s="16">
        <f t="shared" si="33"/>
        <v>27461</v>
      </c>
      <c r="H351" s="2">
        <f t="shared" si="34"/>
        <v>46</v>
      </c>
      <c r="I351" s="17"/>
      <c r="J351" s="25">
        <v>20070301</v>
      </c>
      <c r="K351" s="16">
        <f t="shared" si="35"/>
        <v>39142</v>
      </c>
      <c r="L351" s="2">
        <f t="shared" si="36"/>
        <v>14</v>
      </c>
      <c r="M351" s="25"/>
      <c r="N351" s="26"/>
      <c r="O351" s="27" t="s">
        <v>19</v>
      </c>
      <c r="P351" s="70">
        <v>44511</v>
      </c>
      <c r="Q351" s="70" t="s">
        <v>389</v>
      </c>
      <c r="R351" s="22">
        <v>1</v>
      </c>
      <c r="S351" s="22" t="s">
        <v>636</v>
      </c>
      <c r="T351" s="22">
        <v>1</v>
      </c>
      <c r="AE351">
        <f t="shared" si="37"/>
        <v>44511</v>
      </c>
    </row>
    <row r="352" spans="1:31">
      <c r="A352">
        <v>121</v>
      </c>
      <c r="B352" s="21">
        <v>251</v>
      </c>
      <c r="C352" s="22">
        <v>3343</v>
      </c>
      <c r="D352" s="22" t="s">
        <v>392</v>
      </c>
      <c r="E352" s="23" t="s">
        <v>15</v>
      </c>
      <c r="F352" s="24">
        <v>19920421</v>
      </c>
      <c r="G352" s="16">
        <f t="shared" si="33"/>
        <v>33715</v>
      </c>
      <c r="H352" s="2">
        <f t="shared" si="34"/>
        <v>29</v>
      </c>
      <c r="I352" s="17"/>
      <c r="J352" s="25">
        <v>20110321</v>
      </c>
      <c r="K352" s="16">
        <f t="shared" si="35"/>
        <v>40623</v>
      </c>
      <c r="L352" s="2">
        <f t="shared" si="36"/>
        <v>10</v>
      </c>
      <c r="M352" s="25"/>
      <c r="N352" s="26"/>
      <c r="O352" s="27" t="s">
        <v>35</v>
      </c>
      <c r="P352" s="70">
        <v>44511</v>
      </c>
      <c r="Q352" s="70" t="s">
        <v>389</v>
      </c>
      <c r="R352" s="22">
        <v>1</v>
      </c>
      <c r="S352" s="22" t="s">
        <v>636</v>
      </c>
      <c r="T352" s="22">
        <v>1</v>
      </c>
      <c r="AE352">
        <f t="shared" si="37"/>
        <v>44511</v>
      </c>
    </row>
    <row r="353" spans="1:31">
      <c r="A353">
        <v>122</v>
      </c>
      <c r="B353" s="21">
        <v>408</v>
      </c>
      <c r="C353" s="22">
        <v>3940</v>
      </c>
      <c r="D353" s="22" t="s">
        <v>393</v>
      </c>
      <c r="E353" s="23" t="s">
        <v>15</v>
      </c>
      <c r="F353" s="24">
        <v>19760101</v>
      </c>
      <c r="G353" s="16">
        <f t="shared" si="33"/>
        <v>27760</v>
      </c>
      <c r="H353" s="2">
        <f t="shared" si="34"/>
        <v>45</v>
      </c>
      <c r="I353" s="17"/>
      <c r="J353" s="25">
        <v>20060421</v>
      </c>
      <c r="K353" s="16">
        <f t="shared" si="35"/>
        <v>38828</v>
      </c>
      <c r="L353" s="2">
        <f t="shared" si="36"/>
        <v>15</v>
      </c>
      <c r="M353" s="25"/>
      <c r="N353" s="26"/>
      <c r="O353" s="27" t="s">
        <v>35</v>
      </c>
      <c r="P353" s="70">
        <v>44511</v>
      </c>
      <c r="Q353" s="70" t="s">
        <v>389</v>
      </c>
      <c r="R353" s="22">
        <v>1</v>
      </c>
      <c r="S353" s="22" t="s">
        <v>636</v>
      </c>
      <c r="T353" s="22">
        <v>2</v>
      </c>
      <c r="AE353">
        <f t="shared" si="37"/>
        <v>44511</v>
      </c>
    </row>
    <row r="354" spans="1:31">
      <c r="A354">
        <v>123</v>
      </c>
      <c r="B354" s="21">
        <v>323</v>
      </c>
      <c r="C354" s="22">
        <v>3460</v>
      </c>
      <c r="D354" s="22" t="s">
        <v>394</v>
      </c>
      <c r="E354" s="23" t="s">
        <v>15</v>
      </c>
      <c r="F354" s="24">
        <v>19980313</v>
      </c>
      <c r="G354" s="16">
        <f t="shared" si="33"/>
        <v>35867</v>
      </c>
      <c r="H354" s="2">
        <f t="shared" si="34"/>
        <v>23</v>
      </c>
      <c r="I354" s="17"/>
      <c r="J354" s="25">
        <v>20160401</v>
      </c>
      <c r="K354" s="16">
        <f t="shared" si="35"/>
        <v>42461</v>
      </c>
      <c r="L354" s="2">
        <f t="shared" si="36"/>
        <v>5</v>
      </c>
      <c r="M354" s="25"/>
      <c r="N354" s="26"/>
      <c r="O354" s="27" t="s">
        <v>35</v>
      </c>
      <c r="P354" s="70">
        <v>44511</v>
      </c>
      <c r="Q354" s="70" t="s">
        <v>389</v>
      </c>
      <c r="R354" s="22">
        <v>1</v>
      </c>
      <c r="S354" s="22" t="s">
        <v>636</v>
      </c>
      <c r="T354" s="22">
        <v>2</v>
      </c>
      <c r="AE354">
        <f t="shared" si="37"/>
        <v>44511</v>
      </c>
    </row>
    <row r="355" spans="1:31">
      <c r="A355">
        <v>124</v>
      </c>
      <c r="B355" s="21">
        <v>398</v>
      </c>
      <c r="C355" s="22">
        <v>3900</v>
      </c>
      <c r="D355" s="22" t="s">
        <v>395</v>
      </c>
      <c r="E355" s="23" t="s">
        <v>15</v>
      </c>
      <c r="F355" s="24">
        <v>19640207</v>
      </c>
      <c r="G355" s="16">
        <f t="shared" si="33"/>
        <v>23414</v>
      </c>
      <c r="H355" s="2">
        <f t="shared" si="34"/>
        <v>57</v>
      </c>
      <c r="I355" s="17"/>
      <c r="J355" s="25">
        <v>20011210</v>
      </c>
      <c r="K355" s="16">
        <f t="shared" si="35"/>
        <v>37235</v>
      </c>
      <c r="L355" s="2">
        <f t="shared" si="36"/>
        <v>19</v>
      </c>
      <c r="M355" s="25"/>
      <c r="N355" s="26"/>
      <c r="O355" s="27" t="s">
        <v>35</v>
      </c>
      <c r="P355" s="70">
        <v>45111</v>
      </c>
      <c r="Q355" s="70" t="s">
        <v>396</v>
      </c>
      <c r="R355" s="22">
        <v>0</v>
      </c>
      <c r="S355" s="22"/>
      <c r="T355" s="22">
        <v>1</v>
      </c>
      <c r="AE355">
        <f t="shared" si="37"/>
        <v>45111</v>
      </c>
    </row>
    <row r="356" spans="1:31">
      <c r="A356">
        <v>125</v>
      </c>
      <c r="B356" s="21">
        <v>397</v>
      </c>
      <c r="C356" s="22">
        <v>3899</v>
      </c>
      <c r="D356" s="22" t="s">
        <v>397</v>
      </c>
      <c r="E356" s="23" t="s">
        <v>15</v>
      </c>
      <c r="F356" s="24">
        <v>19660510</v>
      </c>
      <c r="G356" s="16">
        <f t="shared" si="33"/>
        <v>24237</v>
      </c>
      <c r="H356" s="2">
        <f t="shared" si="34"/>
        <v>55</v>
      </c>
      <c r="I356" s="17"/>
      <c r="J356" s="25">
        <v>19850401</v>
      </c>
      <c r="K356" s="16">
        <f t="shared" si="35"/>
        <v>31138</v>
      </c>
      <c r="L356" s="2">
        <f t="shared" si="36"/>
        <v>36</v>
      </c>
      <c r="M356" s="25"/>
      <c r="N356" s="26"/>
      <c r="O356" s="27" t="s">
        <v>35</v>
      </c>
      <c r="P356" s="70">
        <v>45111</v>
      </c>
      <c r="Q356" s="70" t="s">
        <v>396</v>
      </c>
      <c r="R356" s="22">
        <v>1</v>
      </c>
      <c r="S356" s="22" t="s">
        <v>636</v>
      </c>
      <c r="T356" s="22">
        <v>1</v>
      </c>
      <c r="AE356">
        <f t="shared" si="37"/>
        <v>45111</v>
      </c>
    </row>
    <row r="357" spans="1:31">
      <c r="A357">
        <v>126</v>
      </c>
      <c r="B357" s="21">
        <v>427</v>
      </c>
      <c r="C357" s="22">
        <v>3978</v>
      </c>
      <c r="D357" s="22" t="s">
        <v>398</v>
      </c>
      <c r="E357" s="23" t="s">
        <v>15</v>
      </c>
      <c r="F357" s="24">
        <v>19780520</v>
      </c>
      <c r="G357" s="16">
        <f t="shared" si="33"/>
        <v>28630</v>
      </c>
      <c r="H357" s="2">
        <f t="shared" si="34"/>
        <v>43</v>
      </c>
      <c r="I357" s="17"/>
      <c r="J357" s="25">
        <v>20070921</v>
      </c>
      <c r="K357" s="16">
        <f t="shared" si="35"/>
        <v>39346</v>
      </c>
      <c r="L357" s="2">
        <f t="shared" si="36"/>
        <v>13</v>
      </c>
      <c r="M357" s="25"/>
      <c r="N357" s="26"/>
      <c r="O357" s="27" t="s">
        <v>35</v>
      </c>
      <c r="P357" s="70">
        <v>45111</v>
      </c>
      <c r="Q357" s="70" t="s">
        <v>396</v>
      </c>
      <c r="R357" s="22">
        <v>1</v>
      </c>
      <c r="S357" s="22" t="s">
        <v>636</v>
      </c>
      <c r="T357" s="22">
        <v>1</v>
      </c>
      <c r="AE357">
        <f t="shared" si="37"/>
        <v>45111</v>
      </c>
    </row>
    <row r="358" spans="1:31">
      <c r="A358">
        <v>127</v>
      </c>
      <c r="B358" s="21">
        <v>428</v>
      </c>
      <c r="C358" s="22">
        <v>3979</v>
      </c>
      <c r="D358" s="22" t="s">
        <v>399</v>
      </c>
      <c r="E358" s="23" t="s">
        <v>15</v>
      </c>
      <c r="F358" s="24">
        <v>19800125</v>
      </c>
      <c r="G358" s="16">
        <f t="shared" si="33"/>
        <v>29245</v>
      </c>
      <c r="H358" s="2">
        <f t="shared" si="34"/>
        <v>41</v>
      </c>
      <c r="I358" s="17"/>
      <c r="J358" s="25">
        <v>20070921</v>
      </c>
      <c r="K358" s="16">
        <f t="shared" si="35"/>
        <v>39346</v>
      </c>
      <c r="L358" s="2">
        <f t="shared" si="36"/>
        <v>13</v>
      </c>
      <c r="M358" s="25"/>
      <c r="N358" s="26"/>
      <c r="O358" s="27" t="s">
        <v>295</v>
      </c>
      <c r="P358" s="70">
        <v>45111</v>
      </c>
      <c r="Q358" s="70" t="s">
        <v>396</v>
      </c>
      <c r="R358" s="22">
        <v>1</v>
      </c>
      <c r="S358" s="22" t="s">
        <v>636</v>
      </c>
      <c r="T358" s="22">
        <v>1</v>
      </c>
      <c r="AE358">
        <f t="shared" si="37"/>
        <v>45111</v>
      </c>
    </row>
    <row r="359" spans="1:31">
      <c r="A359">
        <v>128</v>
      </c>
      <c r="B359" s="21">
        <v>49</v>
      </c>
      <c r="C359" s="22">
        <v>1394</v>
      </c>
      <c r="D359" s="22" t="s">
        <v>400</v>
      </c>
      <c r="E359" s="23" t="s">
        <v>15</v>
      </c>
      <c r="F359" s="24">
        <v>19760731</v>
      </c>
      <c r="G359" s="16">
        <f t="shared" si="33"/>
        <v>27972</v>
      </c>
      <c r="H359" s="2">
        <f t="shared" si="34"/>
        <v>45</v>
      </c>
      <c r="I359" s="17"/>
      <c r="J359" s="25">
        <v>20150201</v>
      </c>
      <c r="K359" s="16">
        <f t="shared" si="35"/>
        <v>42036</v>
      </c>
      <c r="L359" s="2">
        <f t="shared" si="36"/>
        <v>6</v>
      </c>
      <c r="M359" s="25"/>
      <c r="N359" s="26"/>
      <c r="O359" s="27" t="s">
        <v>35</v>
      </c>
      <c r="P359" s="70">
        <v>45111</v>
      </c>
      <c r="Q359" s="70" t="s">
        <v>396</v>
      </c>
      <c r="R359" s="22">
        <v>1</v>
      </c>
      <c r="S359" s="22" t="s">
        <v>636</v>
      </c>
      <c r="T359" s="22">
        <v>1</v>
      </c>
      <c r="AE359">
        <f t="shared" si="37"/>
        <v>45111</v>
      </c>
    </row>
    <row r="360" spans="1:31">
      <c r="A360">
        <v>129</v>
      </c>
      <c r="B360" s="21">
        <v>429</v>
      </c>
      <c r="C360" s="22">
        <v>3980</v>
      </c>
      <c r="D360" s="22" t="s">
        <v>401</v>
      </c>
      <c r="E360" s="23" t="s">
        <v>15</v>
      </c>
      <c r="F360" s="24">
        <v>19710502</v>
      </c>
      <c r="G360" s="16">
        <f t="shared" ref="G360:G423" si="38">DATE(INT(F360/10000),INT(MOD(F360,10000)/100),MOD(F360,100))</f>
        <v>26055</v>
      </c>
      <c r="H360" s="2">
        <f t="shared" ref="H360:H423" si="39">DATEDIF(G360,$G$4,"Y")</f>
        <v>50</v>
      </c>
      <c r="I360" s="17"/>
      <c r="J360" s="25">
        <v>20070921</v>
      </c>
      <c r="K360" s="16">
        <f t="shared" ref="K360:K423" si="40">DATE(INT(J360/10000),INT(MOD(J360,10000)/100),MOD(J360,100))</f>
        <v>39346</v>
      </c>
      <c r="L360" s="2">
        <f t="shared" ref="L360:L423" si="41">DATEDIF(K360,$G$4,"Y")</f>
        <v>13</v>
      </c>
      <c r="M360" s="25"/>
      <c r="N360" s="26"/>
      <c r="O360" s="27" t="s">
        <v>19</v>
      </c>
      <c r="P360" s="70">
        <v>45111</v>
      </c>
      <c r="Q360" s="70" t="s">
        <v>396</v>
      </c>
      <c r="R360" s="22">
        <v>1</v>
      </c>
      <c r="S360" s="22" t="s">
        <v>636</v>
      </c>
      <c r="T360" s="22">
        <v>2</v>
      </c>
      <c r="AE360">
        <f t="shared" si="37"/>
        <v>45111</v>
      </c>
    </row>
    <row r="361" spans="1:31">
      <c r="A361">
        <v>130</v>
      </c>
      <c r="B361" s="21">
        <v>415</v>
      </c>
      <c r="C361" s="22">
        <v>3952</v>
      </c>
      <c r="D361" s="22" t="s">
        <v>402</v>
      </c>
      <c r="E361" s="23" t="s">
        <v>15</v>
      </c>
      <c r="F361" s="24">
        <v>19750521</v>
      </c>
      <c r="G361" s="16">
        <f t="shared" si="38"/>
        <v>27535</v>
      </c>
      <c r="H361" s="2">
        <f t="shared" si="39"/>
        <v>46</v>
      </c>
      <c r="I361" s="17"/>
      <c r="J361" s="25">
        <v>20070701</v>
      </c>
      <c r="K361" s="16">
        <f t="shared" si="40"/>
        <v>39264</v>
      </c>
      <c r="L361" s="2">
        <f t="shared" si="41"/>
        <v>14</v>
      </c>
      <c r="M361" s="25"/>
      <c r="N361" s="26"/>
      <c r="O361" s="27" t="s">
        <v>35</v>
      </c>
      <c r="P361" s="70">
        <v>45111</v>
      </c>
      <c r="Q361" s="70" t="s">
        <v>396</v>
      </c>
      <c r="R361" s="22">
        <v>1</v>
      </c>
      <c r="S361" s="22" t="s">
        <v>636</v>
      </c>
      <c r="T361" s="22">
        <v>2</v>
      </c>
      <c r="AE361">
        <f t="shared" si="37"/>
        <v>45111</v>
      </c>
    </row>
    <row r="362" spans="1:31">
      <c r="A362">
        <v>131</v>
      </c>
      <c r="B362" s="21">
        <v>28</v>
      </c>
      <c r="C362" s="22">
        <v>1359</v>
      </c>
      <c r="D362" s="22" t="s">
        <v>403</v>
      </c>
      <c r="E362" s="23" t="s">
        <v>15</v>
      </c>
      <c r="F362" s="24">
        <v>19720520</v>
      </c>
      <c r="G362" s="16">
        <f t="shared" si="38"/>
        <v>26439</v>
      </c>
      <c r="H362" s="2">
        <f t="shared" si="39"/>
        <v>49</v>
      </c>
      <c r="I362" s="17"/>
      <c r="J362" s="25">
        <v>20081021</v>
      </c>
      <c r="K362" s="16">
        <f t="shared" si="40"/>
        <v>39742</v>
      </c>
      <c r="L362" s="2">
        <f t="shared" si="41"/>
        <v>12</v>
      </c>
      <c r="M362" s="25"/>
      <c r="N362" s="26"/>
      <c r="O362" s="27" t="s">
        <v>35</v>
      </c>
      <c r="P362" s="70">
        <v>45111</v>
      </c>
      <c r="Q362" s="70" t="s">
        <v>396</v>
      </c>
      <c r="R362" s="22">
        <v>1</v>
      </c>
      <c r="S362" s="22" t="s">
        <v>636</v>
      </c>
      <c r="T362" s="22">
        <v>2</v>
      </c>
      <c r="AE362">
        <f t="shared" si="37"/>
        <v>45111</v>
      </c>
    </row>
    <row r="363" spans="1:31">
      <c r="A363">
        <v>132</v>
      </c>
      <c r="B363" s="21">
        <v>59</v>
      </c>
      <c r="C363" s="22">
        <v>1406</v>
      </c>
      <c r="D363" s="22" t="s">
        <v>404</v>
      </c>
      <c r="E363" s="23" t="s">
        <v>635</v>
      </c>
      <c r="F363" s="24">
        <v>19880709</v>
      </c>
      <c r="G363" s="16">
        <f t="shared" si="38"/>
        <v>32333</v>
      </c>
      <c r="H363" s="2">
        <f t="shared" si="39"/>
        <v>33</v>
      </c>
      <c r="I363" s="17"/>
      <c r="J363" s="25">
        <v>20150706</v>
      </c>
      <c r="K363" s="16">
        <f t="shared" si="40"/>
        <v>42191</v>
      </c>
      <c r="L363" s="2">
        <f t="shared" si="41"/>
        <v>6</v>
      </c>
      <c r="M363" s="25"/>
      <c r="N363" s="26"/>
      <c r="O363" s="27">
        <v>6</v>
      </c>
      <c r="P363" s="70">
        <v>45111</v>
      </c>
      <c r="Q363" s="70" t="s">
        <v>396</v>
      </c>
      <c r="R363" s="22">
        <v>1</v>
      </c>
      <c r="S363" s="22" t="s">
        <v>636</v>
      </c>
      <c r="T363" s="22">
        <v>2</v>
      </c>
      <c r="AE363">
        <f t="shared" si="37"/>
        <v>45111</v>
      </c>
    </row>
    <row r="364" spans="1:31">
      <c r="A364">
        <v>133</v>
      </c>
      <c r="B364" s="21">
        <v>253</v>
      </c>
      <c r="C364" s="22">
        <v>3348</v>
      </c>
      <c r="D364" s="22" t="s">
        <v>405</v>
      </c>
      <c r="E364" s="23" t="s">
        <v>15</v>
      </c>
      <c r="F364" s="24">
        <v>19921110</v>
      </c>
      <c r="G364" s="16">
        <f t="shared" si="38"/>
        <v>33918</v>
      </c>
      <c r="H364" s="2">
        <f t="shared" si="39"/>
        <v>28</v>
      </c>
      <c r="I364" s="17"/>
      <c r="J364" s="25">
        <v>20110321</v>
      </c>
      <c r="K364" s="16">
        <f t="shared" si="40"/>
        <v>40623</v>
      </c>
      <c r="L364" s="2">
        <f t="shared" si="41"/>
        <v>10</v>
      </c>
      <c r="M364" s="25"/>
      <c r="N364" s="26"/>
      <c r="O364" s="27" t="s">
        <v>35</v>
      </c>
      <c r="P364" s="70">
        <v>45111</v>
      </c>
      <c r="Q364" s="70" t="s">
        <v>396</v>
      </c>
      <c r="R364" s="22">
        <v>1</v>
      </c>
      <c r="S364" s="22" t="s">
        <v>636</v>
      </c>
      <c r="T364" s="22">
        <v>2</v>
      </c>
      <c r="AE364">
        <f t="shared" si="37"/>
        <v>45111</v>
      </c>
    </row>
    <row r="365" spans="1:31">
      <c r="A365">
        <v>134</v>
      </c>
      <c r="B365" s="21">
        <v>254</v>
      </c>
      <c r="C365" s="22">
        <v>3349</v>
      </c>
      <c r="D365" s="22" t="s">
        <v>406</v>
      </c>
      <c r="E365" s="23" t="s">
        <v>15</v>
      </c>
      <c r="F365" s="24">
        <v>19930105</v>
      </c>
      <c r="G365" s="16">
        <f t="shared" si="38"/>
        <v>33974</v>
      </c>
      <c r="H365" s="2">
        <f t="shared" si="39"/>
        <v>28</v>
      </c>
      <c r="I365" s="17"/>
      <c r="J365" s="25">
        <v>20110321</v>
      </c>
      <c r="K365" s="16">
        <f t="shared" si="40"/>
        <v>40623</v>
      </c>
      <c r="L365" s="2">
        <f t="shared" si="41"/>
        <v>10</v>
      </c>
      <c r="M365" s="25"/>
      <c r="N365" s="26"/>
      <c r="O365" s="27" t="s">
        <v>35</v>
      </c>
      <c r="P365" s="70">
        <v>45111</v>
      </c>
      <c r="Q365" s="70" t="s">
        <v>396</v>
      </c>
      <c r="R365" s="22">
        <v>1</v>
      </c>
      <c r="S365" s="22" t="s">
        <v>636</v>
      </c>
      <c r="T365" s="22">
        <v>2</v>
      </c>
      <c r="AE365">
        <f t="shared" si="37"/>
        <v>45111</v>
      </c>
    </row>
    <row r="366" spans="1:31">
      <c r="A366">
        <v>135</v>
      </c>
      <c r="B366" s="21">
        <v>310</v>
      </c>
      <c r="C366" s="22">
        <v>3445</v>
      </c>
      <c r="D366" s="22" t="s">
        <v>407</v>
      </c>
      <c r="E366" s="23" t="s">
        <v>15</v>
      </c>
      <c r="F366" s="24">
        <v>19960708</v>
      </c>
      <c r="G366" s="16">
        <f t="shared" si="38"/>
        <v>35254</v>
      </c>
      <c r="H366" s="2">
        <f t="shared" si="39"/>
        <v>25</v>
      </c>
      <c r="I366" s="17"/>
      <c r="J366" s="25">
        <v>20150401</v>
      </c>
      <c r="K366" s="16">
        <f t="shared" si="40"/>
        <v>42095</v>
      </c>
      <c r="L366" s="2">
        <f t="shared" si="41"/>
        <v>6</v>
      </c>
      <c r="M366" s="25"/>
      <c r="N366" s="26"/>
      <c r="O366" s="27" t="s">
        <v>35</v>
      </c>
      <c r="P366" s="70">
        <v>45111</v>
      </c>
      <c r="Q366" s="70" t="s">
        <v>396</v>
      </c>
      <c r="R366" s="22">
        <v>1</v>
      </c>
      <c r="S366" s="22" t="s">
        <v>636</v>
      </c>
      <c r="T366" s="22">
        <v>2</v>
      </c>
      <c r="AE366">
        <f t="shared" si="37"/>
        <v>45111</v>
      </c>
    </row>
    <row r="367" spans="1:31">
      <c r="A367">
        <v>136</v>
      </c>
      <c r="B367" s="21">
        <v>322</v>
      </c>
      <c r="C367" s="22">
        <v>3459</v>
      </c>
      <c r="D367" s="22" t="s">
        <v>408</v>
      </c>
      <c r="E367" s="23" t="s">
        <v>15</v>
      </c>
      <c r="F367" s="24">
        <v>19970406</v>
      </c>
      <c r="G367" s="16">
        <f t="shared" si="38"/>
        <v>35526</v>
      </c>
      <c r="H367" s="2">
        <f t="shared" si="39"/>
        <v>24</v>
      </c>
      <c r="I367" s="17"/>
      <c r="J367" s="25">
        <v>20160401</v>
      </c>
      <c r="K367" s="16">
        <f t="shared" si="40"/>
        <v>42461</v>
      </c>
      <c r="L367" s="2">
        <f t="shared" si="41"/>
        <v>5</v>
      </c>
      <c r="M367" s="25"/>
      <c r="N367" s="26"/>
      <c r="O367" s="27" t="s">
        <v>35</v>
      </c>
      <c r="P367" s="70">
        <v>45111</v>
      </c>
      <c r="Q367" s="70" t="s">
        <v>396</v>
      </c>
      <c r="R367" s="22">
        <v>1</v>
      </c>
      <c r="S367" s="22" t="s">
        <v>636</v>
      </c>
      <c r="T367" s="22">
        <v>2</v>
      </c>
      <c r="AE367">
        <f t="shared" si="37"/>
        <v>45111</v>
      </c>
    </row>
    <row r="368" spans="1:31">
      <c r="A368">
        <v>137</v>
      </c>
      <c r="B368" s="21">
        <v>338</v>
      </c>
      <c r="C368" s="22">
        <v>3483</v>
      </c>
      <c r="D368" s="22" t="s">
        <v>409</v>
      </c>
      <c r="E368" s="23" t="s">
        <v>15</v>
      </c>
      <c r="F368" s="24">
        <v>19981013</v>
      </c>
      <c r="G368" s="16">
        <f t="shared" si="38"/>
        <v>36081</v>
      </c>
      <c r="H368" s="2">
        <f t="shared" si="39"/>
        <v>22</v>
      </c>
      <c r="I368" s="17"/>
      <c r="J368" s="25">
        <v>20170403</v>
      </c>
      <c r="K368" s="16">
        <f t="shared" si="40"/>
        <v>42828</v>
      </c>
      <c r="L368" s="2">
        <f t="shared" si="41"/>
        <v>4</v>
      </c>
      <c r="M368" s="25"/>
      <c r="N368" s="26"/>
      <c r="O368" s="27">
        <v>6</v>
      </c>
      <c r="P368" s="70">
        <v>45111</v>
      </c>
      <c r="Q368" s="70" t="s">
        <v>396</v>
      </c>
      <c r="R368" s="22">
        <v>1</v>
      </c>
      <c r="S368" s="22" t="s">
        <v>636</v>
      </c>
      <c r="T368" s="22">
        <v>2</v>
      </c>
      <c r="AE368">
        <f t="shared" si="37"/>
        <v>45111</v>
      </c>
    </row>
    <row r="369" spans="1:31">
      <c r="A369">
        <v>138</v>
      </c>
      <c r="B369" s="21">
        <v>440</v>
      </c>
      <c r="C369" s="22">
        <v>4950</v>
      </c>
      <c r="D369" s="22" t="s">
        <v>410</v>
      </c>
      <c r="E369" s="23" t="s">
        <v>15</v>
      </c>
      <c r="F369" s="24">
        <v>19610904</v>
      </c>
      <c r="G369" s="16">
        <f t="shared" si="38"/>
        <v>22528</v>
      </c>
      <c r="H369" s="2">
        <f t="shared" si="39"/>
        <v>59</v>
      </c>
      <c r="I369" s="17"/>
      <c r="J369" s="25">
        <v>19770323</v>
      </c>
      <c r="K369" s="16">
        <f t="shared" si="40"/>
        <v>28207</v>
      </c>
      <c r="L369" s="2">
        <f t="shared" si="41"/>
        <v>44</v>
      </c>
      <c r="M369" s="25"/>
      <c r="N369" s="26"/>
      <c r="O369" s="27" t="s">
        <v>77</v>
      </c>
      <c r="P369" s="70">
        <v>66011</v>
      </c>
      <c r="Q369" s="70" t="s">
        <v>449</v>
      </c>
      <c r="R369" s="22">
        <v>0</v>
      </c>
      <c r="S369" s="31"/>
      <c r="T369" s="22">
        <v>1</v>
      </c>
      <c r="AE369">
        <f t="shared" si="37"/>
        <v>66011</v>
      </c>
    </row>
    <row r="370" spans="1:31">
      <c r="A370">
        <v>139</v>
      </c>
      <c r="B370" s="21">
        <v>386</v>
      </c>
      <c r="C370" s="22">
        <v>3873</v>
      </c>
      <c r="D370" s="22" t="s">
        <v>412</v>
      </c>
      <c r="E370" s="23" t="s">
        <v>15</v>
      </c>
      <c r="F370" s="24">
        <v>19750520</v>
      </c>
      <c r="G370" s="16">
        <f t="shared" si="38"/>
        <v>27534</v>
      </c>
      <c r="H370" s="2">
        <f t="shared" si="39"/>
        <v>46</v>
      </c>
      <c r="I370" s="17"/>
      <c r="J370" s="25">
        <v>19970729</v>
      </c>
      <c r="K370" s="16">
        <f t="shared" si="40"/>
        <v>35640</v>
      </c>
      <c r="L370" s="2">
        <f t="shared" si="41"/>
        <v>24</v>
      </c>
      <c r="M370" s="25"/>
      <c r="N370" s="26"/>
      <c r="O370" s="27" t="s">
        <v>77</v>
      </c>
      <c r="P370" s="70">
        <v>60411</v>
      </c>
      <c r="Q370" s="70" t="s">
        <v>411</v>
      </c>
      <c r="R370" s="22">
        <v>0</v>
      </c>
      <c r="S370" s="31"/>
      <c r="T370" s="22">
        <v>1</v>
      </c>
      <c r="AE370">
        <f t="shared" si="37"/>
        <v>60411</v>
      </c>
    </row>
    <row r="371" spans="1:31">
      <c r="A371">
        <v>140</v>
      </c>
      <c r="B371" s="21">
        <v>93</v>
      </c>
      <c r="C371" s="22">
        <v>2777</v>
      </c>
      <c r="D371" s="22" t="s">
        <v>413</v>
      </c>
      <c r="E371" s="23" t="s">
        <v>15</v>
      </c>
      <c r="F371" s="24">
        <v>19670803</v>
      </c>
      <c r="G371" s="16">
        <f t="shared" si="38"/>
        <v>24687</v>
      </c>
      <c r="H371" s="2">
        <f t="shared" si="39"/>
        <v>53</v>
      </c>
      <c r="I371" s="17"/>
      <c r="J371" s="25">
        <v>19860326</v>
      </c>
      <c r="K371" s="16">
        <f t="shared" si="40"/>
        <v>31497</v>
      </c>
      <c r="L371" s="2">
        <f t="shared" si="41"/>
        <v>35</v>
      </c>
      <c r="M371" s="25"/>
      <c r="N371" s="26"/>
      <c r="O371" s="27" t="s">
        <v>35</v>
      </c>
      <c r="P371" s="70">
        <v>60411</v>
      </c>
      <c r="Q371" s="70" t="s">
        <v>411</v>
      </c>
      <c r="R371" s="22">
        <v>0</v>
      </c>
      <c r="S371" s="31"/>
      <c r="T371" s="22">
        <v>2</v>
      </c>
      <c r="AE371">
        <f t="shared" si="37"/>
        <v>60411</v>
      </c>
    </row>
    <row r="372" spans="1:31">
      <c r="A372">
        <v>141</v>
      </c>
      <c r="B372" s="21">
        <v>26</v>
      </c>
      <c r="C372" s="22">
        <v>1356</v>
      </c>
      <c r="D372" s="22" t="s">
        <v>414</v>
      </c>
      <c r="E372" s="23" t="s">
        <v>15</v>
      </c>
      <c r="F372" s="24">
        <v>19760605</v>
      </c>
      <c r="G372" s="16">
        <f t="shared" si="38"/>
        <v>27916</v>
      </c>
      <c r="H372" s="2">
        <f t="shared" si="39"/>
        <v>45</v>
      </c>
      <c r="I372" s="17"/>
      <c r="J372" s="25">
        <v>20080901</v>
      </c>
      <c r="K372" s="16">
        <f t="shared" si="40"/>
        <v>39692</v>
      </c>
      <c r="L372" s="2">
        <f t="shared" si="41"/>
        <v>12</v>
      </c>
      <c r="M372" s="25"/>
      <c r="N372" s="26"/>
      <c r="O372" s="27" t="s">
        <v>295</v>
      </c>
      <c r="P372" s="70">
        <v>60411</v>
      </c>
      <c r="Q372" s="70" t="s">
        <v>411</v>
      </c>
      <c r="R372" s="22">
        <v>0</v>
      </c>
      <c r="S372" s="31"/>
      <c r="T372" s="22">
        <v>2</v>
      </c>
      <c r="AE372">
        <f t="shared" si="37"/>
        <v>60411</v>
      </c>
    </row>
    <row r="373" spans="1:31">
      <c r="A373">
        <v>142</v>
      </c>
      <c r="B373" s="21">
        <v>170</v>
      </c>
      <c r="C373" s="22">
        <v>3152</v>
      </c>
      <c r="D373" s="22" t="s">
        <v>415</v>
      </c>
      <c r="E373" s="23" t="s">
        <v>15</v>
      </c>
      <c r="F373" s="24">
        <v>19780123</v>
      </c>
      <c r="G373" s="16">
        <f t="shared" si="38"/>
        <v>28513</v>
      </c>
      <c r="H373" s="2">
        <f t="shared" si="39"/>
        <v>43</v>
      </c>
      <c r="I373" s="17"/>
      <c r="J373" s="25">
        <v>19980323</v>
      </c>
      <c r="K373" s="16">
        <f t="shared" si="40"/>
        <v>35877</v>
      </c>
      <c r="L373" s="2">
        <f t="shared" si="41"/>
        <v>23</v>
      </c>
      <c r="M373" s="25"/>
      <c r="N373" s="26"/>
      <c r="O373" s="27" t="s">
        <v>19</v>
      </c>
      <c r="P373" s="70">
        <v>64011</v>
      </c>
      <c r="Q373" s="70" t="s">
        <v>416</v>
      </c>
      <c r="R373" s="22">
        <v>1</v>
      </c>
      <c r="S373" s="22" t="s">
        <v>636</v>
      </c>
      <c r="T373" s="22">
        <v>1</v>
      </c>
      <c r="AE373">
        <f t="shared" si="37"/>
        <v>64011</v>
      </c>
    </row>
    <row r="374" spans="1:31">
      <c r="A374">
        <v>143</v>
      </c>
      <c r="B374" s="21">
        <v>35</v>
      </c>
      <c r="C374" s="22">
        <v>1371</v>
      </c>
      <c r="D374" s="22" t="s">
        <v>417</v>
      </c>
      <c r="E374" s="23" t="s">
        <v>15</v>
      </c>
      <c r="F374" s="24">
        <v>19811004</v>
      </c>
      <c r="G374" s="16">
        <f t="shared" si="38"/>
        <v>29863</v>
      </c>
      <c r="H374" s="2">
        <f t="shared" si="39"/>
        <v>39</v>
      </c>
      <c r="I374" s="17"/>
      <c r="J374" s="25">
        <v>20110221</v>
      </c>
      <c r="K374" s="16">
        <f t="shared" si="40"/>
        <v>40595</v>
      </c>
      <c r="L374" s="2">
        <f t="shared" si="41"/>
        <v>10</v>
      </c>
      <c r="M374" s="25"/>
      <c r="N374" s="26"/>
      <c r="O374" s="27" t="s">
        <v>19</v>
      </c>
      <c r="P374" s="70">
        <v>64011</v>
      </c>
      <c r="Q374" s="70" t="s">
        <v>416</v>
      </c>
      <c r="R374" s="22">
        <v>1</v>
      </c>
      <c r="S374" s="22" t="s">
        <v>636</v>
      </c>
      <c r="T374" s="22">
        <v>1</v>
      </c>
      <c r="AE374">
        <f t="shared" si="37"/>
        <v>64011</v>
      </c>
    </row>
    <row r="375" spans="1:31">
      <c r="A375">
        <v>144</v>
      </c>
      <c r="B375" s="21">
        <v>147</v>
      </c>
      <c r="C375" s="22">
        <v>3053</v>
      </c>
      <c r="D375" s="22" t="s">
        <v>418</v>
      </c>
      <c r="E375" s="23" t="s">
        <v>15</v>
      </c>
      <c r="F375" s="24">
        <v>19760717</v>
      </c>
      <c r="G375" s="16">
        <f t="shared" si="38"/>
        <v>27958</v>
      </c>
      <c r="H375" s="2">
        <f t="shared" si="39"/>
        <v>45</v>
      </c>
      <c r="I375" s="17"/>
      <c r="J375" s="25">
        <v>19950322</v>
      </c>
      <c r="K375" s="16">
        <f t="shared" si="40"/>
        <v>34780</v>
      </c>
      <c r="L375" s="2">
        <f t="shared" si="41"/>
        <v>26</v>
      </c>
      <c r="M375" s="25"/>
      <c r="N375" s="26"/>
      <c r="O375" s="27" t="s">
        <v>35</v>
      </c>
      <c r="P375" s="70">
        <v>64011</v>
      </c>
      <c r="Q375" s="70" t="s">
        <v>416</v>
      </c>
      <c r="R375" s="22">
        <v>1</v>
      </c>
      <c r="S375" s="22" t="s">
        <v>636</v>
      </c>
      <c r="T375" s="22">
        <v>2</v>
      </c>
      <c r="AE375">
        <f t="shared" si="37"/>
        <v>64011</v>
      </c>
    </row>
    <row r="376" spans="1:31">
      <c r="A376">
        <v>145</v>
      </c>
      <c r="B376" s="21">
        <v>417</v>
      </c>
      <c r="C376" s="22">
        <v>3957</v>
      </c>
      <c r="D376" s="22" t="s">
        <v>419</v>
      </c>
      <c r="E376" s="23" t="s">
        <v>15</v>
      </c>
      <c r="F376" s="24">
        <v>19661203</v>
      </c>
      <c r="G376" s="16">
        <f t="shared" si="38"/>
        <v>24444</v>
      </c>
      <c r="H376" s="2">
        <f t="shared" si="39"/>
        <v>54</v>
      </c>
      <c r="I376" s="17"/>
      <c r="J376" s="25">
        <v>20070613</v>
      </c>
      <c r="K376" s="16">
        <f t="shared" si="40"/>
        <v>39246</v>
      </c>
      <c r="L376" s="2">
        <f t="shared" si="41"/>
        <v>14</v>
      </c>
      <c r="M376" s="25"/>
      <c r="N376" s="26"/>
      <c r="O376" s="27" t="s">
        <v>35</v>
      </c>
      <c r="P376" s="70">
        <v>64011</v>
      </c>
      <c r="Q376" s="70" t="s">
        <v>416</v>
      </c>
      <c r="R376" s="22">
        <v>1</v>
      </c>
      <c r="S376" s="22" t="s">
        <v>636</v>
      </c>
      <c r="T376" s="22">
        <v>2</v>
      </c>
      <c r="AE376">
        <f t="shared" si="37"/>
        <v>64011</v>
      </c>
    </row>
    <row r="377" spans="1:31">
      <c r="A377">
        <v>146</v>
      </c>
      <c r="B377" s="21">
        <v>361</v>
      </c>
      <c r="C377" s="22">
        <v>3514</v>
      </c>
      <c r="D377" s="22" t="s">
        <v>420</v>
      </c>
      <c r="E377" s="23" t="s">
        <v>15</v>
      </c>
      <c r="F377" s="24">
        <v>20000829</v>
      </c>
      <c r="G377" s="16">
        <f t="shared" si="38"/>
        <v>36767</v>
      </c>
      <c r="H377" s="2">
        <f t="shared" si="39"/>
        <v>20</v>
      </c>
      <c r="I377" s="17"/>
      <c r="J377" s="25">
        <v>20190401</v>
      </c>
      <c r="K377" s="16">
        <f t="shared" si="40"/>
        <v>43556</v>
      </c>
      <c r="L377" s="2">
        <f t="shared" si="41"/>
        <v>2</v>
      </c>
      <c r="M377" s="25"/>
      <c r="N377" s="26"/>
      <c r="O377" s="27">
        <v>6</v>
      </c>
      <c r="P377" s="70">
        <v>64011</v>
      </c>
      <c r="Q377" s="70" t="s">
        <v>416</v>
      </c>
      <c r="R377" s="22">
        <v>1</v>
      </c>
      <c r="S377" s="22" t="s">
        <v>636</v>
      </c>
      <c r="T377" s="22">
        <v>2</v>
      </c>
      <c r="AE377">
        <f t="shared" si="37"/>
        <v>64011</v>
      </c>
    </row>
    <row r="378" spans="1:31">
      <c r="A378">
        <v>147</v>
      </c>
      <c r="B378" s="21">
        <v>75</v>
      </c>
      <c r="C378" s="22">
        <v>2687</v>
      </c>
      <c r="D378" s="22" t="s">
        <v>421</v>
      </c>
      <c r="E378" s="23" t="s">
        <v>15</v>
      </c>
      <c r="F378" s="24">
        <v>19650828</v>
      </c>
      <c r="G378" s="16">
        <f t="shared" si="38"/>
        <v>23982</v>
      </c>
      <c r="H378" s="2">
        <f t="shared" si="39"/>
        <v>55</v>
      </c>
      <c r="I378" s="17"/>
      <c r="J378" s="25">
        <v>19840326</v>
      </c>
      <c r="K378" s="16">
        <f t="shared" si="40"/>
        <v>30767</v>
      </c>
      <c r="L378" s="2">
        <f t="shared" si="41"/>
        <v>37</v>
      </c>
      <c r="M378" s="25"/>
      <c r="N378" s="26"/>
      <c r="O378" s="27" t="s">
        <v>35</v>
      </c>
      <c r="P378" s="70">
        <v>64111</v>
      </c>
      <c r="Q378" s="70" t="s">
        <v>422</v>
      </c>
      <c r="R378" s="22">
        <v>1</v>
      </c>
      <c r="S378" s="22" t="s">
        <v>636</v>
      </c>
      <c r="T378" s="22">
        <v>1</v>
      </c>
      <c r="AE378">
        <f t="shared" si="37"/>
        <v>64111</v>
      </c>
    </row>
    <row r="379" spans="1:31">
      <c r="A379">
        <v>148</v>
      </c>
      <c r="B379" s="21">
        <v>181</v>
      </c>
      <c r="C379" s="22">
        <v>3183</v>
      </c>
      <c r="D379" s="22" t="s">
        <v>423</v>
      </c>
      <c r="E379" s="23" t="s">
        <v>15</v>
      </c>
      <c r="F379" s="24">
        <v>19830510</v>
      </c>
      <c r="G379" s="16">
        <f t="shared" si="38"/>
        <v>30446</v>
      </c>
      <c r="H379" s="2">
        <f t="shared" si="39"/>
        <v>38</v>
      </c>
      <c r="I379" s="17"/>
      <c r="J379" s="25">
        <v>20020322</v>
      </c>
      <c r="K379" s="16">
        <f t="shared" si="40"/>
        <v>37337</v>
      </c>
      <c r="L379" s="2">
        <f t="shared" si="41"/>
        <v>19</v>
      </c>
      <c r="M379" s="25"/>
      <c r="N379" s="26"/>
      <c r="O379" s="27" t="s">
        <v>35</v>
      </c>
      <c r="P379" s="70">
        <v>69011</v>
      </c>
      <c r="Q379" s="70" t="s">
        <v>489</v>
      </c>
      <c r="R379" s="22">
        <v>1</v>
      </c>
      <c r="S379" s="22" t="s">
        <v>636</v>
      </c>
      <c r="T379" s="22">
        <v>1</v>
      </c>
      <c r="AE379">
        <f t="shared" si="37"/>
        <v>69011</v>
      </c>
    </row>
    <row r="380" spans="1:31">
      <c r="A380">
        <v>149</v>
      </c>
      <c r="B380" s="21">
        <v>285</v>
      </c>
      <c r="C380" s="22">
        <v>3403</v>
      </c>
      <c r="D380" s="22" t="s">
        <v>424</v>
      </c>
      <c r="E380" s="23" t="s">
        <v>15</v>
      </c>
      <c r="F380" s="24">
        <v>19940601</v>
      </c>
      <c r="G380" s="16">
        <f t="shared" si="38"/>
        <v>34486</v>
      </c>
      <c r="H380" s="2">
        <f t="shared" si="39"/>
        <v>27</v>
      </c>
      <c r="I380" s="17"/>
      <c r="J380" s="25">
        <v>20130321</v>
      </c>
      <c r="K380" s="16">
        <f t="shared" si="40"/>
        <v>41354</v>
      </c>
      <c r="L380" s="2">
        <f t="shared" si="41"/>
        <v>8</v>
      </c>
      <c r="M380" s="25"/>
      <c r="N380" s="26"/>
      <c r="O380" s="27" t="s">
        <v>35</v>
      </c>
      <c r="P380" s="70">
        <v>64111</v>
      </c>
      <c r="Q380" s="70" t="s">
        <v>422</v>
      </c>
      <c r="R380" s="22">
        <v>1</v>
      </c>
      <c r="S380" s="22" t="s">
        <v>636</v>
      </c>
      <c r="T380" s="22">
        <v>1</v>
      </c>
      <c r="AE380">
        <f t="shared" si="37"/>
        <v>64111</v>
      </c>
    </row>
    <row r="381" spans="1:31">
      <c r="A381">
        <v>150</v>
      </c>
      <c r="B381" s="21">
        <v>461</v>
      </c>
      <c r="C381" s="22">
        <v>5162</v>
      </c>
      <c r="D381" s="22" t="s">
        <v>425</v>
      </c>
      <c r="E381" s="23" t="s">
        <v>15</v>
      </c>
      <c r="F381" s="24">
        <v>19720119</v>
      </c>
      <c r="G381" s="16">
        <f t="shared" si="38"/>
        <v>26317</v>
      </c>
      <c r="H381" s="2">
        <f t="shared" si="39"/>
        <v>49</v>
      </c>
      <c r="I381" s="17"/>
      <c r="J381" s="25">
        <v>19880325</v>
      </c>
      <c r="K381" s="16">
        <f t="shared" si="40"/>
        <v>32227</v>
      </c>
      <c r="L381" s="2">
        <f t="shared" si="41"/>
        <v>33</v>
      </c>
      <c r="M381" s="25"/>
      <c r="N381" s="26"/>
      <c r="O381" s="27" t="s">
        <v>105</v>
      </c>
      <c r="P381" s="70">
        <v>64111</v>
      </c>
      <c r="Q381" s="70" t="s">
        <v>422</v>
      </c>
      <c r="R381" s="22">
        <v>1</v>
      </c>
      <c r="S381" s="22" t="s">
        <v>636</v>
      </c>
      <c r="T381" s="22">
        <v>2</v>
      </c>
      <c r="AE381">
        <f t="shared" si="37"/>
        <v>64111</v>
      </c>
    </row>
    <row r="382" spans="1:31">
      <c r="A382">
        <v>151</v>
      </c>
      <c r="B382" s="21">
        <v>407</v>
      </c>
      <c r="C382" s="22">
        <v>3939</v>
      </c>
      <c r="D382" s="22" t="s">
        <v>426</v>
      </c>
      <c r="E382" s="23" t="s">
        <v>15</v>
      </c>
      <c r="F382" s="24">
        <v>19650505</v>
      </c>
      <c r="G382" s="16">
        <f t="shared" si="38"/>
        <v>23867</v>
      </c>
      <c r="H382" s="2">
        <f t="shared" si="39"/>
        <v>56</v>
      </c>
      <c r="I382" s="17"/>
      <c r="J382" s="25">
        <v>20060301</v>
      </c>
      <c r="K382" s="16">
        <f>DATE(INT(J382/10000),INT(MOD(J382,10000)/100),MOD(J382,100))</f>
        <v>38777</v>
      </c>
      <c r="L382" s="2">
        <f t="shared" si="41"/>
        <v>15</v>
      </c>
      <c r="M382" s="25"/>
      <c r="N382" s="26"/>
      <c r="O382" s="27" t="s">
        <v>16</v>
      </c>
      <c r="P382" s="70">
        <v>68111</v>
      </c>
      <c r="Q382" s="70" t="s">
        <v>485</v>
      </c>
      <c r="R382" s="22">
        <v>1</v>
      </c>
      <c r="S382" s="22" t="s">
        <v>636</v>
      </c>
      <c r="T382" s="22">
        <v>2</v>
      </c>
      <c r="AE382">
        <f t="shared" si="37"/>
        <v>68111</v>
      </c>
    </row>
    <row r="383" spans="1:31">
      <c r="A383">
        <v>152</v>
      </c>
      <c r="B383" s="21">
        <v>423</v>
      </c>
      <c r="C383" s="22">
        <v>3967</v>
      </c>
      <c r="D383" s="22" t="s">
        <v>427</v>
      </c>
      <c r="E383" s="23" t="s">
        <v>15</v>
      </c>
      <c r="F383" s="24">
        <v>19661122</v>
      </c>
      <c r="G383" s="16">
        <f t="shared" si="38"/>
        <v>24433</v>
      </c>
      <c r="H383" s="2">
        <f t="shared" si="39"/>
        <v>54</v>
      </c>
      <c r="I383" s="17"/>
      <c r="J383" s="25">
        <v>20070910</v>
      </c>
      <c r="K383" s="16">
        <f t="shared" si="40"/>
        <v>39335</v>
      </c>
      <c r="L383" s="2">
        <f t="shared" si="41"/>
        <v>13</v>
      </c>
      <c r="M383" s="25"/>
      <c r="N383" s="26"/>
      <c r="O383" s="27" t="s">
        <v>35</v>
      </c>
      <c r="P383" s="70">
        <v>64111</v>
      </c>
      <c r="Q383" s="70" t="s">
        <v>422</v>
      </c>
      <c r="R383" s="22">
        <v>1</v>
      </c>
      <c r="S383" s="22" t="s">
        <v>636</v>
      </c>
      <c r="T383" s="22">
        <v>2</v>
      </c>
      <c r="AE383">
        <f t="shared" si="37"/>
        <v>64111</v>
      </c>
    </row>
    <row r="384" spans="1:31">
      <c r="A384">
        <v>153</v>
      </c>
      <c r="B384" s="21">
        <v>298</v>
      </c>
      <c r="C384" s="22">
        <v>3426</v>
      </c>
      <c r="D384" s="22" t="s">
        <v>428</v>
      </c>
      <c r="E384" s="23" t="s">
        <v>15</v>
      </c>
      <c r="F384" s="24">
        <v>19960316</v>
      </c>
      <c r="G384" s="16">
        <f t="shared" si="38"/>
        <v>35140</v>
      </c>
      <c r="H384" s="2">
        <f t="shared" si="39"/>
        <v>25</v>
      </c>
      <c r="I384" s="17"/>
      <c r="J384" s="25">
        <v>20140321</v>
      </c>
      <c r="K384" s="16">
        <f t="shared" si="40"/>
        <v>41719</v>
      </c>
      <c r="L384" s="2">
        <f t="shared" si="41"/>
        <v>7</v>
      </c>
      <c r="M384" s="25"/>
      <c r="N384" s="26"/>
      <c r="O384" s="27" t="s">
        <v>35</v>
      </c>
      <c r="P384" s="70">
        <v>64211</v>
      </c>
      <c r="Q384" s="70" t="s">
        <v>429</v>
      </c>
      <c r="R384" s="22">
        <v>1</v>
      </c>
      <c r="S384" s="22" t="s">
        <v>636</v>
      </c>
      <c r="T384" s="22">
        <v>1</v>
      </c>
      <c r="AE384">
        <f t="shared" si="37"/>
        <v>64211</v>
      </c>
    </row>
    <row r="385" spans="1:31">
      <c r="A385">
        <v>154</v>
      </c>
      <c r="B385" s="21">
        <v>33</v>
      </c>
      <c r="C385" s="22">
        <v>1369</v>
      </c>
      <c r="D385" s="22" t="s">
        <v>430</v>
      </c>
      <c r="E385" s="23" t="s">
        <v>15</v>
      </c>
      <c r="F385" s="24">
        <v>19800728</v>
      </c>
      <c r="G385" s="16">
        <f t="shared" si="38"/>
        <v>29430</v>
      </c>
      <c r="H385" s="2">
        <f t="shared" si="39"/>
        <v>41</v>
      </c>
      <c r="I385" s="17"/>
      <c r="J385" s="25">
        <v>20110121</v>
      </c>
      <c r="K385" s="16">
        <f t="shared" si="40"/>
        <v>40564</v>
      </c>
      <c r="L385" s="2">
        <f t="shared" si="41"/>
        <v>10</v>
      </c>
      <c r="M385" s="25"/>
      <c r="N385" s="26"/>
      <c r="O385" s="27" t="s">
        <v>35</v>
      </c>
      <c r="P385" s="70">
        <v>64311</v>
      </c>
      <c r="Q385" s="70" t="s">
        <v>431</v>
      </c>
      <c r="R385" s="22">
        <v>1</v>
      </c>
      <c r="S385" s="22" t="s">
        <v>636</v>
      </c>
      <c r="T385" s="22">
        <v>2</v>
      </c>
      <c r="AE385">
        <f t="shared" si="37"/>
        <v>64311</v>
      </c>
    </row>
    <row r="386" spans="1:31">
      <c r="A386">
        <v>155</v>
      </c>
      <c r="B386" s="21">
        <v>91</v>
      </c>
      <c r="C386" s="22">
        <v>2772</v>
      </c>
      <c r="D386" s="22" t="s">
        <v>432</v>
      </c>
      <c r="E386" s="23" t="s">
        <v>15</v>
      </c>
      <c r="F386" s="24">
        <v>19680106</v>
      </c>
      <c r="G386" s="16">
        <f t="shared" si="38"/>
        <v>24843</v>
      </c>
      <c r="H386" s="2">
        <f t="shared" si="39"/>
        <v>53</v>
      </c>
      <c r="I386" s="17"/>
      <c r="J386" s="25">
        <v>19860326</v>
      </c>
      <c r="K386" s="16">
        <f t="shared" si="40"/>
        <v>31497</v>
      </c>
      <c r="L386" s="2">
        <f t="shared" si="41"/>
        <v>35</v>
      </c>
      <c r="M386" s="25"/>
      <c r="N386" s="26"/>
      <c r="O386" s="27" t="s">
        <v>35</v>
      </c>
      <c r="P386" s="70">
        <v>61300</v>
      </c>
      <c r="Q386" s="70" t="s">
        <v>162</v>
      </c>
      <c r="R386" s="22">
        <v>0</v>
      </c>
      <c r="S386" s="22"/>
      <c r="T386" s="22">
        <v>1</v>
      </c>
      <c r="AE386">
        <f t="shared" si="37"/>
        <v>61300</v>
      </c>
    </row>
    <row r="387" spans="1:31">
      <c r="A387">
        <v>156</v>
      </c>
      <c r="B387" s="21">
        <v>157</v>
      </c>
      <c r="C387" s="22">
        <v>3101</v>
      </c>
      <c r="D387" s="22" t="s">
        <v>434</v>
      </c>
      <c r="E387" s="23" t="s">
        <v>15</v>
      </c>
      <c r="F387" s="24">
        <v>19760223</v>
      </c>
      <c r="G387" s="16">
        <f t="shared" si="38"/>
        <v>27813</v>
      </c>
      <c r="H387" s="2">
        <f t="shared" si="39"/>
        <v>45</v>
      </c>
      <c r="I387" s="17"/>
      <c r="J387" s="25">
        <v>19960321</v>
      </c>
      <c r="K387" s="16">
        <f t="shared" si="40"/>
        <v>35145</v>
      </c>
      <c r="L387" s="2">
        <f t="shared" si="41"/>
        <v>25</v>
      </c>
      <c r="M387" s="25"/>
      <c r="N387" s="26"/>
      <c r="O387" s="27" t="s">
        <v>19</v>
      </c>
      <c r="P387" s="70">
        <v>65011</v>
      </c>
      <c r="Q387" s="70" t="s">
        <v>433</v>
      </c>
      <c r="R387" s="22">
        <v>1</v>
      </c>
      <c r="S387" s="22" t="s">
        <v>636</v>
      </c>
      <c r="T387" s="22">
        <v>1</v>
      </c>
      <c r="AE387">
        <f t="shared" si="37"/>
        <v>65011</v>
      </c>
    </row>
    <row r="388" spans="1:31">
      <c r="A388">
        <v>157</v>
      </c>
      <c r="B388" s="21">
        <v>466</v>
      </c>
      <c r="C388" s="22">
        <v>5249</v>
      </c>
      <c r="D388" s="22" t="s">
        <v>435</v>
      </c>
      <c r="E388" s="23" t="s">
        <v>15</v>
      </c>
      <c r="F388" s="24">
        <v>19760604</v>
      </c>
      <c r="G388" s="16">
        <f t="shared" si="38"/>
        <v>27915</v>
      </c>
      <c r="H388" s="2">
        <f t="shared" si="39"/>
        <v>45</v>
      </c>
      <c r="I388" s="17"/>
      <c r="J388" s="25">
        <v>19940330</v>
      </c>
      <c r="K388" s="16">
        <f t="shared" si="40"/>
        <v>34423</v>
      </c>
      <c r="L388" s="2">
        <f t="shared" si="41"/>
        <v>27</v>
      </c>
      <c r="M388" s="25"/>
      <c r="N388" s="26"/>
      <c r="O388" s="27" t="s">
        <v>345</v>
      </c>
      <c r="P388" s="70">
        <v>65011</v>
      </c>
      <c r="Q388" s="70" t="s">
        <v>433</v>
      </c>
      <c r="R388" s="22">
        <v>1</v>
      </c>
      <c r="S388" s="22" t="s">
        <v>636</v>
      </c>
      <c r="T388" s="22">
        <v>1</v>
      </c>
      <c r="AE388">
        <f t="shared" si="37"/>
        <v>65011</v>
      </c>
    </row>
    <row r="389" spans="1:31">
      <c r="A389">
        <v>158</v>
      </c>
      <c r="B389" s="21">
        <v>390</v>
      </c>
      <c r="C389" s="22">
        <v>3878</v>
      </c>
      <c r="D389" s="22" t="s">
        <v>436</v>
      </c>
      <c r="E389" s="23" t="s">
        <v>15</v>
      </c>
      <c r="F389" s="24">
        <v>19730215</v>
      </c>
      <c r="G389" s="16">
        <f t="shared" si="38"/>
        <v>26710</v>
      </c>
      <c r="H389" s="2">
        <f t="shared" si="39"/>
        <v>48</v>
      </c>
      <c r="I389" s="17"/>
      <c r="J389" s="25">
        <v>20000824</v>
      </c>
      <c r="K389" s="16">
        <f t="shared" si="40"/>
        <v>36762</v>
      </c>
      <c r="L389" s="2">
        <f t="shared" si="41"/>
        <v>20</v>
      </c>
      <c r="M389" s="25"/>
      <c r="N389" s="26"/>
      <c r="O389" s="27" t="s">
        <v>35</v>
      </c>
      <c r="P389" s="70">
        <v>65011</v>
      </c>
      <c r="Q389" s="70" t="s">
        <v>433</v>
      </c>
      <c r="R389" s="22">
        <v>1</v>
      </c>
      <c r="S389" s="22" t="s">
        <v>636</v>
      </c>
      <c r="T389" s="22">
        <v>1</v>
      </c>
      <c r="AE389">
        <f t="shared" si="37"/>
        <v>65011</v>
      </c>
    </row>
    <row r="390" spans="1:31">
      <c r="A390">
        <v>159</v>
      </c>
      <c r="B390" s="21">
        <v>45</v>
      </c>
      <c r="C390" s="22">
        <v>1389</v>
      </c>
      <c r="D390" s="22" t="s">
        <v>437</v>
      </c>
      <c r="E390" s="23" t="s">
        <v>15</v>
      </c>
      <c r="F390" s="24">
        <v>19940123</v>
      </c>
      <c r="G390" s="16">
        <f t="shared" si="38"/>
        <v>34357</v>
      </c>
      <c r="H390" s="2">
        <f t="shared" si="39"/>
        <v>27</v>
      </c>
      <c r="I390" s="17"/>
      <c r="J390" s="25">
        <v>20141001</v>
      </c>
      <c r="K390" s="16">
        <f t="shared" si="40"/>
        <v>41913</v>
      </c>
      <c r="L390" s="2">
        <f t="shared" si="41"/>
        <v>6</v>
      </c>
      <c r="M390" s="25"/>
      <c r="N390" s="26"/>
      <c r="O390" s="27" t="s">
        <v>35</v>
      </c>
      <c r="P390" s="70">
        <v>65011</v>
      </c>
      <c r="Q390" s="70" t="s">
        <v>433</v>
      </c>
      <c r="R390" s="22">
        <v>1</v>
      </c>
      <c r="S390" s="22" t="s">
        <v>636</v>
      </c>
      <c r="T390" s="22">
        <v>1</v>
      </c>
      <c r="AE390">
        <f t="shared" ref="AE390:AE453" si="42">ROUNDDOWN(P390*1,0)</f>
        <v>65011</v>
      </c>
    </row>
    <row r="391" spans="1:31">
      <c r="A391">
        <v>160</v>
      </c>
      <c r="B391" s="21">
        <v>47</v>
      </c>
      <c r="C391" s="22">
        <v>1392</v>
      </c>
      <c r="D391" s="22" t="s">
        <v>438</v>
      </c>
      <c r="E391" s="23" t="s">
        <v>15</v>
      </c>
      <c r="F391" s="24">
        <v>19950922</v>
      </c>
      <c r="G391" s="16">
        <f t="shared" si="38"/>
        <v>34964</v>
      </c>
      <c r="H391" s="2">
        <f t="shared" si="39"/>
        <v>25</v>
      </c>
      <c r="I391" s="17"/>
      <c r="J391" s="25">
        <v>20141201</v>
      </c>
      <c r="K391" s="16">
        <f t="shared" si="40"/>
        <v>41974</v>
      </c>
      <c r="L391" s="2">
        <f t="shared" si="41"/>
        <v>6</v>
      </c>
      <c r="M391" s="25"/>
      <c r="N391" s="26"/>
      <c r="O391" s="27" t="s">
        <v>35</v>
      </c>
      <c r="P391" s="70">
        <v>65011</v>
      </c>
      <c r="Q391" s="70" t="s">
        <v>433</v>
      </c>
      <c r="R391" s="22">
        <v>1</v>
      </c>
      <c r="S391" s="22" t="s">
        <v>636</v>
      </c>
      <c r="T391" s="22">
        <v>1</v>
      </c>
      <c r="AE391">
        <f t="shared" si="42"/>
        <v>65011</v>
      </c>
    </row>
    <row r="392" spans="1:31">
      <c r="A392">
        <v>161</v>
      </c>
      <c r="B392" s="21">
        <v>78</v>
      </c>
      <c r="C392" s="22">
        <v>2699</v>
      </c>
      <c r="D392" s="22" t="s">
        <v>439</v>
      </c>
      <c r="E392" s="23" t="s">
        <v>15</v>
      </c>
      <c r="F392" s="24">
        <v>19660204</v>
      </c>
      <c r="G392" s="16">
        <f t="shared" si="38"/>
        <v>24142</v>
      </c>
      <c r="H392" s="2">
        <f t="shared" si="39"/>
        <v>55</v>
      </c>
      <c r="I392" s="17"/>
      <c r="J392" s="25">
        <v>19840329</v>
      </c>
      <c r="K392" s="16">
        <f t="shared" si="40"/>
        <v>30770</v>
      </c>
      <c r="L392" s="2">
        <f t="shared" si="41"/>
        <v>37</v>
      </c>
      <c r="M392" s="25"/>
      <c r="N392" s="26"/>
      <c r="O392" s="27" t="s">
        <v>35</v>
      </c>
      <c r="P392" s="70">
        <v>65011</v>
      </c>
      <c r="Q392" s="70" t="s">
        <v>433</v>
      </c>
      <c r="R392" s="22">
        <v>1</v>
      </c>
      <c r="S392" s="22" t="s">
        <v>636</v>
      </c>
      <c r="T392" s="22">
        <v>2</v>
      </c>
      <c r="AE392">
        <f t="shared" si="42"/>
        <v>65011</v>
      </c>
    </row>
    <row r="393" spans="1:31">
      <c r="A393">
        <v>162</v>
      </c>
      <c r="B393" s="21">
        <v>143</v>
      </c>
      <c r="C393" s="22">
        <v>3041</v>
      </c>
      <c r="D393" s="22" t="s">
        <v>440</v>
      </c>
      <c r="E393" s="23" t="s">
        <v>15</v>
      </c>
      <c r="F393" s="24">
        <v>19741123</v>
      </c>
      <c r="G393" s="16">
        <f t="shared" si="38"/>
        <v>27356</v>
      </c>
      <c r="H393" s="2">
        <f t="shared" si="39"/>
        <v>46</v>
      </c>
      <c r="I393" s="17"/>
      <c r="J393" s="25">
        <v>19950322</v>
      </c>
      <c r="K393" s="16">
        <f t="shared" si="40"/>
        <v>34780</v>
      </c>
      <c r="L393" s="2">
        <f t="shared" si="41"/>
        <v>26</v>
      </c>
      <c r="M393" s="25"/>
      <c r="N393" s="26"/>
      <c r="O393" s="27" t="s">
        <v>19</v>
      </c>
      <c r="P393" s="70">
        <v>65011</v>
      </c>
      <c r="Q393" s="70" t="s">
        <v>433</v>
      </c>
      <c r="R393" s="22">
        <v>1</v>
      </c>
      <c r="S393" s="22" t="s">
        <v>636</v>
      </c>
      <c r="T393" s="22">
        <v>2</v>
      </c>
      <c r="AE393">
        <f t="shared" si="42"/>
        <v>65011</v>
      </c>
    </row>
    <row r="394" spans="1:31">
      <c r="A394">
        <v>163</v>
      </c>
      <c r="B394" s="21">
        <v>149</v>
      </c>
      <c r="C394" s="22">
        <v>3056</v>
      </c>
      <c r="D394" s="22" t="s">
        <v>441</v>
      </c>
      <c r="E394" s="23" t="s">
        <v>15</v>
      </c>
      <c r="F394" s="24">
        <v>19761114</v>
      </c>
      <c r="G394" s="16">
        <f t="shared" si="38"/>
        <v>28078</v>
      </c>
      <c r="H394" s="2">
        <f t="shared" si="39"/>
        <v>44</v>
      </c>
      <c r="I394" s="17"/>
      <c r="J394" s="25">
        <v>19950322</v>
      </c>
      <c r="K394" s="16">
        <f t="shared" si="40"/>
        <v>34780</v>
      </c>
      <c r="L394" s="2">
        <f t="shared" si="41"/>
        <v>26</v>
      </c>
      <c r="M394" s="25"/>
      <c r="N394" s="26"/>
      <c r="O394" s="27" t="s">
        <v>35</v>
      </c>
      <c r="P394" s="70">
        <v>65011</v>
      </c>
      <c r="Q394" s="70" t="s">
        <v>433</v>
      </c>
      <c r="R394" s="22">
        <v>1</v>
      </c>
      <c r="S394" s="22" t="s">
        <v>636</v>
      </c>
      <c r="T394" s="22">
        <v>2</v>
      </c>
      <c r="AE394">
        <f t="shared" si="42"/>
        <v>65011</v>
      </c>
    </row>
    <row r="395" spans="1:31">
      <c r="A395">
        <v>164</v>
      </c>
      <c r="B395" s="21">
        <v>166</v>
      </c>
      <c r="C395" s="22">
        <v>3140</v>
      </c>
      <c r="D395" s="22" t="s">
        <v>442</v>
      </c>
      <c r="E395" s="23" t="s">
        <v>15</v>
      </c>
      <c r="F395" s="24">
        <v>19770317</v>
      </c>
      <c r="G395" s="16">
        <f t="shared" si="38"/>
        <v>28201</v>
      </c>
      <c r="H395" s="2">
        <f t="shared" si="39"/>
        <v>44</v>
      </c>
      <c r="I395" s="17"/>
      <c r="J395" s="25">
        <v>19970321</v>
      </c>
      <c r="K395" s="16">
        <f t="shared" si="40"/>
        <v>35510</v>
      </c>
      <c r="L395" s="2">
        <f t="shared" si="41"/>
        <v>24</v>
      </c>
      <c r="M395" s="25"/>
      <c r="N395" s="26"/>
      <c r="O395" s="27" t="s">
        <v>19</v>
      </c>
      <c r="P395" s="70">
        <v>65011</v>
      </c>
      <c r="Q395" s="70" t="s">
        <v>433</v>
      </c>
      <c r="R395" s="22">
        <v>1</v>
      </c>
      <c r="S395" s="22" t="s">
        <v>636</v>
      </c>
      <c r="T395" s="22">
        <v>2</v>
      </c>
      <c r="AE395">
        <f t="shared" si="42"/>
        <v>65011</v>
      </c>
    </row>
    <row r="396" spans="1:31">
      <c r="A396">
        <v>165</v>
      </c>
      <c r="B396" s="21">
        <v>420</v>
      </c>
      <c r="C396" s="22">
        <v>3963</v>
      </c>
      <c r="D396" s="22" t="s">
        <v>443</v>
      </c>
      <c r="E396" s="23" t="s">
        <v>15</v>
      </c>
      <c r="F396" s="24">
        <v>19690805</v>
      </c>
      <c r="G396" s="16">
        <f t="shared" si="38"/>
        <v>25420</v>
      </c>
      <c r="H396" s="2">
        <f t="shared" si="39"/>
        <v>51</v>
      </c>
      <c r="I396" s="17"/>
      <c r="J396" s="25">
        <v>20070702</v>
      </c>
      <c r="K396" s="16">
        <f t="shared" si="40"/>
        <v>39265</v>
      </c>
      <c r="L396" s="2">
        <f t="shared" si="41"/>
        <v>14</v>
      </c>
      <c r="M396" s="25"/>
      <c r="N396" s="26"/>
      <c r="O396" s="27" t="s">
        <v>35</v>
      </c>
      <c r="P396" s="70">
        <v>65011</v>
      </c>
      <c r="Q396" s="70" t="s">
        <v>433</v>
      </c>
      <c r="R396" s="22">
        <v>1</v>
      </c>
      <c r="S396" s="22" t="s">
        <v>636</v>
      </c>
      <c r="T396" s="22">
        <v>2</v>
      </c>
      <c r="AE396">
        <f t="shared" si="42"/>
        <v>65011</v>
      </c>
    </row>
    <row r="397" spans="1:31">
      <c r="A397">
        <v>166</v>
      </c>
      <c r="B397" s="21">
        <v>432</v>
      </c>
      <c r="C397" s="22">
        <v>3987</v>
      </c>
      <c r="D397" s="22" t="s">
        <v>444</v>
      </c>
      <c r="E397" s="23" t="s">
        <v>15</v>
      </c>
      <c r="F397" s="24">
        <v>19691229</v>
      </c>
      <c r="G397" s="16">
        <f t="shared" si="38"/>
        <v>25566</v>
      </c>
      <c r="H397" s="2">
        <f t="shared" si="39"/>
        <v>51</v>
      </c>
      <c r="I397" s="17"/>
      <c r="J397" s="25">
        <v>20071021</v>
      </c>
      <c r="K397" s="16">
        <f t="shared" si="40"/>
        <v>39376</v>
      </c>
      <c r="L397" s="2">
        <f t="shared" si="41"/>
        <v>13</v>
      </c>
      <c r="M397" s="25"/>
      <c r="N397" s="26"/>
      <c r="O397" s="27" t="s">
        <v>35</v>
      </c>
      <c r="P397" s="70">
        <v>65011</v>
      </c>
      <c r="Q397" s="70" t="s">
        <v>433</v>
      </c>
      <c r="R397" s="22">
        <v>1</v>
      </c>
      <c r="S397" s="22" t="s">
        <v>636</v>
      </c>
      <c r="T397" s="22">
        <v>2</v>
      </c>
      <c r="AE397">
        <f t="shared" si="42"/>
        <v>65011</v>
      </c>
    </row>
    <row r="398" spans="1:31">
      <c r="A398">
        <v>167</v>
      </c>
      <c r="B398" s="21">
        <v>340</v>
      </c>
      <c r="C398" s="22">
        <v>3486</v>
      </c>
      <c r="D398" s="22" t="s">
        <v>445</v>
      </c>
      <c r="E398" s="23" t="s">
        <v>15</v>
      </c>
      <c r="F398" s="24">
        <v>19981126</v>
      </c>
      <c r="G398" s="16">
        <f t="shared" si="38"/>
        <v>36125</v>
      </c>
      <c r="H398" s="2">
        <f t="shared" si="39"/>
        <v>22</v>
      </c>
      <c r="I398" s="17"/>
      <c r="J398" s="25">
        <v>20170403</v>
      </c>
      <c r="K398" s="16">
        <f t="shared" si="40"/>
        <v>42828</v>
      </c>
      <c r="L398" s="2">
        <f t="shared" si="41"/>
        <v>4</v>
      </c>
      <c r="M398" s="25"/>
      <c r="N398" s="26"/>
      <c r="O398" s="27">
        <v>6</v>
      </c>
      <c r="P398" s="70">
        <v>65011</v>
      </c>
      <c r="Q398" s="70" t="s">
        <v>433</v>
      </c>
      <c r="R398" s="22">
        <v>1</v>
      </c>
      <c r="S398" s="22" t="s">
        <v>636</v>
      </c>
      <c r="T398" s="22">
        <v>2</v>
      </c>
      <c r="AE398">
        <f t="shared" si="42"/>
        <v>65011</v>
      </c>
    </row>
    <row r="399" spans="1:31">
      <c r="A399">
        <v>168</v>
      </c>
      <c r="B399" s="21">
        <v>58</v>
      </c>
      <c r="C399" s="22">
        <v>1404</v>
      </c>
      <c r="D399" s="22" t="s">
        <v>446</v>
      </c>
      <c r="E399" s="23" t="s">
        <v>15</v>
      </c>
      <c r="F399" s="24">
        <v>19950517</v>
      </c>
      <c r="G399" s="16">
        <f t="shared" si="38"/>
        <v>34836</v>
      </c>
      <c r="H399" s="2">
        <f t="shared" si="39"/>
        <v>26</v>
      </c>
      <c r="I399" s="17"/>
      <c r="J399" s="25">
        <v>20190801</v>
      </c>
      <c r="K399" s="16">
        <f t="shared" si="40"/>
        <v>43678</v>
      </c>
      <c r="L399" s="2">
        <f t="shared" si="41"/>
        <v>2</v>
      </c>
      <c r="M399" s="25"/>
      <c r="N399" s="26"/>
      <c r="O399" s="27">
        <v>6</v>
      </c>
      <c r="P399" s="70">
        <v>65011</v>
      </c>
      <c r="Q399" s="70" t="s">
        <v>433</v>
      </c>
      <c r="R399" s="22">
        <v>1</v>
      </c>
      <c r="S399" s="22" t="s">
        <v>636</v>
      </c>
      <c r="T399" s="22">
        <v>2</v>
      </c>
      <c r="AE399">
        <f t="shared" si="42"/>
        <v>65011</v>
      </c>
    </row>
    <row r="400" spans="1:31">
      <c r="A400">
        <v>169</v>
      </c>
      <c r="B400" s="21">
        <v>364</v>
      </c>
      <c r="C400" s="22">
        <v>3517</v>
      </c>
      <c r="D400" s="22" t="s">
        <v>447</v>
      </c>
      <c r="E400" s="23" t="s">
        <v>635</v>
      </c>
      <c r="F400" s="24">
        <v>19930505</v>
      </c>
      <c r="G400" s="16">
        <f t="shared" si="38"/>
        <v>34094</v>
      </c>
      <c r="H400" s="2">
        <f t="shared" si="39"/>
        <v>28</v>
      </c>
      <c r="I400" s="17"/>
      <c r="J400" s="25">
        <v>20200401</v>
      </c>
      <c r="K400" s="16">
        <f t="shared" si="40"/>
        <v>43922</v>
      </c>
      <c r="L400" s="2">
        <f t="shared" si="41"/>
        <v>1</v>
      </c>
      <c r="M400" s="25"/>
      <c r="N400" s="26"/>
      <c r="O400" s="27">
        <v>8</v>
      </c>
      <c r="P400" s="70">
        <v>65011</v>
      </c>
      <c r="Q400" s="70" t="s">
        <v>433</v>
      </c>
      <c r="R400" s="22">
        <v>1</v>
      </c>
      <c r="S400" s="22" t="s">
        <v>636</v>
      </c>
      <c r="T400" s="22">
        <v>2</v>
      </c>
      <c r="AE400">
        <f t="shared" si="42"/>
        <v>65011</v>
      </c>
    </row>
    <row r="401" spans="1:31">
      <c r="A401">
        <v>170</v>
      </c>
      <c r="B401" s="21">
        <v>156</v>
      </c>
      <c r="C401" s="22">
        <v>3099</v>
      </c>
      <c r="D401" s="22" t="s">
        <v>448</v>
      </c>
      <c r="E401" s="23" t="s">
        <v>15</v>
      </c>
      <c r="F401" s="24">
        <v>19760108</v>
      </c>
      <c r="G401" s="16">
        <f t="shared" si="38"/>
        <v>27767</v>
      </c>
      <c r="H401" s="2">
        <f t="shared" si="39"/>
        <v>45</v>
      </c>
      <c r="I401" s="17"/>
      <c r="J401" s="25">
        <v>19960321</v>
      </c>
      <c r="K401" s="16">
        <f t="shared" si="40"/>
        <v>35145</v>
      </c>
      <c r="L401" s="2">
        <f t="shared" si="41"/>
        <v>25</v>
      </c>
      <c r="M401" s="25"/>
      <c r="N401" s="26"/>
      <c r="O401" s="27" t="s">
        <v>19</v>
      </c>
      <c r="P401" s="70">
        <v>66011</v>
      </c>
      <c r="Q401" s="70" t="s">
        <v>449</v>
      </c>
      <c r="R401" s="22">
        <v>1</v>
      </c>
      <c r="S401" s="22" t="s">
        <v>636</v>
      </c>
      <c r="T401" s="22">
        <v>1</v>
      </c>
      <c r="AE401">
        <f t="shared" si="42"/>
        <v>66011</v>
      </c>
    </row>
    <row r="402" spans="1:31">
      <c r="A402">
        <v>171</v>
      </c>
      <c r="B402" s="21">
        <v>250</v>
      </c>
      <c r="C402" s="22">
        <v>3340</v>
      </c>
      <c r="D402" s="22" t="s">
        <v>450</v>
      </c>
      <c r="E402" s="23" t="s">
        <v>15</v>
      </c>
      <c r="F402" s="24">
        <v>19920426</v>
      </c>
      <c r="G402" s="16">
        <f t="shared" si="38"/>
        <v>33720</v>
      </c>
      <c r="H402" s="2">
        <f t="shared" si="39"/>
        <v>29</v>
      </c>
      <c r="I402" s="17"/>
      <c r="J402" s="25">
        <v>20110321</v>
      </c>
      <c r="K402" s="16">
        <f t="shared" si="40"/>
        <v>40623</v>
      </c>
      <c r="L402" s="2">
        <f t="shared" si="41"/>
        <v>10</v>
      </c>
      <c r="M402" s="25"/>
      <c r="N402" s="26"/>
      <c r="O402" s="27" t="s">
        <v>35</v>
      </c>
      <c r="P402" s="70">
        <v>66011</v>
      </c>
      <c r="Q402" s="70" t="s">
        <v>449</v>
      </c>
      <c r="R402" s="22">
        <v>1</v>
      </c>
      <c r="S402" s="22" t="s">
        <v>636</v>
      </c>
      <c r="T402" s="22">
        <v>1</v>
      </c>
      <c r="AE402">
        <f t="shared" si="42"/>
        <v>66011</v>
      </c>
    </row>
    <row r="403" spans="1:31">
      <c r="A403">
        <v>172</v>
      </c>
      <c r="B403" s="21">
        <v>38</v>
      </c>
      <c r="C403" s="22">
        <v>1378</v>
      </c>
      <c r="D403" s="22" t="s">
        <v>451</v>
      </c>
      <c r="E403" s="23" t="s">
        <v>15</v>
      </c>
      <c r="F403" s="24">
        <v>19920611</v>
      </c>
      <c r="G403" s="16">
        <f t="shared" si="38"/>
        <v>33766</v>
      </c>
      <c r="H403" s="2">
        <f t="shared" si="39"/>
        <v>29</v>
      </c>
      <c r="I403" s="17"/>
      <c r="J403" s="25">
        <v>20120321</v>
      </c>
      <c r="K403" s="16">
        <f t="shared" si="40"/>
        <v>40989</v>
      </c>
      <c r="L403" s="2">
        <f t="shared" si="41"/>
        <v>9</v>
      </c>
      <c r="M403" s="25"/>
      <c r="N403" s="26"/>
      <c r="O403" s="27" t="s">
        <v>35</v>
      </c>
      <c r="P403" s="70">
        <v>66011</v>
      </c>
      <c r="Q403" s="70" t="s">
        <v>449</v>
      </c>
      <c r="R403" s="22">
        <v>1</v>
      </c>
      <c r="S403" s="22" t="s">
        <v>636</v>
      </c>
      <c r="T403" s="22">
        <v>1</v>
      </c>
      <c r="AE403">
        <f t="shared" si="42"/>
        <v>66011</v>
      </c>
    </row>
    <row r="404" spans="1:31">
      <c r="A404">
        <v>173</v>
      </c>
      <c r="B404" s="21">
        <v>272</v>
      </c>
      <c r="C404" s="22">
        <v>3379</v>
      </c>
      <c r="D404" s="22" t="s">
        <v>452</v>
      </c>
      <c r="E404" s="23" t="s">
        <v>15</v>
      </c>
      <c r="F404" s="24">
        <v>19930826</v>
      </c>
      <c r="G404" s="16">
        <f t="shared" si="38"/>
        <v>34207</v>
      </c>
      <c r="H404" s="2">
        <f t="shared" si="39"/>
        <v>27</v>
      </c>
      <c r="I404" s="17"/>
      <c r="J404" s="25">
        <v>20120321</v>
      </c>
      <c r="K404" s="16">
        <f t="shared" si="40"/>
        <v>40989</v>
      </c>
      <c r="L404" s="2">
        <f t="shared" si="41"/>
        <v>9</v>
      </c>
      <c r="M404" s="25"/>
      <c r="N404" s="26"/>
      <c r="O404" s="27" t="s">
        <v>35</v>
      </c>
      <c r="P404" s="70">
        <v>66011</v>
      </c>
      <c r="Q404" s="70" t="s">
        <v>449</v>
      </c>
      <c r="R404" s="22">
        <v>1</v>
      </c>
      <c r="S404" s="22" t="s">
        <v>636</v>
      </c>
      <c r="T404" s="22">
        <v>1</v>
      </c>
      <c r="AE404">
        <f t="shared" si="42"/>
        <v>66011</v>
      </c>
    </row>
    <row r="405" spans="1:31">
      <c r="A405">
        <v>174</v>
      </c>
      <c r="B405" s="21">
        <v>83</v>
      </c>
      <c r="C405" s="22">
        <v>2722</v>
      </c>
      <c r="D405" s="22" t="s">
        <v>453</v>
      </c>
      <c r="E405" s="23" t="s">
        <v>15</v>
      </c>
      <c r="F405" s="24">
        <v>19640503</v>
      </c>
      <c r="G405" s="16">
        <f t="shared" si="38"/>
        <v>23500</v>
      </c>
      <c r="H405" s="2">
        <f t="shared" si="39"/>
        <v>57</v>
      </c>
      <c r="I405" s="17"/>
      <c r="J405" s="25">
        <v>19850325</v>
      </c>
      <c r="K405" s="16">
        <f t="shared" si="40"/>
        <v>31131</v>
      </c>
      <c r="L405" s="2">
        <f t="shared" si="41"/>
        <v>36</v>
      </c>
      <c r="M405" s="25"/>
      <c r="N405" s="26"/>
      <c r="O405" s="27" t="s">
        <v>19</v>
      </c>
      <c r="P405" s="70">
        <v>66011</v>
      </c>
      <c r="Q405" s="70" t="s">
        <v>449</v>
      </c>
      <c r="R405" s="22">
        <v>1</v>
      </c>
      <c r="S405" s="22" t="s">
        <v>636</v>
      </c>
      <c r="T405" s="22">
        <v>2</v>
      </c>
      <c r="AE405">
        <f t="shared" si="42"/>
        <v>66011</v>
      </c>
    </row>
    <row r="406" spans="1:31">
      <c r="A406">
        <v>175</v>
      </c>
      <c r="B406" s="21">
        <v>377</v>
      </c>
      <c r="C406" s="22">
        <v>3837</v>
      </c>
      <c r="D406" s="22" t="s">
        <v>454</v>
      </c>
      <c r="E406" s="23" t="s">
        <v>15</v>
      </c>
      <c r="F406" s="24">
        <v>19630322</v>
      </c>
      <c r="G406" s="16">
        <f t="shared" si="38"/>
        <v>23092</v>
      </c>
      <c r="H406" s="2">
        <f t="shared" si="39"/>
        <v>58</v>
      </c>
      <c r="I406" s="17"/>
      <c r="J406" s="25">
        <v>19920701</v>
      </c>
      <c r="K406" s="16">
        <f t="shared" si="40"/>
        <v>33786</v>
      </c>
      <c r="L406" s="2">
        <f t="shared" si="41"/>
        <v>29</v>
      </c>
      <c r="M406" s="25"/>
      <c r="N406" s="26"/>
      <c r="O406" s="27" t="s">
        <v>35</v>
      </c>
      <c r="P406" s="70">
        <v>66011</v>
      </c>
      <c r="Q406" s="70" t="s">
        <v>449</v>
      </c>
      <c r="R406" s="22">
        <v>1</v>
      </c>
      <c r="S406" s="22" t="s">
        <v>636</v>
      </c>
      <c r="T406" s="22">
        <v>2</v>
      </c>
      <c r="AE406">
        <f t="shared" si="42"/>
        <v>66011</v>
      </c>
    </row>
    <row r="407" spans="1:31">
      <c r="A407">
        <v>176</v>
      </c>
      <c r="B407" s="21">
        <v>460</v>
      </c>
      <c r="C407" s="22">
        <v>5159</v>
      </c>
      <c r="D407" s="22" t="s">
        <v>455</v>
      </c>
      <c r="E407" s="23" t="s">
        <v>15</v>
      </c>
      <c r="F407" s="24">
        <v>19701025</v>
      </c>
      <c r="G407" s="16">
        <f t="shared" si="38"/>
        <v>25866</v>
      </c>
      <c r="H407" s="2">
        <f t="shared" si="39"/>
        <v>50</v>
      </c>
      <c r="I407" s="17"/>
      <c r="J407" s="25">
        <v>19880325</v>
      </c>
      <c r="K407" s="16">
        <f t="shared" si="40"/>
        <v>32227</v>
      </c>
      <c r="L407" s="2">
        <f t="shared" si="41"/>
        <v>33</v>
      </c>
      <c r="M407" s="25"/>
      <c r="N407" s="26"/>
      <c r="O407" s="27" t="s">
        <v>345</v>
      </c>
      <c r="P407" s="70">
        <v>66011</v>
      </c>
      <c r="Q407" s="70" t="s">
        <v>449</v>
      </c>
      <c r="R407" s="22">
        <v>1</v>
      </c>
      <c r="S407" s="22" t="s">
        <v>636</v>
      </c>
      <c r="T407" s="22">
        <v>2</v>
      </c>
      <c r="AE407">
        <f t="shared" si="42"/>
        <v>66011</v>
      </c>
    </row>
    <row r="408" spans="1:31">
      <c r="A408">
        <v>177</v>
      </c>
      <c r="B408" s="21">
        <v>384</v>
      </c>
      <c r="C408" s="22">
        <v>3866</v>
      </c>
      <c r="D408" s="22" t="s">
        <v>456</v>
      </c>
      <c r="E408" s="23" t="s">
        <v>15</v>
      </c>
      <c r="F408" s="24">
        <v>19650915</v>
      </c>
      <c r="G408" s="16">
        <f t="shared" si="38"/>
        <v>24000</v>
      </c>
      <c r="H408" s="2">
        <f t="shared" si="39"/>
        <v>55</v>
      </c>
      <c r="I408" s="17"/>
      <c r="J408" s="25">
        <v>19961118</v>
      </c>
      <c r="K408" s="16">
        <f t="shared" si="40"/>
        <v>35387</v>
      </c>
      <c r="L408" s="2">
        <f t="shared" si="41"/>
        <v>24</v>
      </c>
      <c r="M408" s="25"/>
      <c r="N408" s="26"/>
      <c r="O408" s="27" t="s">
        <v>19</v>
      </c>
      <c r="P408" s="70">
        <v>66011</v>
      </c>
      <c r="Q408" s="70" t="s">
        <v>449</v>
      </c>
      <c r="R408" s="22">
        <v>1</v>
      </c>
      <c r="S408" s="22" t="s">
        <v>636</v>
      </c>
      <c r="T408" s="22">
        <v>2</v>
      </c>
      <c r="AE408">
        <f t="shared" si="42"/>
        <v>66011</v>
      </c>
    </row>
    <row r="409" spans="1:31">
      <c r="A409">
        <v>178</v>
      </c>
      <c r="B409" s="21">
        <v>25</v>
      </c>
      <c r="C409" s="22">
        <v>1352</v>
      </c>
      <c r="D409" s="22" t="s">
        <v>457</v>
      </c>
      <c r="E409" s="23" t="s">
        <v>15</v>
      </c>
      <c r="F409" s="24">
        <v>19731016</v>
      </c>
      <c r="G409" s="16">
        <f t="shared" si="38"/>
        <v>26953</v>
      </c>
      <c r="H409" s="2">
        <f t="shared" si="39"/>
        <v>47</v>
      </c>
      <c r="I409" s="17"/>
      <c r="J409" s="25">
        <v>20080421</v>
      </c>
      <c r="K409" s="16">
        <f t="shared" si="40"/>
        <v>39559</v>
      </c>
      <c r="L409" s="2">
        <f t="shared" si="41"/>
        <v>13</v>
      </c>
      <c r="M409" s="25"/>
      <c r="N409" s="26"/>
      <c r="O409" s="27" t="s">
        <v>19</v>
      </c>
      <c r="P409" s="70">
        <v>66011</v>
      </c>
      <c r="Q409" s="70" t="s">
        <v>449</v>
      </c>
      <c r="R409" s="22">
        <v>1</v>
      </c>
      <c r="S409" s="22" t="s">
        <v>636</v>
      </c>
      <c r="T409" s="22">
        <v>2</v>
      </c>
      <c r="AE409">
        <f t="shared" si="42"/>
        <v>66011</v>
      </c>
    </row>
    <row r="410" spans="1:31">
      <c r="A410">
        <v>179</v>
      </c>
      <c r="B410" s="21">
        <v>469</v>
      </c>
      <c r="C410" s="22">
        <v>5270</v>
      </c>
      <c r="D410" s="22" t="s">
        <v>458</v>
      </c>
      <c r="E410" s="23" t="s">
        <v>15</v>
      </c>
      <c r="F410" s="24">
        <v>19810916</v>
      </c>
      <c r="G410" s="16">
        <f t="shared" si="38"/>
        <v>29845</v>
      </c>
      <c r="H410" s="2">
        <f t="shared" si="39"/>
        <v>39</v>
      </c>
      <c r="I410" s="17"/>
      <c r="J410" s="25">
        <v>19970331</v>
      </c>
      <c r="K410" s="16">
        <f t="shared" si="40"/>
        <v>35520</v>
      </c>
      <c r="L410" s="2">
        <f t="shared" si="41"/>
        <v>24</v>
      </c>
      <c r="M410" s="25"/>
      <c r="N410" s="26"/>
      <c r="O410" s="27" t="s">
        <v>295</v>
      </c>
      <c r="P410" s="70">
        <v>66011</v>
      </c>
      <c r="Q410" s="70" t="s">
        <v>449</v>
      </c>
      <c r="R410" s="22">
        <v>1</v>
      </c>
      <c r="S410" s="22" t="s">
        <v>636</v>
      </c>
      <c r="T410" s="22">
        <v>2</v>
      </c>
      <c r="AE410">
        <f t="shared" si="42"/>
        <v>66011</v>
      </c>
    </row>
    <row r="411" spans="1:31">
      <c r="A411">
        <v>180</v>
      </c>
      <c r="B411" s="21">
        <v>421</v>
      </c>
      <c r="C411" s="22">
        <v>3965</v>
      </c>
      <c r="D411" s="22" t="s">
        <v>459</v>
      </c>
      <c r="E411" s="23" t="s">
        <v>15</v>
      </c>
      <c r="F411" s="24">
        <v>19670404</v>
      </c>
      <c r="G411" s="16">
        <f t="shared" si="38"/>
        <v>24566</v>
      </c>
      <c r="H411" s="2">
        <f t="shared" si="39"/>
        <v>54</v>
      </c>
      <c r="I411" s="17"/>
      <c r="J411" s="25">
        <v>20070716</v>
      </c>
      <c r="K411" s="16">
        <f t="shared" si="40"/>
        <v>39279</v>
      </c>
      <c r="L411" s="2">
        <f t="shared" si="41"/>
        <v>14</v>
      </c>
      <c r="M411" s="25"/>
      <c r="N411" s="26"/>
      <c r="O411" s="27" t="s">
        <v>16</v>
      </c>
      <c r="P411" s="70">
        <v>66011</v>
      </c>
      <c r="Q411" s="70" t="s">
        <v>449</v>
      </c>
      <c r="R411" s="22">
        <v>1</v>
      </c>
      <c r="S411" s="22" t="s">
        <v>636</v>
      </c>
      <c r="T411" s="22">
        <v>2</v>
      </c>
      <c r="AE411">
        <f t="shared" si="42"/>
        <v>66011</v>
      </c>
    </row>
    <row r="412" spans="1:31">
      <c r="A412">
        <v>181</v>
      </c>
      <c r="B412" s="21">
        <v>424</v>
      </c>
      <c r="C412" s="22">
        <v>3968</v>
      </c>
      <c r="D412" s="22" t="s">
        <v>460</v>
      </c>
      <c r="E412" s="23" t="s">
        <v>15</v>
      </c>
      <c r="F412" s="24">
        <v>19680408</v>
      </c>
      <c r="G412" s="16">
        <f t="shared" si="38"/>
        <v>24936</v>
      </c>
      <c r="H412" s="2">
        <f t="shared" si="39"/>
        <v>53</v>
      </c>
      <c r="I412" s="17"/>
      <c r="J412" s="25">
        <v>20070903</v>
      </c>
      <c r="K412" s="16">
        <f t="shared" si="40"/>
        <v>39328</v>
      </c>
      <c r="L412" s="2">
        <f t="shared" si="41"/>
        <v>13</v>
      </c>
      <c r="M412" s="25"/>
      <c r="N412" s="26"/>
      <c r="O412" s="27" t="s">
        <v>19</v>
      </c>
      <c r="P412" s="70">
        <v>66011</v>
      </c>
      <c r="Q412" s="70" t="s">
        <v>449</v>
      </c>
      <c r="R412" s="22">
        <v>1</v>
      </c>
      <c r="S412" s="22" t="s">
        <v>636</v>
      </c>
      <c r="T412" s="22">
        <v>2</v>
      </c>
      <c r="AE412">
        <f t="shared" si="42"/>
        <v>66011</v>
      </c>
    </row>
    <row r="413" spans="1:31">
      <c r="A413">
        <v>182</v>
      </c>
      <c r="B413" s="21">
        <v>46</v>
      </c>
      <c r="C413" s="22">
        <v>1390</v>
      </c>
      <c r="D413" s="22" t="s">
        <v>461</v>
      </c>
      <c r="E413" s="23" t="s">
        <v>15</v>
      </c>
      <c r="F413" s="24">
        <v>19680505</v>
      </c>
      <c r="G413" s="16">
        <f t="shared" si="38"/>
        <v>24963</v>
      </c>
      <c r="H413" s="2">
        <f t="shared" si="39"/>
        <v>53</v>
      </c>
      <c r="I413" s="17"/>
      <c r="J413" s="25">
        <v>20141001</v>
      </c>
      <c r="K413" s="16">
        <f t="shared" si="40"/>
        <v>41913</v>
      </c>
      <c r="L413" s="2">
        <f t="shared" si="41"/>
        <v>6</v>
      </c>
      <c r="M413" s="25"/>
      <c r="N413" s="26"/>
      <c r="O413" s="27" t="s">
        <v>35</v>
      </c>
      <c r="P413" s="70">
        <v>66011</v>
      </c>
      <c r="Q413" s="70" t="s">
        <v>449</v>
      </c>
      <c r="R413" s="22">
        <v>1</v>
      </c>
      <c r="S413" s="22" t="s">
        <v>636</v>
      </c>
      <c r="T413" s="22">
        <v>2</v>
      </c>
      <c r="AE413">
        <f t="shared" si="42"/>
        <v>66011</v>
      </c>
    </row>
    <row r="414" spans="1:31">
      <c r="A414">
        <v>183</v>
      </c>
      <c r="B414" s="21">
        <v>56</v>
      </c>
      <c r="C414" s="22">
        <v>1402</v>
      </c>
      <c r="D414" s="22" t="s">
        <v>462</v>
      </c>
      <c r="E414" s="23" t="s">
        <v>15</v>
      </c>
      <c r="F414" s="24">
        <v>19901031</v>
      </c>
      <c r="G414" s="16">
        <f t="shared" si="38"/>
        <v>33177</v>
      </c>
      <c r="H414" s="2">
        <f t="shared" si="39"/>
        <v>30</v>
      </c>
      <c r="I414" s="17"/>
      <c r="J414" s="25">
        <v>20190501</v>
      </c>
      <c r="K414" s="16">
        <f t="shared" si="40"/>
        <v>43586</v>
      </c>
      <c r="L414" s="2">
        <f t="shared" si="41"/>
        <v>2</v>
      </c>
      <c r="M414" s="25"/>
      <c r="N414" s="26"/>
      <c r="O414" s="27">
        <v>6</v>
      </c>
      <c r="P414" s="70">
        <v>66011</v>
      </c>
      <c r="Q414" s="70" t="s">
        <v>449</v>
      </c>
      <c r="R414" s="22">
        <v>1</v>
      </c>
      <c r="S414" s="22" t="s">
        <v>636</v>
      </c>
      <c r="T414" s="22">
        <v>2</v>
      </c>
      <c r="AE414">
        <f t="shared" si="42"/>
        <v>66011</v>
      </c>
    </row>
    <row r="415" spans="1:31">
      <c r="A415">
        <v>184</v>
      </c>
      <c r="B415" s="21">
        <v>57</v>
      </c>
      <c r="C415" s="22">
        <v>1403</v>
      </c>
      <c r="D415" s="22" t="s">
        <v>463</v>
      </c>
      <c r="E415" s="23" t="s">
        <v>15</v>
      </c>
      <c r="F415" s="24">
        <v>19960923</v>
      </c>
      <c r="G415" s="16">
        <f t="shared" si="38"/>
        <v>35331</v>
      </c>
      <c r="H415" s="2">
        <f t="shared" si="39"/>
        <v>24</v>
      </c>
      <c r="I415" s="17"/>
      <c r="J415" s="25">
        <v>20190610</v>
      </c>
      <c r="K415" s="16">
        <f t="shared" si="40"/>
        <v>43626</v>
      </c>
      <c r="L415" s="2">
        <f t="shared" si="41"/>
        <v>2</v>
      </c>
      <c r="M415" s="25"/>
      <c r="N415" s="26"/>
      <c r="O415" s="27">
        <v>6</v>
      </c>
      <c r="P415" s="70">
        <v>66011</v>
      </c>
      <c r="Q415" s="70" t="s">
        <v>449</v>
      </c>
      <c r="R415" s="22">
        <v>1</v>
      </c>
      <c r="S415" s="22" t="s">
        <v>636</v>
      </c>
      <c r="T415" s="22">
        <v>2</v>
      </c>
      <c r="AE415">
        <f t="shared" si="42"/>
        <v>66011</v>
      </c>
    </row>
    <row r="416" spans="1:31">
      <c r="A416">
        <v>185</v>
      </c>
      <c r="B416" s="21">
        <v>368</v>
      </c>
      <c r="C416" s="22">
        <v>3521</v>
      </c>
      <c r="D416" s="22" t="s">
        <v>464</v>
      </c>
      <c r="E416" s="23" t="s">
        <v>635</v>
      </c>
      <c r="F416" s="24">
        <v>20020322</v>
      </c>
      <c r="G416" s="16">
        <f t="shared" si="38"/>
        <v>37337</v>
      </c>
      <c r="H416" s="2">
        <f t="shared" si="39"/>
        <v>19</v>
      </c>
      <c r="I416" s="17"/>
      <c r="J416" s="25">
        <v>20200401</v>
      </c>
      <c r="K416" s="16">
        <f t="shared" si="40"/>
        <v>43922</v>
      </c>
      <c r="L416" s="2">
        <f t="shared" si="41"/>
        <v>1</v>
      </c>
      <c r="M416" s="25"/>
      <c r="N416" s="26"/>
      <c r="O416" s="27">
        <v>6</v>
      </c>
      <c r="P416" s="70">
        <v>65011</v>
      </c>
      <c r="Q416" s="70" t="s">
        <v>433</v>
      </c>
      <c r="R416" s="22">
        <v>1</v>
      </c>
      <c r="S416" s="22" t="s">
        <v>636</v>
      </c>
      <c r="T416" s="22">
        <v>2</v>
      </c>
      <c r="AE416">
        <f t="shared" si="42"/>
        <v>65011</v>
      </c>
    </row>
    <row r="417" spans="1:31">
      <c r="A417">
        <v>186</v>
      </c>
      <c r="B417" s="21">
        <v>449</v>
      </c>
      <c r="C417" s="22">
        <v>5065</v>
      </c>
      <c r="D417" s="22" t="s">
        <v>465</v>
      </c>
      <c r="E417" s="23" t="s">
        <v>15</v>
      </c>
      <c r="F417" s="24">
        <v>19660707</v>
      </c>
      <c r="G417" s="16">
        <f t="shared" si="38"/>
        <v>24295</v>
      </c>
      <c r="H417" s="2">
        <f t="shared" si="39"/>
        <v>55</v>
      </c>
      <c r="I417" s="17"/>
      <c r="J417" s="25">
        <v>19820325</v>
      </c>
      <c r="K417" s="16">
        <f t="shared" si="40"/>
        <v>30035</v>
      </c>
      <c r="L417" s="2">
        <f t="shared" si="41"/>
        <v>39</v>
      </c>
      <c r="M417" s="25"/>
      <c r="N417" s="26"/>
      <c r="O417" s="27" t="s">
        <v>77</v>
      </c>
      <c r="P417" s="70">
        <v>67011</v>
      </c>
      <c r="Q417" s="70" t="s">
        <v>466</v>
      </c>
      <c r="R417" s="22">
        <v>1</v>
      </c>
      <c r="S417" s="22" t="s">
        <v>636</v>
      </c>
      <c r="T417" s="22">
        <v>2</v>
      </c>
      <c r="AE417">
        <f t="shared" si="42"/>
        <v>67011</v>
      </c>
    </row>
    <row r="418" spans="1:31">
      <c r="A418">
        <v>187</v>
      </c>
      <c r="B418" s="21">
        <v>452</v>
      </c>
      <c r="C418" s="22">
        <v>5080</v>
      </c>
      <c r="D418" s="22" t="s">
        <v>467</v>
      </c>
      <c r="E418" s="23" t="s">
        <v>15</v>
      </c>
      <c r="F418" s="24">
        <v>19661015</v>
      </c>
      <c r="G418" s="16">
        <f t="shared" si="38"/>
        <v>24395</v>
      </c>
      <c r="H418" s="2">
        <f t="shared" si="39"/>
        <v>54</v>
      </c>
      <c r="I418" s="17"/>
      <c r="J418" s="25">
        <v>19830325</v>
      </c>
      <c r="K418" s="16">
        <f t="shared" si="40"/>
        <v>30400</v>
      </c>
      <c r="L418" s="2">
        <f t="shared" si="41"/>
        <v>38</v>
      </c>
      <c r="M418" s="25"/>
      <c r="N418" s="26"/>
      <c r="O418" s="27" t="s">
        <v>105</v>
      </c>
      <c r="P418" s="70">
        <v>67011</v>
      </c>
      <c r="Q418" s="70" t="s">
        <v>466</v>
      </c>
      <c r="R418" s="22">
        <v>1</v>
      </c>
      <c r="S418" s="22" t="s">
        <v>636</v>
      </c>
      <c r="T418" s="22">
        <v>2</v>
      </c>
      <c r="AE418">
        <f t="shared" si="42"/>
        <v>67011</v>
      </c>
    </row>
    <row r="419" spans="1:31">
      <c r="A419">
        <v>188</v>
      </c>
      <c r="B419" s="21">
        <v>445</v>
      </c>
      <c r="C419" s="22">
        <v>5024</v>
      </c>
      <c r="D419" s="22" t="s">
        <v>468</v>
      </c>
      <c r="E419" s="23" t="s">
        <v>15</v>
      </c>
      <c r="F419" s="24">
        <v>19640628</v>
      </c>
      <c r="G419" s="16">
        <f t="shared" si="38"/>
        <v>23556</v>
      </c>
      <c r="H419" s="2">
        <f t="shared" si="39"/>
        <v>57</v>
      </c>
      <c r="I419" s="17"/>
      <c r="J419" s="25">
        <v>19810325</v>
      </c>
      <c r="K419" s="16">
        <f t="shared" si="40"/>
        <v>29670</v>
      </c>
      <c r="L419" s="2">
        <f t="shared" si="41"/>
        <v>40</v>
      </c>
      <c r="M419" s="25"/>
      <c r="N419" s="26"/>
      <c r="O419" s="27" t="s">
        <v>105</v>
      </c>
      <c r="P419" s="70">
        <v>67011</v>
      </c>
      <c r="Q419" s="70" t="s">
        <v>466</v>
      </c>
      <c r="R419" s="22">
        <v>1</v>
      </c>
      <c r="S419" s="22" t="s">
        <v>636</v>
      </c>
      <c r="T419" s="22">
        <v>2</v>
      </c>
      <c r="AE419">
        <f t="shared" si="42"/>
        <v>67011</v>
      </c>
    </row>
    <row r="420" spans="1:31">
      <c r="A420">
        <v>189</v>
      </c>
      <c r="B420" s="21">
        <v>388</v>
      </c>
      <c r="C420" s="22">
        <v>3876</v>
      </c>
      <c r="D420" s="22" t="s">
        <v>469</v>
      </c>
      <c r="E420" s="23" t="s">
        <v>15</v>
      </c>
      <c r="F420" s="24">
        <v>19670509</v>
      </c>
      <c r="G420" s="16">
        <f t="shared" si="38"/>
        <v>24601</v>
      </c>
      <c r="H420" s="2">
        <f t="shared" si="39"/>
        <v>54</v>
      </c>
      <c r="I420" s="17"/>
      <c r="J420" s="25">
        <v>20000421</v>
      </c>
      <c r="K420" s="16">
        <f t="shared" si="40"/>
        <v>36637</v>
      </c>
      <c r="L420" s="2">
        <f t="shared" si="41"/>
        <v>21</v>
      </c>
      <c r="M420" s="25"/>
      <c r="N420" s="26"/>
      <c r="O420" s="27" t="s">
        <v>35</v>
      </c>
      <c r="P420" s="70">
        <v>67011</v>
      </c>
      <c r="Q420" s="70" t="s">
        <v>466</v>
      </c>
      <c r="R420" s="22">
        <v>1</v>
      </c>
      <c r="S420" s="22" t="s">
        <v>636</v>
      </c>
      <c r="T420" s="22">
        <v>2</v>
      </c>
      <c r="AE420">
        <f t="shared" si="42"/>
        <v>67011</v>
      </c>
    </row>
    <row r="421" spans="1:31">
      <c r="A421">
        <v>190</v>
      </c>
      <c r="B421" s="21">
        <v>389</v>
      </c>
      <c r="C421" s="22">
        <v>3877</v>
      </c>
      <c r="D421" s="22" t="s">
        <v>470</v>
      </c>
      <c r="E421" s="23" t="s">
        <v>15</v>
      </c>
      <c r="F421" s="24">
        <v>19620107</v>
      </c>
      <c r="G421" s="16">
        <f t="shared" si="38"/>
        <v>22653</v>
      </c>
      <c r="H421" s="2">
        <f t="shared" si="39"/>
        <v>59</v>
      </c>
      <c r="I421" s="17"/>
      <c r="J421" s="25">
        <v>20000901</v>
      </c>
      <c r="K421" s="16">
        <f t="shared" si="40"/>
        <v>36770</v>
      </c>
      <c r="L421" s="2">
        <f t="shared" si="41"/>
        <v>20</v>
      </c>
      <c r="M421" s="25"/>
      <c r="N421" s="26"/>
      <c r="O421" s="27" t="s">
        <v>35</v>
      </c>
      <c r="P421" s="70">
        <v>67011</v>
      </c>
      <c r="Q421" s="70" t="s">
        <v>466</v>
      </c>
      <c r="R421" s="22">
        <v>1</v>
      </c>
      <c r="S421" s="22" t="s">
        <v>636</v>
      </c>
      <c r="T421" s="22">
        <v>2</v>
      </c>
      <c r="AE421">
        <f t="shared" si="42"/>
        <v>67011</v>
      </c>
    </row>
    <row r="422" spans="1:31">
      <c r="A422">
        <v>191</v>
      </c>
      <c r="B422" s="21">
        <v>467</v>
      </c>
      <c r="C422" s="22">
        <v>5256</v>
      </c>
      <c r="D422" s="22" t="s">
        <v>471</v>
      </c>
      <c r="E422" s="23" t="s">
        <v>15</v>
      </c>
      <c r="F422" s="24">
        <v>19780605</v>
      </c>
      <c r="G422" s="16">
        <f t="shared" si="38"/>
        <v>28646</v>
      </c>
      <c r="H422" s="2">
        <f t="shared" si="39"/>
        <v>43</v>
      </c>
      <c r="I422" s="17"/>
      <c r="J422" s="25">
        <v>19940330</v>
      </c>
      <c r="K422" s="16">
        <f t="shared" si="40"/>
        <v>34423</v>
      </c>
      <c r="L422" s="2">
        <f t="shared" si="41"/>
        <v>27</v>
      </c>
      <c r="M422" s="25"/>
      <c r="N422" s="26"/>
      <c r="O422" s="27" t="s">
        <v>295</v>
      </c>
      <c r="P422" s="70">
        <v>67011</v>
      </c>
      <c r="Q422" s="70" t="s">
        <v>466</v>
      </c>
      <c r="R422" s="22">
        <v>1</v>
      </c>
      <c r="S422" s="22" t="s">
        <v>636</v>
      </c>
      <c r="T422" s="22">
        <v>2</v>
      </c>
      <c r="AE422">
        <f t="shared" si="42"/>
        <v>67011</v>
      </c>
    </row>
    <row r="423" spans="1:31">
      <c r="A423">
        <v>192</v>
      </c>
      <c r="B423" s="21">
        <v>34</v>
      </c>
      <c r="C423" s="22">
        <v>1370</v>
      </c>
      <c r="D423" s="22" t="s">
        <v>472</v>
      </c>
      <c r="E423" s="23" t="s">
        <v>15</v>
      </c>
      <c r="F423" s="24">
        <v>19760105</v>
      </c>
      <c r="G423" s="16">
        <f t="shared" si="38"/>
        <v>27764</v>
      </c>
      <c r="H423" s="2">
        <f t="shared" si="39"/>
        <v>45</v>
      </c>
      <c r="I423" s="17"/>
      <c r="J423" s="25">
        <v>20110121</v>
      </c>
      <c r="K423" s="16">
        <f t="shared" si="40"/>
        <v>40564</v>
      </c>
      <c r="L423" s="2">
        <f t="shared" si="41"/>
        <v>10</v>
      </c>
      <c r="M423" s="25"/>
      <c r="N423" s="26"/>
      <c r="O423" s="27" t="s">
        <v>35</v>
      </c>
      <c r="P423" s="70">
        <v>67011</v>
      </c>
      <c r="Q423" s="70" t="s">
        <v>466</v>
      </c>
      <c r="R423" s="22">
        <v>1</v>
      </c>
      <c r="S423" s="22" t="s">
        <v>636</v>
      </c>
      <c r="T423" s="22">
        <v>2</v>
      </c>
      <c r="AE423">
        <f t="shared" si="42"/>
        <v>67011</v>
      </c>
    </row>
    <row r="424" spans="1:31">
      <c r="A424">
        <v>193</v>
      </c>
      <c r="B424" s="21">
        <v>425</v>
      </c>
      <c r="C424" s="22">
        <v>3969</v>
      </c>
      <c r="D424" s="22" t="s">
        <v>473</v>
      </c>
      <c r="E424" s="23" t="s">
        <v>15</v>
      </c>
      <c r="F424" s="24">
        <v>19830829</v>
      </c>
      <c r="G424" s="16">
        <f t="shared" ref="G424:G458" si="43">DATE(INT(F424/10000),INT(MOD(F424,10000)/100),MOD(F424,100))</f>
        <v>30557</v>
      </c>
      <c r="H424" s="2">
        <f t="shared" ref="H424:H458" si="44">DATEDIF(G424,$G$4,"Y")</f>
        <v>37</v>
      </c>
      <c r="I424" s="17"/>
      <c r="J424" s="25">
        <v>20070903</v>
      </c>
      <c r="K424" s="16">
        <f t="shared" ref="K424:K458" si="45">DATE(INT(J424/10000),INT(MOD(J424,10000)/100),MOD(J424,100))</f>
        <v>39328</v>
      </c>
      <c r="L424" s="2">
        <f t="shared" ref="L424:L458" si="46">DATEDIF(K424,$G$4,"Y")</f>
        <v>13</v>
      </c>
      <c r="M424" s="25"/>
      <c r="N424" s="26"/>
      <c r="O424" s="27" t="s">
        <v>19</v>
      </c>
      <c r="P424" s="70">
        <v>67011</v>
      </c>
      <c r="Q424" s="70" t="s">
        <v>466</v>
      </c>
      <c r="R424" s="22">
        <v>1</v>
      </c>
      <c r="S424" s="22" t="s">
        <v>636</v>
      </c>
      <c r="T424" s="22">
        <v>2</v>
      </c>
      <c r="AE424">
        <f t="shared" si="42"/>
        <v>67011</v>
      </c>
    </row>
    <row r="425" spans="1:31">
      <c r="A425">
        <v>194</v>
      </c>
      <c r="B425" s="21">
        <v>223</v>
      </c>
      <c r="C425" s="22">
        <v>3282</v>
      </c>
      <c r="D425" s="22" t="s">
        <v>474</v>
      </c>
      <c r="E425" s="23" t="s">
        <v>15</v>
      </c>
      <c r="F425" s="24">
        <v>19860704</v>
      </c>
      <c r="G425" s="16">
        <f t="shared" si="43"/>
        <v>31597</v>
      </c>
      <c r="H425" s="2">
        <f t="shared" si="44"/>
        <v>35</v>
      </c>
      <c r="I425" s="17"/>
      <c r="J425" s="25">
        <v>20080324</v>
      </c>
      <c r="K425" s="16">
        <f t="shared" si="45"/>
        <v>39531</v>
      </c>
      <c r="L425" s="2">
        <f t="shared" si="46"/>
        <v>13</v>
      </c>
      <c r="M425" s="25"/>
      <c r="N425" s="26"/>
      <c r="O425" s="27" t="s">
        <v>19</v>
      </c>
      <c r="P425" s="70">
        <v>67011</v>
      </c>
      <c r="Q425" s="70" t="s">
        <v>466</v>
      </c>
      <c r="R425" s="22">
        <v>1</v>
      </c>
      <c r="S425" s="22" t="s">
        <v>636</v>
      </c>
      <c r="T425" s="22">
        <v>2</v>
      </c>
      <c r="AE425">
        <f t="shared" si="42"/>
        <v>67011</v>
      </c>
    </row>
    <row r="426" spans="1:31">
      <c r="A426">
        <v>195</v>
      </c>
      <c r="B426" s="21">
        <v>158</v>
      </c>
      <c r="C426" s="22">
        <v>3102</v>
      </c>
      <c r="D426" s="22" t="s">
        <v>475</v>
      </c>
      <c r="E426" s="23" t="s">
        <v>15</v>
      </c>
      <c r="F426" s="24">
        <v>19760309</v>
      </c>
      <c r="G426" s="16">
        <f t="shared" si="43"/>
        <v>27828</v>
      </c>
      <c r="H426" s="2">
        <f t="shared" si="44"/>
        <v>45</v>
      </c>
      <c r="I426" s="17"/>
      <c r="J426" s="25">
        <v>19960321</v>
      </c>
      <c r="K426" s="16">
        <f t="shared" si="45"/>
        <v>35145</v>
      </c>
      <c r="L426" s="2">
        <f t="shared" si="46"/>
        <v>25</v>
      </c>
      <c r="M426" s="25"/>
      <c r="N426" s="26"/>
      <c r="O426" s="27" t="s">
        <v>19</v>
      </c>
      <c r="P426" s="70">
        <v>67211</v>
      </c>
      <c r="Q426" s="70" t="s">
        <v>476</v>
      </c>
      <c r="R426" s="22">
        <v>1</v>
      </c>
      <c r="S426" s="22" t="s">
        <v>636</v>
      </c>
      <c r="T426" s="22">
        <v>1</v>
      </c>
      <c r="AE426">
        <f t="shared" si="42"/>
        <v>67211</v>
      </c>
    </row>
    <row r="427" spans="1:31">
      <c r="A427">
        <v>196</v>
      </c>
      <c r="B427" s="21">
        <v>159</v>
      </c>
      <c r="C427" s="22">
        <v>3103</v>
      </c>
      <c r="D427" s="22" t="s">
        <v>477</v>
      </c>
      <c r="E427" s="23" t="s">
        <v>15</v>
      </c>
      <c r="F427" s="24">
        <v>19760222</v>
      </c>
      <c r="G427" s="16">
        <f t="shared" si="43"/>
        <v>27812</v>
      </c>
      <c r="H427" s="2">
        <f t="shared" si="44"/>
        <v>45</v>
      </c>
      <c r="I427" s="17"/>
      <c r="J427" s="25">
        <v>19960321</v>
      </c>
      <c r="K427" s="16">
        <f t="shared" si="45"/>
        <v>35145</v>
      </c>
      <c r="L427" s="2">
        <f t="shared" si="46"/>
        <v>25</v>
      </c>
      <c r="M427" s="25"/>
      <c r="N427" s="26"/>
      <c r="O427" s="27" t="s">
        <v>19</v>
      </c>
      <c r="P427" s="70">
        <v>67211</v>
      </c>
      <c r="Q427" s="70" t="s">
        <v>476</v>
      </c>
      <c r="R427" s="22">
        <v>1</v>
      </c>
      <c r="S427" s="22" t="s">
        <v>636</v>
      </c>
      <c r="T427" s="22">
        <v>1</v>
      </c>
      <c r="AE427">
        <f t="shared" si="42"/>
        <v>67211</v>
      </c>
    </row>
    <row r="428" spans="1:31">
      <c r="A428">
        <v>197</v>
      </c>
      <c r="B428" s="21">
        <v>416</v>
      </c>
      <c r="C428" s="22">
        <v>3954</v>
      </c>
      <c r="D428" s="22" t="s">
        <v>478</v>
      </c>
      <c r="E428" s="23" t="s">
        <v>15</v>
      </c>
      <c r="F428" s="24">
        <v>19840610</v>
      </c>
      <c r="G428" s="16">
        <f t="shared" si="43"/>
        <v>30843</v>
      </c>
      <c r="H428" s="2">
        <f t="shared" si="44"/>
        <v>37</v>
      </c>
      <c r="I428" s="17"/>
      <c r="J428" s="25">
        <v>20070613</v>
      </c>
      <c r="K428" s="16">
        <f t="shared" si="45"/>
        <v>39246</v>
      </c>
      <c r="L428" s="2">
        <f t="shared" si="46"/>
        <v>14</v>
      </c>
      <c r="M428" s="25"/>
      <c r="N428" s="26"/>
      <c r="O428" s="27" t="s">
        <v>35</v>
      </c>
      <c r="P428" s="70">
        <v>67211</v>
      </c>
      <c r="Q428" s="70" t="s">
        <v>476</v>
      </c>
      <c r="R428" s="22">
        <v>1</v>
      </c>
      <c r="S428" s="22" t="s">
        <v>636</v>
      </c>
      <c r="T428" s="22">
        <v>1</v>
      </c>
      <c r="AE428">
        <f t="shared" si="42"/>
        <v>67211</v>
      </c>
    </row>
    <row r="429" spans="1:31">
      <c r="A429">
        <v>198</v>
      </c>
      <c r="B429" s="21">
        <v>297</v>
      </c>
      <c r="C429" s="22">
        <v>3425</v>
      </c>
      <c r="D429" s="22" t="s">
        <v>479</v>
      </c>
      <c r="E429" s="23" t="s">
        <v>15</v>
      </c>
      <c r="F429" s="24">
        <v>19950530</v>
      </c>
      <c r="G429" s="16">
        <f t="shared" si="43"/>
        <v>34849</v>
      </c>
      <c r="H429" s="2">
        <f t="shared" si="44"/>
        <v>26</v>
      </c>
      <c r="I429" s="17"/>
      <c r="J429" s="25">
        <v>20140321</v>
      </c>
      <c r="K429" s="16">
        <f t="shared" si="45"/>
        <v>41719</v>
      </c>
      <c r="L429" s="2">
        <f t="shared" si="46"/>
        <v>7</v>
      </c>
      <c r="M429" s="25"/>
      <c r="N429" s="26"/>
      <c r="O429" s="27" t="s">
        <v>35</v>
      </c>
      <c r="P429" s="70">
        <v>67211</v>
      </c>
      <c r="Q429" s="70" t="s">
        <v>476</v>
      </c>
      <c r="R429" s="22">
        <v>1</v>
      </c>
      <c r="S429" s="22" t="s">
        <v>636</v>
      </c>
      <c r="T429" s="22">
        <v>2</v>
      </c>
      <c r="AE429">
        <f t="shared" si="42"/>
        <v>67211</v>
      </c>
    </row>
    <row r="430" spans="1:31">
      <c r="A430">
        <v>199</v>
      </c>
      <c r="B430" s="21">
        <v>341</v>
      </c>
      <c r="C430" s="22">
        <v>3487</v>
      </c>
      <c r="D430" s="22" t="s">
        <v>480</v>
      </c>
      <c r="E430" s="23" t="s">
        <v>15</v>
      </c>
      <c r="F430" s="24">
        <v>19980430</v>
      </c>
      <c r="G430" s="16">
        <f t="shared" si="43"/>
        <v>35915</v>
      </c>
      <c r="H430" s="2">
        <f t="shared" si="44"/>
        <v>23</v>
      </c>
      <c r="I430" s="17"/>
      <c r="J430" s="25">
        <v>20170403</v>
      </c>
      <c r="K430" s="16">
        <f t="shared" si="45"/>
        <v>42828</v>
      </c>
      <c r="L430" s="2">
        <f t="shared" si="46"/>
        <v>4</v>
      </c>
      <c r="M430" s="25"/>
      <c r="N430" s="26"/>
      <c r="O430" s="27">
        <v>6</v>
      </c>
      <c r="P430" s="70">
        <v>67211</v>
      </c>
      <c r="Q430" s="70" t="s">
        <v>476</v>
      </c>
      <c r="R430" s="22">
        <v>1</v>
      </c>
      <c r="S430" s="22" t="s">
        <v>636</v>
      </c>
      <c r="T430" s="22">
        <v>2</v>
      </c>
      <c r="AE430">
        <f t="shared" si="42"/>
        <v>67211</v>
      </c>
    </row>
    <row r="431" spans="1:31">
      <c r="A431">
        <v>200</v>
      </c>
      <c r="B431" s="21"/>
      <c r="C431" s="22">
        <v>3527</v>
      </c>
      <c r="D431" s="22" t="s">
        <v>481</v>
      </c>
      <c r="E431" s="23" t="s">
        <v>635</v>
      </c>
      <c r="F431" s="24">
        <v>20020819</v>
      </c>
      <c r="G431" s="16">
        <f t="shared" si="43"/>
        <v>37487</v>
      </c>
      <c r="H431" s="2">
        <f t="shared" si="44"/>
        <v>18</v>
      </c>
      <c r="I431" s="17"/>
      <c r="J431" s="25">
        <v>20210401</v>
      </c>
      <c r="K431" s="16">
        <f t="shared" si="45"/>
        <v>44287</v>
      </c>
      <c r="L431" s="2">
        <f t="shared" si="46"/>
        <v>0</v>
      </c>
      <c r="M431" s="25"/>
      <c r="N431" s="26"/>
      <c r="O431" s="27"/>
      <c r="P431" s="70">
        <v>67211</v>
      </c>
      <c r="Q431" s="70" t="s">
        <v>476</v>
      </c>
      <c r="R431" s="22"/>
      <c r="S431" s="22"/>
      <c r="T431" s="22"/>
      <c r="AE431">
        <f t="shared" si="42"/>
        <v>67211</v>
      </c>
    </row>
    <row r="432" spans="1:31">
      <c r="A432">
        <v>201</v>
      </c>
      <c r="B432" s="21">
        <v>405</v>
      </c>
      <c r="C432" s="22">
        <v>3937</v>
      </c>
      <c r="D432" s="22" t="s">
        <v>482</v>
      </c>
      <c r="E432" s="23" t="s">
        <v>15</v>
      </c>
      <c r="F432" s="24">
        <v>19810304</v>
      </c>
      <c r="G432" s="16">
        <f t="shared" si="43"/>
        <v>29649</v>
      </c>
      <c r="H432" s="2">
        <f t="shared" si="44"/>
        <v>40</v>
      </c>
      <c r="I432" s="17"/>
      <c r="J432" s="25">
        <v>20060301</v>
      </c>
      <c r="K432" s="16">
        <f t="shared" si="45"/>
        <v>38777</v>
      </c>
      <c r="L432" s="2">
        <f t="shared" si="46"/>
        <v>15</v>
      </c>
      <c r="M432" s="25"/>
      <c r="N432" s="26"/>
      <c r="O432" s="27" t="s">
        <v>35</v>
      </c>
      <c r="P432" s="70">
        <v>68011</v>
      </c>
      <c r="Q432" s="70" t="s">
        <v>483</v>
      </c>
      <c r="R432" s="22">
        <v>1</v>
      </c>
      <c r="S432" s="22" t="s">
        <v>636</v>
      </c>
      <c r="T432" s="22">
        <v>1</v>
      </c>
      <c r="AE432">
        <f t="shared" si="42"/>
        <v>68011</v>
      </c>
    </row>
    <row r="433" spans="1:31">
      <c r="A433">
        <v>202</v>
      </c>
      <c r="B433" s="21">
        <v>174</v>
      </c>
      <c r="C433" s="22">
        <v>3166</v>
      </c>
      <c r="D433" s="22" t="s">
        <v>185</v>
      </c>
      <c r="E433" s="23" t="s">
        <v>15</v>
      </c>
      <c r="F433" s="24">
        <v>19810814</v>
      </c>
      <c r="G433" s="16">
        <f t="shared" si="43"/>
        <v>29812</v>
      </c>
      <c r="H433" s="2">
        <f t="shared" si="44"/>
        <v>39</v>
      </c>
      <c r="I433" s="17"/>
      <c r="J433" s="25">
        <v>20000321</v>
      </c>
      <c r="K433" s="16">
        <f t="shared" si="45"/>
        <v>36606</v>
      </c>
      <c r="L433" s="2">
        <f t="shared" si="46"/>
        <v>21</v>
      </c>
      <c r="M433" s="25"/>
      <c r="N433" s="26"/>
      <c r="O433" s="27" t="s">
        <v>35</v>
      </c>
      <c r="P433" s="70">
        <v>68011</v>
      </c>
      <c r="Q433" s="70" t="s">
        <v>483</v>
      </c>
      <c r="R433" s="22">
        <v>1</v>
      </c>
      <c r="S433" s="22" t="s">
        <v>636</v>
      </c>
      <c r="T433" s="22">
        <v>2</v>
      </c>
      <c r="AE433">
        <f t="shared" si="42"/>
        <v>68011</v>
      </c>
    </row>
    <row r="434" spans="1:31">
      <c r="A434">
        <v>203</v>
      </c>
      <c r="B434" s="21">
        <v>77</v>
      </c>
      <c r="C434" s="22">
        <v>2698</v>
      </c>
      <c r="D434" s="22" t="s">
        <v>484</v>
      </c>
      <c r="E434" s="23" t="s">
        <v>15</v>
      </c>
      <c r="F434" s="24">
        <v>19651001</v>
      </c>
      <c r="G434" s="16">
        <f t="shared" si="43"/>
        <v>24016</v>
      </c>
      <c r="H434" s="2">
        <f t="shared" si="44"/>
        <v>55</v>
      </c>
      <c r="I434" s="17"/>
      <c r="J434" s="25">
        <v>19840321</v>
      </c>
      <c r="K434" s="16">
        <f t="shared" si="45"/>
        <v>30762</v>
      </c>
      <c r="L434" s="2">
        <f t="shared" si="46"/>
        <v>37</v>
      </c>
      <c r="M434" s="25"/>
      <c r="N434" s="26"/>
      <c r="O434" s="27" t="s">
        <v>35</v>
      </c>
      <c r="P434" s="70">
        <v>68111</v>
      </c>
      <c r="Q434" s="70" t="s">
        <v>485</v>
      </c>
      <c r="R434" s="22">
        <v>1</v>
      </c>
      <c r="S434" s="22" t="s">
        <v>636</v>
      </c>
      <c r="T434" s="22">
        <v>1</v>
      </c>
      <c r="AE434">
        <f t="shared" si="42"/>
        <v>68111</v>
      </c>
    </row>
    <row r="435" spans="1:31">
      <c r="A435">
        <v>204</v>
      </c>
      <c r="B435" s="21">
        <v>168</v>
      </c>
      <c r="C435" s="22">
        <v>3144</v>
      </c>
      <c r="D435" s="22" t="s">
        <v>486</v>
      </c>
      <c r="E435" s="23" t="s">
        <v>15</v>
      </c>
      <c r="F435" s="24">
        <v>19790322</v>
      </c>
      <c r="G435" s="16">
        <f t="shared" si="43"/>
        <v>28936</v>
      </c>
      <c r="H435" s="2">
        <f t="shared" si="44"/>
        <v>42</v>
      </c>
      <c r="I435" s="17"/>
      <c r="J435" s="25">
        <v>19970321</v>
      </c>
      <c r="K435" s="16">
        <f t="shared" si="45"/>
        <v>35510</v>
      </c>
      <c r="L435" s="2">
        <f t="shared" si="46"/>
        <v>24</v>
      </c>
      <c r="M435" s="25"/>
      <c r="N435" s="26"/>
      <c r="O435" s="27" t="s">
        <v>35</v>
      </c>
      <c r="P435" s="70">
        <v>68111</v>
      </c>
      <c r="Q435" s="70" t="s">
        <v>485</v>
      </c>
      <c r="R435" s="22">
        <v>1</v>
      </c>
      <c r="S435" s="22" t="s">
        <v>636</v>
      </c>
      <c r="T435" s="22">
        <v>2</v>
      </c>
      <c r="AE435">
        <f t="shared" si="42"/>
        <v>68111</v>
      </c>
    </row>
    <row r="436" spans="1:31">
      <c r="A436">
        <v>205</v>
      </c>
      <c r="B436" s="21">
        <v>30</v>
      </c>
      <c r="C436" s="22">
        <v>1364</v>
      </c>
      <c r="D436" s="22" t="s">
        <v>487</v>
      </c>
      <c r="E436" s="23" t="s">
        <v>15</v>
      </c>
      <c r="F436" s="24">
        <v>19800522</v>
      </c>
      <c r="G436" s="16">
        <f t="shared" si="43"/>
        <v>29363</v>
      </c>
      <c r="H436" s="2">
        <f t="shared" si="44"/>
        <v>41</v>
      </c>
      <c r="I436" s="17"/>
      <c r="J436" s="25">
        <v>20100821</v>
      </c>
      <c r="K436" s="16">
        <f t="shared" si="45"/>
        <v>40411</v>
      </c>
      <c r="L436" s="2">
        <f t="shared" si="46"/>
        <v>10</v>
      </c>
      <c r="M436" s="25"/>
      <c r="N436" s="26"/>
      <c r="O436" s="27" t="s">
        <v>35</v>
      </c>
      <c r="P436" s="70">
        <v>68111</v>
      </c>
      <c r="Q436" s="70" t="s">
        <v>485</v>
      </c>
      <c r="R436" s="22">
        <v>1</v>
      </c>
      <c r="S436" s="22" t="s">
        <v>636</v>
      </c>
      <c r="T436" s="22">
        <v>2</v>
      </c>
      <c r="AE436">
        <f t="shared" si="42"/>
        <v>68111</v>
      </c>
    </row>
    <row r="437" spans="1:31">
      <c r="A437">
        <v>206</v>
      </c>
      <c r="B437" s="21">
        <v>144</v>
      </c>
      <c r="C437" s="22">
        <v>3047</v>
      </c>
      <c r="D437" s="22" t="s">
        <v>488</v>
      </c>
      <c r="E437" s="23" t="s">
        <v>15</v>
      </c>
      <c r="F437" s="24">
        <v>19761208</v>
      </c>
      <c r="G437" s="16">
        <f t="shared" si="43"/>
        <v>28102</v>
      </c>
      <c r="H437" s="2">
        <f t="shared" si="44"/>
        <v>44</v>
      </c>
      <c r="I437" s="17"/>
      <c r="J437" s="25">
        <v>19950322</v>
      </c>
      <c r="K437" s="16">
        <f t="shared" si="45"/>
        <v>34780</v>
      </c>
      <c r="L437" s="2">
        <f t="shared" si="46"/>
        <v>26</v>
      </c>
      <c r="M437" s="25"/>
      <c r="N437" s="26"/>
      <c r="O437" s="27" t="s">
        <v>35</v>
      </c>
      <c r="P437" s="70">
        <v>69011</v>
      </c>
      <c r="Q437" s="70" t="s">
        <v>489</v>
      </c>
      <c r="R437" s="22">
        <v>1</v>
      </c>
      <c r="S437" s="22" t="s">
        <v>636</v>
      </c>
      <c r="T437" s="22">
        <v>1</v>
      </c>
      <c r="AE437">
        <f t="shared" si="42"/>
        <v>69011</v>
      </c>
    </row>
    <row r="438" spans="1:31">
      <c r="A438">
        <v>207</v>
      </c>
      <c r="B438" s="21">
        <v>161</v>
      </c>
      <c r="C438" s="22">
        <v>3114</v>
      </c>
      <c r="D438" s="22" t="s">
        <v>490</v>
      </c>
      <c r="E438" s="23" t="s">
        <v>15</v>
      </c>
      <c r="F438" s="24">
        <v>19780310</v>
      </c>
      <c r="G438" s="16">
        <f t="shared" si="43"/>
        <v>28559</v>
      </c>
      <c r="H438" s="2">
        <f t="shared" si="44"/>
        <v>43</v>
      </c>
      <c r="I438" s="17"/>
      <c r="J438" s="25">
        <v>19960321</v>
      </c>
      <c r="K438" s="16">
        <f t="shared" si="45"/>
        <v>35145</v>
      </c>
      <c r="L438" s="2">
        <f t="shared" si="46"/>
        <v>25</v>
      </c>
      <c r="M438" s="25"/>
      <c r="N438" s="26"/>
      <c r="O438" s="27" t="s">
        <v>35</v>
      </c>
      <c r="P438" s="70">
        <v>69011</v>
      </c>
      <c r="Q438" s="70" t="s">
        <v>489</v>
      </c>
      <c r="R438" s="22">
        <v>1</v>
      </c>
      <c r="S438" s="22" t="s">
        <v>636</v>
      </c>
      <c r="T438" s="22">
        <v>1</v>
      </c>
      <c r="AE438">
        <f t="shared" si="42"/>
        <v>69011</v>
      </c>
    </row>
    <row r="439" spans="1:31">
      <c r="A439">
        <v>208</v>
      </c>
      <c r="B439" s="21">
        <v>54</v>
      </c>
      <c r="C439" s="22">
        <v>1400</v>
      </c>
      <c r="D439" s="22" t="s">
        <v>491</v>
      </c>
      <c r="E439" s="23" t="s">
        <v>15</v>
      </c>
      <c r="F439" s="24">
        <v>19910623</v>
      </c>
      <c r="G439" s="16">
        <f t="shared" si="43"/>
        <v>33412</v>
      </c>
      <c r="H439" s="2">
        <f t="shared" si="44"/>
        <v>30</v>
      </c>
      <c r="I439" s="17"/>
      <c r="J439" s="25">
        <v>20190121</v>
      </c>
      <c r="K439" s="16">
        <f t="shared" si="45"/>
        <v>43486</v>
      </c>
      <c r="L439" s="2">
        <f t="shared" si="46"/>
        <v>2</v>
      </c>
      <c r="M439" s="25"/>
      <c r="N439" s="26"/>
      <c r="O439" s="27">
        <v>6</v>
      </c>
      <c r="P439" s="70">
        <v>69011</v>
      </c>
      <c r="Q439" s="70" t="s">
        <v>489</v>
      </c>
      <c r="R439" s="22">
        <v>1</v>
      </c>
      <c r="S439" s="22" t="s">
        <v>636</v>
      </c>
      <c r="T439" s="22">
        <v>1</v>
      </c>
      <c r="AE439">
        <f t="shared" si="42"/>
        <v>69011</v>
      </c>
    </row>
    <row r="440" spans="1:31">
      <c r="A440">
        <v>209</v>
      </c>
      <c r="B440" s="21">
        <v>74</v>
      </c>
      <c r="C440" s="22">
        <v>2686</v>
      </c>
      <c r="D440" s="22" t="s">
        <v>492</v>
      </c>
      <c r="E440" s="23" t="s">
        <v>15</v>
      </c>
      <c r="F440" s="24">
        <v>19660221</v>
      </c>
      <c r="G440" s="16">
        <f t="shared" si="43"/>
        <v>24159</v>
      </c>
      <c r="H440" s="2">
        <f t="shared" si="44"/>
        <v>55</v>
      </c>
      <c r="I440" s="17"/>
      <c r="J440" s="25">
        <v>19840321</v>
      </c>
      <c r="K440" s="16">
        <f t="shared" si="45"/>
        <v>30762</v>
      </c>
      <c r="L440" s="2">
        <f t="shared" si="46"/>
        <v>37</v>
      </c>
      <c r="M440" s="25"/>
      <c r="N440" s="26"/>
      <c r="O440" s="27" t="s">
        <v>35</v>
      </c>
      <c r="P440" s="70">
        <v>69011</v>
      </c>
      <c r="Q440" s="70" t="s">
        <v>489</v>
      </c>
      <c r="R440" s="22">
        <v>1</v>
      </c>
      <c r="S440" s="22" t="s">
        <v>636</v>
      </c>
      <c r="T440" s="22">
        <v>2</v>
      </c>
      <c r="AE440">
        <f t="shared" si="42"/>
        <v>69011</v>
      </c>
    </row>
    <row r="441" spans="1:31">
      <c r="A441">
        <v>210</v>
      </c>
      <c r="B441" s="21">
        <v>454</v>
      </c>
      <c r="C441" s="22">
        <v>5116</v>
      </c>
      <c r="D441" s="22" t="s">
        <v>493</v>
      </c>
      <c r="E441" s="23" t="s">
        <v>15</v>
      </c>
      <c r="F441" s="24">
        <v>19690325</v>
      </c>
      <c r="G441" s="16">
        <f t="shared" si="43"/>
        <v>25287</v>
      </c>
      <c r="H441" s="2">
        <f t="shared" si="44"/>
        <v>52</v>
      </c>
      <c r="I441" s="17"/>
      <c r="J441" s="25">
        <v>19840327</v>
      </c>
      <c r="K441" s="16">
        <f t="shared" si="45"/>
        <v>30768</v>
      </c>
      <c r="L441" s="2">
        <f t="shared" si="46"/>
        <v>37</v>
      </c>
      <c r="M441" s="25"/>
      <c r="N441" s="26"/>
      <c r="O441" s="27" t="s">
        <v>77</v>
      </c>
      <c r="P441" s="70">
        <v>69011</v>
      </c>
      <c r="Q441" s="70" t="s">
        <v>489</v>
      </c>
      <c r="R441" s="22">
        <v>1</v>
      </c>
      <c r="S441" s="22" t="s">
        <v>636</v>
      </c>
      <c r="T441" s="22">
        <v>2</v>
      </c>
      <c r="AE441">
        <f t="shared" si="42"/>
        <v>69011</v>
      </c>
    </row>
    <row r="442" spans="1:31">
      <c r="A442">
        <v>211</v>
      </c>
      <c r="B442" s="21">
        <v>458</v>
      </c>
      <c r="C442" s="22">
        <v>5149</v>
      </c>
      <c r="D442" s="22" t="s">
        <v>494</v>
      </c>
      <c r="E442" s="23" t="s">
        <v>15</v>
      </c>
      <c r="F442" s="24">
        <v>19690926</v>
      </c>
      <c r="G442" s="16">
        <f t="shared" si="43"/>
        <v>25472</v>
      </c>
      <c r="H442" s="2">
        <f t="shared" si="44"/>
        <v>51</v>
      </c>
      <c r="I442" s="17"/>
      <c r="J442" s="25">
        <v>19870325</v>
      </c>
      <c r="K442" s="16">
        <f t="shared" si="45"/>
        <v>31861</v>
      </c>
      <c r="L442" s="2">
        <f t="shared" si="46"/>
        <v>34</v>
      </c>
      <c r="M442" s="25"/>
      <c r="N442" s="26"/>
      <c r="O442" s="27" t="s">
        <v>75</v>
      </c>
      <c r="P442" s="70">
        <v>69011</v>
      </c>
      <c r="Q442" s="70" t="s">
        <v>489</v>
      </c>
      <c r="R442" s="22">
        <v>1</v>
      </c>
      <c r="S442" s="22" t="s">
        <v>636</v>
      </c>
      <c r="T442" s="22">
        <v>2</v>
      </c>
      <c r="AE442">
        <f t="shared" si="42"/>
        <v>69011</v>
      </c>
    </row>
    <row r="443" spans="1:31">
      <c r="A443">
        <v>212</v>
      </c>
      <c r="B443" s="21">
        <v>463</v>
      </c>
      <c r="C443" s="22">
        <v>5165</v>
      </c>
      <c r="D443" s="22" t="s">
        <v>495</v>
      </c>
      <c r="E443" s="23" t="s">
        <v>15</v>
      </c>
      <c r="F443" s="24">
        <v>19710823</v>
      </c>
      <c r="G443" s="16">
        <f t="shared" si="43"/>
        <v>26168</v>
      </c>
      <c r="H443" s="2">
        <f t="shared" si="44"/>
        <v>49</v>
      </c>
      <c r="I443" s="17"/>
      <c r="J443" s="25">
        <v>19880325</v>
      </c>
      <c r="K443" s="16">
        <f t="shared" si="45"/>
        <v>32227</v>
      </c>
      <c r="L443" s="2">
        <f t="shared" si="46"/>
        <v>33</v>
      </c>
      <c r="M443" s="25"/>
      <c r="N443" s="26"/>
      <c r="O443" s="27" t="s">
        <v>105</v>
      </c>
      <c r="P443" s="70">
        <v>69011</v>
      </c>
      <c r="Q443" s="70" t="s">
        <v>489</v>
      </c>
      <c r="R443" s="22">
        <v>1</v>
      </c>
      <c r="S443" s="22" t="s">
        <v>636</v>
      </c>
      <c r="T443" s="22">
        <v>2</v>
      </c>
      <c r="AE443">
        <f t="shared" si="42"/>
        <v>69011</v>
      </c>
    </row>
    <row r="444" spans="1:31">
      <c r="A444">
        <v>213</v>
      </c>
      <c r="B444" s="21">
        <v>464</v>
      </c>
      <c r="C444" s="22">
        <v>5174</v>
      </c>
      <c r="D444" s="22" t="s">
        <v>496</v>
      </c>
      <c r="E444" s="23" t="s">
        <v>15</v>
      </c>
      <c r="F444" s="24">
        <v>19730929</v>
      </c>
      <c r="G444" s="16">
        <f t="shared" si="43"/>
        <v>26936</v>
      </c>
      <c r="H444" s="2">
        <f t="shared" si="44"/>
        <v>47</v>
      </c>
      <c r="I444" s="17"/>
      <c r="J444" s="25">
        <v>19890324</v>
      </c>
      <c r="K444" s="16">
        <f t="shared" si="45"/>
        <v>32591</v>
      </c>
      <c r="L444" s="2">
        <f t="shared" si="46"/>
        <v>32</v>
      </c>
      <c r="M444" s="25"/>
      <c r="N444" s="26"/>
      <c r="O444" s="27" t="s">
        <v>77</v>
      </c>
      <c r="P444" s="70">
        <v>69011</v>
      </c>
      <c r="Q444" s="70" t="s">
        <v>489</v>
      </c>
      <c r="R444" s="22">
        <v>1</v>
      </c>
      <c r="S444" s="22" t="s">
        <v>636</v>
      </c>
      <c r="T444" s="22">
        <v>2</v>
      </c>
      <c r="AE444">
        <f t="shared" si="42"/>
        <v>69011</v>
      </c>
    </row>
    <row r="445" spans="1:31">
      <c r="A445">
        <v>214</v>
      </c>
      <c r="B445" s="21">
        <v>430</v>
      </c>
      <c r="C445" s="22">
        <v>3985</v>
      </c>
      <c r="D445" s="22" t="s">
        <v>497</v>
      </c>
      <c r="E445" s="23" t="s">
        <v>15</v>
      </c>
      <c r="F445" s="24">
        <v>19680208</v>
      </c>
      <c r="G445" s="16">
        <f t="shared" si="43"/>
        <v>24876</v>
      </c>
      <c r="H445" s="2">
        <f t="shared" si="44"/>
        <v>53</v>
      </c>
      <c r="I445" s="17"/>
      <c r="J445" s="25">
        <v>20071021</v>
      </c>
      <c r="K445" s="16">
        <f t="shared" si="45"/>
        <v>39376</v>
      </c>
      <c r="L445" s="2">
        <f t="shared" si="46"/>
        <v>13</v>
      </c>
      <c r="M445" s="25"/>
      <c r="N445" s="26"/>
      <c r="O445" s="27" t="s">
        <v>19</v>
      </c>
      <c r="P445" s="70">
        <v>69011</v>
      </c>
      <c r="Q445" s="70" t="s">
        <v>489</v>
      </c>
      <c r="R445" s="22">
        <v>1</v>
      </c>
      <c r="S445" s="22" t="s">
        <v>636</v>
      </c>
      <c r="T445" s="22">
        <v>2</v>
      </c>
      <c r="AE445">
        <f t="shared" si="42"/>
        <v>69011</v>
      </c>
    </row>
    <row r="446" spans="1:31">
      <c r="A446">
        <v>215</v>
      </c>
      <c r="B446" s="21">
        <v>435</v>
      </c>
      <c r="C446" s="22">
        <v>3991</v>
      </c>
      <c r="D446" s="22" t="s">
        <v>498</v>
      </c>
      <c r="E446" s="23" t="s">
        <v>15</v>
      </c>
      <c r="F446" s="24">
        <v>19791113</v>
      </c>
      <c r="G446" s="16">
        <f t="shared" si="43"/>
        <v>29172</v>
      </c>
      <c r="H446" s="2">
        <f t="shared" si="44"/>
        <v>41</v>
      </c>
      <c r="I446" s="17"/>
      <c r="J446" s="25">
        <v>20071101</v>
      </c>
      <c r="K446" s="16">
        <f t="shared" si="45"/>
        <v>39387</v>
      </c>
      <c r="L446" s="2">
        <f t="shared" si="46"/>
        <v>13</v>
      </c>
      <c r="M446" s="25"/>
      <c r="N446" s="26"/>
      <c r="O446" s="27" t="s">
        <v>19</v>
      </c>
      <c r="P446" s="70">
        <v>69011</v>
      </c>
      <c r="Q446" s="70" t="s">
        <v>489</v>
      </c>
      <c r="R446" s="22">
        <v>1</v>
      </c>
      <c r="S446" s="22" t="s">
        <v>636</v>
      </c>
      <c r="T446" s="22">
        <v>2</v>
      </c>
      <c r="AE446">
        <f t="shared" si="42"/>
        <v>69011</v>
      </c>
    </row>
    <row r="447" spans="1:31">
      <c r="A447">
        <v>216</v>
      </c>
      <c r="B447" s="21">
        <v>437</v>
      </c>
      <c r="C447" s="22">
        <v>3993</v>
      </c>
      <c r="D447" s="22" t="s">
        <v>499</v>
      </c>
      <c r="E447" s="23" t="s">
        <v>15</v>
      </c>
      <c r="F447" s="24">
        <v>19750124</v>
      </c>
      <c r="G447" s="16">
        <f t="shared" si="43"/>
        <v>27418</v>
      </c>
      <c r="H447" s="2">
        <f t="shared" si="44"/>
        <v>46</v>
      </c>
      <c r="I447" s="17"/>
      <c r="J447" s="25">
        <v>20071128</v>
      </c>
      <c r="K447" s="16">
        <f t="shared" si="45"/>
        <v>39414</v>
      </c>
      <c r="L447" s="2">
        <f t="shared" si="46"/>
        <v>13</v>
      </c>
      <c r="M447" s="25"/>
      <c r="N447" s="26"/>
      <c r="O447" s="27" t="s">
        <v>35</v>
      </c>
      <c r="P447" s="70">
        <v>69011</v>
      </c>
      <c r="Q447" s="70" t="s">
        <v>489</v>
      </c>
      <c r="R447" s="22">
        <v>1</v>
      </c>
      <c r="S447" s="22" t="s">
        <v>636</v>
      </c>
      <c r="T447" s="22">
        <v>2</v>
      </c>
      <c r="AE447">
        <f t="shared" si="42"/>
        <v>69011</v>
      </c>
    </row>
    <row r="448" spans="1:31">
      <c r="A448">
        <v>217</v>
      </c>
      <c r="B448" s="21">
        <v>222</v>
      </c>
      <c r="C448" s="22">
        <v>3277</v>
      </c>
      <c r="D448" s="22" t="s">
        <v>500</v>
      </c>
      <c r="E448" s="23" t="s">
        <v>15</v>
      </c>
      <c r="F448" s="24">
        <v>19850524</v>
      </c>
      <c r="G448" s="16">
        <f t="shared" si="43"/>
        <v>31191</v>
      </c>
      <c r="H448" s="2">
        <f t="shared" si="44"/>
        <v>36</v>
      </c>
      <c r="I448" s="17"/>
      <c r="J448" s="25">
        <v>20080321</v>
      </c>
      <c r="K448" s="16">
        <f t="shared" si="45"/>
        <v>39528</v>
      </c>
      <c r="L448" s="2">
        <f t="shared" si="46"/>
        <v>13</v>
      </c>
      <c r="M448" s="25"/>
      <c r="N448" s="26"/>
      <c r="O448" s="27" t="s">
        <v>16</v>
      </c>
      <c r="P448" s="70">
        <v>69011</v>
      </c>
      <c r="Q448" s="70" t="s">
        <v>489</v>
      </c>
      <c r="R448" s="22">
        <v>1</v>
      </c>
      <c r="S448" s="22" t="s">
        <v>636</v>
      </c>
      <c r="T448" s="22">
        <v>2</v>
      </c>
      <c r="AE448">
        <f t="shared" si="42"/>
        <v>69011</v>
      </c>
    </row>
    <row r="449" spans="1:31">
      <c r="A449">
        <v>218</v>
      </c>
      <c r="B449" s="21">
        <v>23</v>
      </c>
      <c r="C449" s="22">
        <v>1349</v>
      </c>
      <c r="D449" s="22" t="s">
        <v>501</v>
      </c>
      <c r="E449" s="23" t="s">
        <v>15</v>
      </c>
      <c r="F449" s="24">
        <v>19740326</v>
      </c>
      <c r="G449" s="16">
        <f t="shared" si="43"/>
        <v>27114</v>
      </c>
      <c r="H449" s="2">
        <f t="shared" si="44"/>
        <v>47</v>
      </c>
      <c r="I449" s="17"/>
      <c r="J449" s="25">
        <v>20080331</v>
      </c>
      <c r="K449" s="16">
        <f t="shared" si="45"/>
        <v>39538</v>
      </c>
      <c r="L449" s="2">
        <f t="shared" si="46"/>
        <v>13</v>
      </c>
      <c r="M449" s="25"/>
      <c r="N449" s="26"/>
      <c r="O449" s="27" t="s">
        <v>16</v>
      </c>
      <c r="P449" s="70">
        <v>69011</v>
      </c>
      <c r="Q449" s="70" t="s">
        <v>489</v>
      </c>
      <c r="R449" s="22">
        <v>1</v>
      </c>
      <c r="S449" s="22" t="s">
        <v>636</v>
      </c>
      <c r="T449" s="22">
        <v>2</v>
      </c>
      <c r="AE449">
        <f t="shared" si="42"/>
        <v>69011</v>
      </c>
    </row>
    <row r="450" spans="1:31">
      <c r="A450">
        <v>219</v>
      </c>
      <c r="B450" s="21">
        <v>313</v>
      </c>
      <c r="C450" s="22">
        <v>3449</v>
      </c>
      <c r="D450" s="22" t="s">
        <v>502</v>
      </c>
      <c r="E450" s="23" t="s">
        <v>15</v>
      </c>
      <c r="F450" s="24">
        <v>19961128</v>
      </c>
      <c r="G450" s="16">
        <f t="shared" si="43"/>
        <v>35397</v>
      </c>
      <c r="H450" s="2">
        <f t="shared" si="44"/>
        <v>24</v>
      </c>
      <c r="I450" s="17"/>
      <c r="J450" s="25">
        <v>20150401</v>
      </c>
      <c r="K450" s="16">
        <f t="shared" si="45"/>
        <v>42095</v>
      </c>
      <c r="L450" s="2">
        <f t="shared" si="46"/>
        <v>6</v>
      </c>
      <c r="M450" s="25"/>
      <c r="N450" s="26"/>
      <c r="O450" s="27" t="s">
        <v>35</v>
      </c>
      <c r="P450" s="70">
        <v>69011</v>
      </c>
      <c r="Q450" s="70" t="s">
        <v>489</v>
      </c>
      <c r="R450" s="22">
        <v>1</v>
      </c>
      <c r="S450" s="22" t="s">
        <v>636</v>
      </c>
      <c r="T450" s="22">
        <v>2</v>
      </c>
      <c r="AE450">
        <f t="shared" si="42"/>
        <v>69011</v>
      </c>
    </row>
    <row r="451" spans="1:31">
      <c r="A451">
        <v>220</v>
      </c>
      <c r="B451" s="21">
        <v>349</v>
      </c>
      <c r="C451" s="22">
        <v>3497</v>
      </c>
      <c r="D451" s="22" t="s">
        <v>503</v>
      </c>
      <c r="E451" s="23" t="s">
        <v>15</v>
      </c>
      <c r="F451" s="24">
        <v>19991112</v>
      </c>
      <c r="G451" s="16">
        <f t="shared" si="43"/>
        <v>36476</v>
      </c>
      <c r="H451" s="2">
        <f t="shared" si="44"/>
        <v>21</v>
      </c>
      <c r="I451" s="17"/>
      <c r="J451" s="25">
        <v>20180402</v>
      </c>
      <c r="K451" s="16">
        <f t="shared" si="45"/>
        <v>43192</v>
      </c>
      <c r="L451" s="2">
        <f t="shared" si="46"/>
        <v>3</v>
      </c>
      <c r="M451" s="25"/>
      <c r="N451" s="26"/>
      <c r="O451" s="27">
        <v>6</v>
      </c>
      <c r="P451" s="70">
        <v>69011</v>
      </c>
      <c r="Q451" s="70" t="s">
        <v>489</v>
      </c>
      <c r="R451" s="22">
        <v>1</v>
      </c>
      <c r="S451" s="22" t="s">
        <v>636</v>
      </c>
      <c r="T451" s="22">
        <v>2</v>
      </c>
      <c r="AE451">
        <f t="shared" si="42"/>
        <v>69011</v>
      </c>
    </row>
    <row r="452" spans="1:31">
      <c r="A452">
        <v>221</v>
      </c>
      <c r="B452" s="21">
        <v>369</v>
      </c>
      <c r="C452" s="22">
        <v>3522</v>
      </c>
      <c r="D452" s="22" t="s">
        <v>504</v>
      </c>
      <c r="E452" s="23" t="s">
        <v>635</v>
      </c>
      <c r="F452" s="24">
        <v>20010904</v>
      </c>
      <c r="G452" s="16">
        <f t="shared" si="43"/>
        <v>37138</v>
      </c>
      <c r="H452" s="2">
        <f t="shared" si="44"/>
        <v>19</v>
      </c>
      <c r="I452" s="17"/>
      <c r="J452" s="25">
        <v>20200401</v>
      </c>
      <c r="K452" s="16">
        <f t="shared" si="45"/>
        <v>43922</v>
      </c>
      <c r="L452" s="2">
        <f t="shared" si="46"/>
        <v>1</v>
      </c>
      <c r="M452" s="25"/>
      <c r="N452" s="26"/>
      <c r="O452" s="27">
        <v>6</v>
      </c>
      <c r="P452" s="70">
        <v>69011</v>
      </c>
      <c r="Q452" s="70" t="s">
        <v>489</v>
      </c>
      <c r="R452" s="22">
        <v>1</v>
      </c>
      <c r="S452" s="22" t="s">
        <v>636</v>
      </c>
      <c r="T452" s="22">
        <v>2</v>
      </c>
      <c r="AE452">
        <f t="shared" si="42"/>
        <v>69011</v>
      </c>
    </row>
    <row r="453" spans="1:31">
      <c r="A453">
        <v>222</v>
      </c>
      <c r="B453" s="21">
        <v>439</v>
      </c>
      <c r="C453" s="22">
        <v>3997</v>
      </c>
      <c r="D453" s="22" t="s">
        <v>505</v>
      </c>
      <c r="E453" s="23" t="s">
        <v>15</v>
      </c>
      <c r="F453" s="24">
        <v>19761104</v>
      </c>
      <c r="G453" s="16">
        <f t="shared" si="43"/>
        <v>28068</v>
      </c>
      <c r="H453" s="2">
        <f t="shared" si="44"/>
        <v>44</v>
      </c>
      <c r="I453" s="17"/>
      <c r="J453" s="25">
        <v>20080321</v>
      </c>
      <c r="K453" s="16">
        <f t="shared" si="45"/>
        <v>39528</v>
      </c>
      <c r="L453" s="2">
        <f t="shared" si="46"/>
        <v>13</v>
      </c>
      <c r="M453" s="25"/>
      <c r="N453" s="26"/>
      <c r="O453" s="27" t="s">
        <v>35</v>
      </c>
      <c r="P453" s="70">
        <v>69111</v>
      </c>
      <c r="Q453" s="70" t="s">
        <v>506</v>
      </c>
      <c r="R453" s="22">
        <v>1</v>
      </c>
      <c r="S453" s="22" t="s">
        <v>636</v>
      </c>
      <c r="T453" s="22">
        <v>2</v>
      </c>
      <c r="AE453">
        <f t="shared" si="42"/>
        <v>69111</v>
      </c>
    </row>
    <row r="454" spans="1:31">
      <c r="A454">
        <v>223</v>
      </c>
      <c r="B454" s="21">
        <v>448</v>
      </c>
      <c r="C454" s="22">
        <v>5064</v>
      </c>
      <c r="D454" s="22" t="s">
        <v>507</v>
      </c>
      <c r="E454" s="23" t="s">
        <v>15</v>
      </c>
      <c r="F454" s="24">
        <v>19670301</v>
      </c>
      <c r="G454" s="16">
        <f t="shared" si="43"/>
        <v>24532</v>
      </c>
      <c r="H454" s="2">
        <f t="shared" si="44"/>
        <v>54</v>
      </c>
      <c r="I454" s="17"/>
      <c r="J454" s="25">
        <v>19820325</v>
      </c>
      <c r="K454" s="16">
        <f t="shared" si="45"/>
        <v>30035</v>
      </c>
      <c r="L454" s="2">
        <f t="shared" si="46"/>
        <v>39</v>
      </c>
      <c r="M454" s="25"/>
      <c r="N454" s="26"/>
      <c r="O454" s="27" t="s">
        <v>77</v>
      </c>
      <c r="P454" s="70">
        <v>61300</v>
      </c>
      <c r="Q454" s="70" t="s">
        <v>162</v>
      </c>
      <c r="R454" s="22">
        <v>0</v>
      </c>
      <c r="S454" s="22"/>
      <c r="T454" s="22">
        <v>1</v>
      </c>
      <c r="AE454">
        <f t="shared" ref="AE454:AE517" si="47">ROUNDDOWN(P454*1,0)</f>
        <v>61300</v>
      </c>
    </row>
    <row r="455" spans="1:31">
      <c r="A455">
        <v>224</v>
      </c>
      <c r="B455" s="21">
        <v>48</v>
      </c>
      <c r="C455" s="22">
        <v>1393</v>
      </c>
      <c r="D455" s="22" t="s">
        <v>509</v>
      </c>
      <c r="E455" s="23" t="s">
        <v>15</v>
      </c>
      <c r="F455" s="24">
        <v>19851120</v>
      </c>
      <c r="G455" s="16">
        <f t="shared" si="43"/>
        <v>31371</v>
      </c>
      <c r="H455" s="2">
        <f t="shared" si="44"/>
        <v>35</v>
      </c>
      <c r="I455" s="17"/>
      <c r="J455" s="25">
        <v>20150201</v>
      </c>
      <c r="K455" s="16">
        <f t="shared" si="45"/>
        <v>42036</v>
      </c>
      <c r="L455" s="2">
        <f t="shared" si="46"/>
        <v>6</v>
      </c>
      <c r="M455" s="25"/>
      <c r="N455" s="26"/>
      <c r="O455" s="27" t="s">
        <v>16</v>
      </c>
      <c r="P455" s="70">
        <v>69211</v>
      </c>
      <c r="Q455" s="70" t="s">
        <v>508</v>
      </c>
      <c r="R455" s="22">
        <v>1</v>
      </c>
      <c r="S455" s="22" t="s">
        <v>636</v>
      </c>
      <c r="T455" s="22">
        <v>1</v>
      </c>
      <c r="AE455">
        <f t="shared" si="47"/>
        <v>69211</v>
      </c>
    </row>
    <row r="456" spans="1:31">
      <c r="A456">
        <v>225</v>
      </c>
      <c r="B456" s="21">
        <v>382</v>
      </c>
      <c r="C456" s="22">
        <v>3861</v>
      </c>
      <c r="D456" s="22" t="s">
        <v>510</v>
      </c>
      <c r="E456" s="23" t="s">
        <v>15</v>
      </c>
      <c r="F456" s="24">
        <v>19621024</v>
      </c>
      <c r="G456" s="16">
        <f t="shared" si="43"/>
        <v>22943</v>
      </c>
      <c r="H456" s="2">
        <f t="shared" si="44"/>
        <v>58</v>
      </c>
      <c r="I456" s="17"/>
      <c r="J456" s="25">
        <v>19810309</v>
      </c>
      <c r="K456" s="16">
        <f t="shared" si="45"/>
        <v>29654</v>
      </c>
      <c r="L456" s="2">
        <f t="shared" si="46"/>
        <v>40</v>
      </c>
      <c r="M456" s="25"/>
      <c r="N456" s="26"/>
      <c r="O456" s="27" t="s">
        <v>35</v>
      </c>
      <c r="P456" s="70">
        <v>69211</v>
      </c>
      <c r="Q456" s="70" t="s">
        <v>508</v>
      </c>
      <c r="R456" s="22">
        <v>1</v>
      </c>
      <c r="S456" s="22" t="s">
        <v>636</v>
      </c>
      <c r="T456" s="22">
        <v>2</v>
      </c>
      <c r="AE456">
        <f t="shared" si="47"/>
        <v>69211</v>
      </c>
    </row>
    <row r="457" spans="1:31">
      <c r="A457">
        <v>226</v>
      </c>
      <c r="B457" s="21">
        <v>431</v>
      </c>
      <c r="C457" s="22">
        <v>3986</v>
      </c>
      <c r="D457" s="22" t="s">
        <v>511</v>
      </c>
      <c r="E457" s="23" t="s">
        <v>15</v>
      </c>
      <c r="F457" s="24">
        <v>19680302</v>
      </c>
      <c r="G457" s="16">
        <f t="shared" si="43"/>
        <v>24899</v>
      </c>
      <c r="H457" s="2">
        <f t="shared" si="44"/>
        <v>53</v>
      </c>
      <c r="I457" s="17"/>
      <c r="J457" s="25">
        <v>20071021</v>
      </c>
      <c r="K457" s="16">
        <f t="shared" si="45"/>
        <v>39376</v>
      </c>
      <c r="L457" s="2">
        <f t="shared" si="46"/>
        <v>13</v>
      </c>
      <c r="M457" s="25"/>
      <c r="N457" s="26"/>
      <c r="O457" s="27" t="s">
        <v>35</v>
      </c>
      <c r="P457" s="70">
        <v>69211</v>
      </c>
      <c r="Q457" s="70" t="s">
        <v>508</v>
      </c>
      <c r="R457" s="22">
        <v>1</v>
      </c>
      <c r="S457" s="22" t="s">
        <v>636</v>
      </c>
      <c r="T457" s="22">
        <v>2</v>
      </c>
      <c r="AE457">
        <f t="shared" si="47"/>
        <v>69211</v>
      </c>
    </row>
    <row r="458" spans="1:31">
      <c r="A458">
        <v>227</v>
      </c>
      <c r="B458" s="21">
        <v>325</v>
      </c>
      <c r="C458" s="22">
        <v>3464</v>
      </c>
      <c r="D458" s="22" t="s">
        <v>512</v>
      </c>
      <c r="E458" s="23" t="s">
        <v>15</v>
      </c>
      <c r="F458" s="24">
        <v>19970726</v>
      </c>
      <c r="G458" s="16">
        <f t="shared" si="43"/>
        <v>35637</v>
      </c>
      <c r="H458" s="2">
        <f t="shared" si="44"/>
        <v>24</v>
      </c>
      <c r="I458" s="17"/>
      <c r="J458" s="25">
        <v>20160401</v>
      </c>
      <c r="K458" s="16">
        <f t="shared" si="45"/>
        <v>42461</v>
      </c>
      <c r="L458" s="2">
        <f t="shared" si="46"/>
        <v>5</v>
      </c>
      <c r="M458" s="25"/>
      <c r="N458" s="26"/>
      <c r="O458" s="27" t="s">
        <v>35</v>
      </c>
      <c r="P458" s="70">
        <v>69211</v>
      </c>
      <c r="Q458" s="70" t="s">
        <v>508</v>
      </c>
      <c r="R458" s="22">
        <v>1</v>
      </c>
      <c r="S458" s="22" t="s">
        <v>636</v>
      </c>
      <c r="T458" s="22">
        <v>2</v>
      </c>
      <c r="AE458">
        <f t="shared" si="47"/>
        <v>69211</v>
      </c>
    </row>
    <row r="459" spans="1:31">
      <c r="B459" s="21"/>
      <c r="C459" s="22"/>
      <c r="D459" s="22"/>
      <c r="E459" s="23"/>
      <c r="F459" s="24"/>
      <c r="G459" s="16"/>
      <c r="H459" s="2"/>
      <c r="I459" s="17"/>
      <c r="J459" s="25"/>
      <c r="K459" s="16"/>
      <c r="M459" s="25"/>
      <c r="N459" s="26"/>
      <c r="O459" s="27"/>
      <c r="P459" s="71"/>
      <c r="Q459" s="28"/>
      <c r="R459" s="22"/>
      <c r="S459" s="22"/>
      <c r="T459" s="22"/>
      <c r="AE459">
        <f t="shared" si="47"/>
        <v>0</v>
      </c>
    </row>
    <row r="460" spans="1:31">
      <c r="B460" s="21"/>
      <c r="C460" s="22"/>
      <c r="D460" s="22"/>
      <c r="E460" s="23"/>
      <c r="F460" s="24"/>
      <c r="G460" s="16"/>
      <c r="H460" s="2">
        <f>SUM(H232:H459)</f>
        <v>9110</v>
      </c>
      <c r="I460" s="17">
        <f>H460/$A$458</f>
        <v>40.132158590308372</v>
      </c>
      <c r="J460" s="25"/>
      <c r="K460" s="16"/>
      <c r="L460" s="2">
        <f>SUM(L232:L459)</f>
        <v>4092</v>
      </c>
      <c r="M460" s="17">
        <f>L460/$A$458</f>
        <v>18.026431718061673</v>
      </c>
      <c r="N460" s="26"/>
      <c r="O460" s="27"/>
      <c r="P460" s="71"/>
      <c r="Q460" s="28"/>
      <c r="R460" s="22"/>
      <c r="S460" s="22"/>
      <c r="T460" s="22"/>
      <c r="AE460">
        <f t="shared" si="47"/>
        <v>0</v>
      </c>
    </row>
    <row r="461" spans="1:31">
      <c r="B461" s="21"/>
      <c r="C461" s="22"/>
      <c r="D461" s="22"/>
      <c r="E461" s="23"/>
      <c r="F461" s="24"/>
      <c r="G461" s="16"/>
      <c r="H461" s="2"/>
      <c r="I461" s="17"/>
      <c r="J461" s="25"/>
      <c r="K461" s="16"/>
      <c r="M461" s="25"/>
      <c r="N461" s="26"/>
      <c r="O461" s="27"/>
      <c r="P461" s="71"/>
      <c r="Q461" s="28"/>
      <c r="R461" s="22"/>
      <c r="S461" s="22"/>
      <c r="T461" s="22"/>
      <c r="AE461">
        <f t="shared" si="47"/>
        <v>0</v>
      </c>
    </row>
    <row r="462" spans="1:31">
      <c r="B462" s="21"/>
      <c r="C462" s="22"/>
      <c r="D462" s="22"/>
      <c r="E462" s="23"/>
      <c r="F462" s="24"/>
      <c r="G462" s="16"/>
      <c r="H462" s="2"/>
      <c r="I462" s="17"/>
      <c r="J462" s="25"/>
      <c r="K462" s="16"/>
      <c r="M462" s="25"/>
      <c r="N462" s="26"/>
      <c r="O462" s="27"/>
      <c r="P462" s="71"/>
      <c r="Q462" s="28"/>
      <c r="R462" s="22"/>
      <c r="S462" s="22"/>
      <c r="T462" s="22"/>
      <c r="AE462">
        <f t="shared" si="47"/>
        <v>0</v>
      </c>
    </row>
    <row r="463" spans="1:31">
      <c r="B463" s="21"/>
      <c r="C463" s="22"/>
      <c r="D463" s="22"/>
      <c r="E463" s="23"/>
      <c r="F463" s="24"/>
      <c r="G463" s="16"/>
      <c r="H463" s="2"/>
      <c r="I463" s="17"/>
      <c r="J463" s="25"/>
      <c r="K463" s="16"/>
      <c r="M463" s="25"/>
      <c r="N463" s="26"/>
      <c r="O463" s="27"/>
      <c r="P463" s="71"/>
      <c r="Q463" s="28"/>
      <c r="R463" s="22"/>
      <c r="S463" s="22"/>
      <c r="T463" s="22"/>
      <c r="AE463">
        <f t="shared" si="47"/>
        <v>0</v>
      </c>
    </row>
    <row r="464" spans="1:31">
      <c r="B464" s="21"/>
      <c r="C464" s="22"/>
      <c r="D464" s="22"/>
      <c r="E464" s="23"/>
      <c r="F464" s="24"/>
      <c r="G464" s="16"/>
      <c r="H464" s="2"/>
      <c r="I464" s="17"/>
      <c r="J464" s="25"/>
      <c r="K464" s="16"/>
      <c r="M464" s="25"/>
      <c r="N464" s="26"/>
      <c r="O464" s="27"/>
      <c r="P464" s="71"/>
      <c r="Q464" s="28"/>
      <c r="R464" s="22"/>
      <c r="S464" s="22"/>
      <c r="T464" s="22"/>
      <c r="AE464">
        <f t="shared" si="47"/>
        <v>0</v>
      </c>
    </row>
    <row r="465" spans="1:31">
      <c r="A465">
        <v>1</v>
      </c>
      <c r="B465" s="21">
        <v>356</v>
      </c>
      <c r="C465" s="22">
        <v>3505</v>
      </c>
      <c r="D465" s="22" t="s">
        <v>513</v>
      </c>
      <c r="E465" s="23" t="s">
        <v>34</v>
      </c>
      <c r="F465" s="24">
        <v>20000510</v>
      </c>
      <c r="G465" s="16">
        <f t="shared" ref="G465:G481" si="48">DATE(INT(F465/10000),INT(MOD(F465,10000)/100),MOD(F465,100))</f>
        <v>36656</v>
      </c>
      <c r="H465" s="2">
        <f t="shared" ref="H465:H481" si="49">DATEDIF(G465,$G$4,"Y")</f>
        <v>21</v>
      </c>
      <c r="I465" s="17"/>
      <c r="J465" s="25">
        <v>20190401</v>
      </c>
      <c r="K465" s="16">
        <f t="shared" ref="K465:K481" si="50">DATE(INT(J465/10000),INT(MOD(J465,10000)/100),MOD(J465,100))</f>
        <v>43556</v>
      </c>
      <c r="L465" s="2">
        <f t="shared" ref="L465:L481" si="51">DATEDIF(K465,$G$4,"Y")</f>
        <v>2</v>
      </c>
      <c r="M465" s="25"/>
      <c r="N465" s="26"/>
      <c r="O465" s="27">
        <v>6</v>
      </c>
      <c r="P465" s="70">
        <v>42411</v>
      </c>
      <c r="Q465" s="70" t="s">
        <v>339</v>
      </c>
      <c r="R465" s="22">
        <v>1</v>
      </c>
      <c r="S465" s="22" t="s">
        <v>636</v>
      </c>
      <c r="T465" s="22">
        <v>2</v>
      </c>
      <c r="AE465">
        <f t="shared" si="47"/>
        <v>42411</v>
      </c>
    </row>
    <row r="466" spans="1:31">
      <c r="A466">
        <v>2</v>
      </c>
      <c r="B466" s="21">
        <v>394</v>
      </c>
      <c r="C466" s="22">
        <v>3890</v>
      </c>
      <c r="D466" s="22" t="s">
        <v>514</v>
      </c>
      <c r="E466" s="23" t="s">
        <v>34</v>
      </c>
      <c r="F466" s="24">
        <v>19740910</v>
      </c>
      <c r="G466" s="16">
        <f t="shared" si="48"/>
        <v>27282</v>
      </c>
      <c r="H466" s="2">
        <f t="shared" si="49"/>
        <v>46</v>
      </c>
      <c r="I466" s="17"/>
      <c r="J466" s="25">
        <v>19941021</v>
      </c>
      <c r="K466" s="16">
        <f t="shared" si="50"/>
        <v>34628</v>
      </c>
      <c r="L466" s="2">
        <f t="shared" si="51"/>
        <v>26</v>
      </c>
      <c r="M466" s="25"/>
      <c r="N466" s="26"/>
      <c r="O466" s="27" t="s">
        <v>35</v>
      </c>
      <c r="P466" s="70">
        <v>43211</v>
      </c>
      <c r="Q466" s="70" t="s">
        <v>364</v>
      </c>
      <c r="R466" s="22">
        <v>1</v>
      </c>
      <c r="S466" s="22" t="s">
        <v>636</v>
      </c>
      <c r="T466" s="22">
        <v>2</v>
      </c>
      <c r="AE466">
        <f t="shared" si="47"/>
        <v>43211</v>
      </c>
    </row>
    <row r="467" spans="1:31">
      <c r="A467">
        <v>3</v>
      </c>
      <c r="B467" s="21">
        <v>162</v>
      </c>
      <c r="C467" s="22">
        <v>3117</v>
      </c>
      <c r="D467" s="22" t="s">
        <v>515</v>
      </c>
      <c r="E467" s="23" t="s">
        <v>34</v>
      </c>
      <c r="F467" s="24">
        <v>19780329</v>
      </c>
      <c r="G467" s="16">
        <f t="shared" si="48"/>
        <v>28578</v>
      </c>
      <c r="H467" s="2">
        <f t="shared" si="49"/>
        <v>43</v>
      </c>
      <c r="I467" s="17"/>
      <c r="J467" s="25">
        <v>19960321</v>
      </c>
      <c r="K467" s="16">
        <f t="shared" si="50"/>
        <v>35145</v>
      </c>
      <c r="L467" s="2">
        <f t="shared" si="51"/>
        <v>25</v>
      </c>
      <c r="M467" s="25"/>
      <c r="N467" s="26"/>
      <c r="O467" s="27" t="s">
        <v>35</v>
      </c>
      <c r="P467" s="70">
        <v>43211</v>
      </c>
      <c r="Q467" s="70" t="s">
        <v>364</v>
      </c>
      <c r="R467" s="22">
        <v>1</v>
      </c>
      <c r="S467" s="22" t="s">
        <v>636</v>
      </c>
      <c r="T467" s="22">
        <v>2</v>
      </c>
      <c r="AE467">
        <f t="shared" si="47"/>
        <v>43211</v>
      </c>
    </row>
    <row r="468" spans="1:31">
      <c r="A468">
        <v>4</v>
      </c>
      <c r="B468" s="21">
        <v>396</v>
      </c>
      <c r="C468" s="22">
        <v>3892</v>
      </c>
      <c r="D468" s="22" t="s">
        <v>516</v>
      </c>
      <c r="E468" s="23" t="s">
        <v>34</v>
      </c>
      <c r="F468" s="24">
        <v>19820817</v>
      </c>
      <c r="G468" s="16">
        <f t="shared" si="48"/>
        <v>30180</v>
      </c>
      <c r="H468" s="2">
        <f t="shared" si="49"/>
        <v>38</v>
      </c>
      <c r="I468" s="17"/>
      <c r="J468" s="25">
        <v>20010321</v>
      </c>
      <c r="K468" s="16">
        <f t="shared" si="50"/>
        <v>36971</v>
      </c>
      <c r="L468" s="2">
        <f t="shared" si="51"/>
        <v>20</v>
      </c>
      <c r="M468" s="25"/>
      <c r="N468" s="26"/>
      <c r="O468" s="27" t="s">
        <v>35</v>
      </c>
      <c r="P468" s="70">
        <v>43211</v>
      </c>
      <c r="Q468" s="70" t="s">
        <v>364</v>
      </c>
      <c r="R468" s="22">
        <v>1</v>
      </c>
      <c r="S468" s="22" t="s">
        <v>636</v>
      </c>
      <c r="T468" s="22">
        <v>2</v>
      </c>
      <c r="AE468">
        <f t="shared" si="47"/>
        <v>43211</v>
      </c>
    </row>
    <row r="469" spans="1:31">
      <c r="A469">
        <v>5</v>
      </c>
      <c r="B469" s="21">
        <v>230</v>
      </c>
      <c r="C469" s="22">
        <v>3301</v>
      </c>
      <c r="D469" s="22" t="s">
        <v>517</v>
      </c>
      <c r="E469" s="23" t="s">
        <v>34</v>
      </c>
      <c r="F469" s="24">
        <v>19890908</v>
      </c>
      <c r="G469" s="16">
        <f t="shared" si="48"/>
        <v>32759</v>
      </c>
      <c r="H469" s="2">
        <f t="shared" si="49"/>
        <v>31</v>
      </c>
      <c r="I469" s="17"/>
      <c r="J469" s="25">
        <v>20080321</v>
      </c>
      <c r="K469" s="16">
        <f t="shared" si="50"/>
        <v>39528</v>
      </c>
      <c r="L469" s="2">
        <f t="shared" si="51"/>
        <v>13</v>
      </c>
      <c r="M469" s="25"/>
      <c r="N469" s="26"/>
      <c r="O469" s="27" t="s">
        <v>35</v>
      </c>
      <c r="P469" s="70">
        <v>43211</v>
      </c>
      <c r="Q469" s="70" t="s">
        <v>364</v>
      </c>
      <c r="R469" s="22">
        <v>1</v>
      </c>
      <c r="S469" s="22" t="s">
        <v>636</v>
      </c>
      <c r="T469" s="22">
        <v>2</v>
      </c>
      <c r="AE469">
        <f t="shared" si="47"/>
        <v>43211</v>
      </c>
    </row>
    <row r="470" spans="1:31">
      <c r="A470">
        <v>6</v>
      </c>
      <c r="B470" s="21">
        <v>241</v>
      </c>
      <c r="C470" s="22">
        <v>3325</v>
      </c>
      <c r="D470" s="22" t="s">
        <v>518</v>
      </c>
      <c r="E470" s="23" t="s">
        <v>34</v>
      </c>
      <c r="F470" s="24">
        <v>19910722</v>
      </c>
      <c r="G470" s="16">
        <f t="shared" si="48"/>
        <v>33441</v>
      </c>
      <c r="H470" s="2">
        <f t="shared" si="49"/>
        <v>30</v>
      </c>
      <c r="I470" s="17"/>
      <c r="J470" s="25">
        <v>20100321</v>
      </c>
      <c r="K470" s="16">
        <f t="shared" si="50"/>
        <v>40258</v>
      </c>
      <c r="L470" s="2">
        <f t="shared" si="51"/>
        <v>11</v>
      </c>
      <c r="M470" s="25"/>
      <c r="N470" s="26"/>
      <c r="O470" s="27" t="s">
        <v>35</v>
      </c>
      <c r="P470" s="70">
        <v>43211</v>
      </c>
      <c r="Q470" s="70" t="s">
        <v>364</v>
      </c>
      <c r="R470" s="22">
        <v>1</v>
      </c>
      <c r="S470" s="22" t="s">
        <v>636</v>
      </c>
      <c r="T470" s="22">
        <v>2</v>
      </c>
      <c r="AE470">
        <f t="shared" si="47"/>
        <v>43211</v>
      </c>
    </row>
    <row r="471" spans="1:31">
      <c r="A471">
        <v>7</v>
      </c>
      <c r="B471" s="21">
        <v>324</v>
      </c>
      <c r="C471" s="22">
        <v>3462</v>
      </c>
      <c r="D471" s="22" t="s">
        <v>519</v>
      </c>
      <c r="E471" s="23" t="s">
        <v>34</v>
      </c>
      <c r="F471" s="24">
        <v>19970918</v>
      </c>
      <c r="G471" s="16">
        <f t="shared" si="48"/>
        <v>35691</v>
      </c>
      <c r="H471" s="2">
        <f t="shared" si="49"/>
        <v>23</v>
      </c>
      <c r="I471" s="17"/>
      <c r="J471" s="25">
        <v>20160401</v>
      </c>
      <c r="K471" s="16">
        <f t="shared" si="50"/>
        <v>42461</v>
      </c>
      <c r="L471" s="2">
        <f t="shared" si="51"/>
        <v>5</v>
      </c>
      <c r="M471" s="25"/>
      <c r="N471" s="26"/>
      <c r="O471" s="27" t="s">
        <v>35</v>
      </c>
      <c r="P471" s="70">
        <v>43211</v>
      </c>
      <c r="Q471" s="70" t="s">
        <v>364</v>
      </c>
      <c r="R471" s="22">
        <v>1</v>
      </c>
      <c r="S471" s="22" t="s">
        <v>636</v>
      </c>
      <c r="T471" s="22">
        <v>2</v>
      </c>
      <c r="AE471">
        <f t="shared" si="47"/>
        <v>43211</v>
      </c>
    </row>
    <row r="472" spans="1:31">
      <c r="A472">
        <v>8</v>
      </c>
      <c r="B472" s="21">
        <v>336</v>
      </c>
      <c r="C472" s="22">
        <v>3481</v>
      </c>
      <c r="D472" s="22" t="s">
        <v>520</v>
      </c>
      <c r="E472" s="23" t="s">
        <v>34</v>
      </c>
      <c r="F472" s="24">
        <v>19990103</v>
      </c>
      <c r="G472" s="16">
        <f t="shared" si="48"/>
        <v>36163</v>
      </c>
      <c r="H472" s="2">
        <f t="shared" si="49"/>
        <v>22</v>
      </c>
      <c r="I472" s="17"/>
      <c r="J472" s="25">
        <v>20170403</v>
      </c>
      <c r="K472" s="16">
        <f t="shared" si="50"/>
        <v>42828</v>
      </c>
      <c r="L472" s="2">
        <f t="shared" si="51"/>
        <v>4</v>
      </c>
      <c r="M472" s="25"/>
      <c r="N472" s="26"/>
      <c r="O472" s="27">
        <v>6</v>
      </c>
      <c r="P472" s="70">
        <v>43211</v>
      </c>
      <c r="Q472" s="70" t="s">
        <v>364</v>
      </c>
      <c r="R472" s="22">
        <v>1</v>
      </c>
      <c r="S472" s="22" t="s">
        <v>636</v>
      </c>
      <c r="T472" s="22">
        <v>2</v>
      </c>
      <c r="AE472">
        <f t="shared" si="47"/>
        <v>43211</v>
      </c>
    </row>
    <row r="473" spans="1:31">
      <c r="A473">
        <v>9</v>
      </c>
      <c r="B473" s="21">
        <v>22</v>
      </c>
      <c r="C473" s="22">
        <v>1348</v>
      </c>
      <c r="D473" s="22" t="s">
        <v>521</v>
      </c>
      <c r="E473" s="23" t="s">
        <v>34</v>
      </c>
      <c r="F473" s="24">
        <v>19870922</v>
      </c>
      <c r="G473" s="16">
        <f t="shared" si="48"/>
        <v>32042</v>
      </c>
      <c r="H473" s="2">
        <f t="shared" si="49"/>
        <v>33</v>
      </c>
      <c r="I473" s="17"/>
      <c r="J473" s="25">
        <v>20080321</v>
      </c>
      <c r="K473" s="16">
        <f t="shared" si="50"/>
        <v>39528</v>
      </c>
      <c r="L473" s="2">
        <f t="shared" si="51"/>
        <v>13</v>
      </c>
      <c r="M473" s="25"/>
      <c r="N473" s="26"/>
      <c r="O473" s="27" t="s">
        <v>35</v>
      </c>
      <c r="P473" s="70">
        <v>64111</v>
      </c>
      <c r="Q473" s="70" t="s">
        <v>422</v>
      </c>
      <c r="R473" s="22">
        <v>1</v>
      </c>
      <c r="S473" s="22" t="s">
        <v>636</v>
      </c>
      <c r="T473" s="22">
        <v>2</v>
      </c>
      <c r="AE473">
        <f t="shared" si="47"/>
        <v>64111</v>
      </c>
    </row>
    <row r="474" spans="1:31">
      <c r="A474">
        <v>10</v>
      </c>
      <c r="B474" s="21">
        <v>414</v>
      </c>
      <c r="C474" s="22">
        <v>3951</v>
      </c>
      <c r="D474" s="22" t="s">
        <v>522</v>
      </c>
      <c r="E474" s="23" t="s">
        <v>34</v>
      </c>
      <c r="F474" s="24">
        <v>19761220</v>
      </c>
      <c r="G474" s="16">
        <f t="shared" si="48"/>
        <v>28114</v>
      </c>
      <c r="H474" s="2">
        <f t="shared" si="49"/>
        <v>44</v>
      </c>
      <c r="I474" s="17"/>
      <c r="J474" s="25">
        <v>20060221</v>
      </c>
      <c r="K474" s="16">
        <f t="shared" si="50"/>
        <v>38769</v>
      </c>
      <c r="L474" s="2">
        <f t="shared" si="51"/>
        <v>15</v>
      </c>
      <c r="M474" s="25"/>
      <c r="N474" s="26"/>
      <c r="O474" s="27" t="s">
        <v>19</v>
      </c>
      <c r="P474" s="70">
        <v>64211</v>
      </c>
      <c r="Q474" s="70" t="s">
        <v>429</v>
      </c>
      <c r="R474" s="22">
        <v>1</v>
      </c>
      <c r="S474" s="22" t="s">
        <v>636</v>
      </c>
      <c r="T474" s="22">
        <v>1</v>
      </c>
      <c r="AE474">
        <f t="shared" si="47"/>
        <v>64211</v>
      </c>
    </row>
    <row r="475" spans="1:31">
      <c r="A475">
        <v>11</v>
      </c>
      <c r="B475" s="21">
        <v>314</v>
      </c>
      <c r="C475" s="22">
        <v>3450</v>
      </c>
      <c r="D475" s="22" t="s">
        <v>523</v>
      </c>
      <c r="E475" s="23" t="s">
        <v>34</v>
      </c>
      <c r="F475" s="24">
        <v>19960920</v>
      </c>
      <c r="G475" s="16">
        <f t="shared" si="48"/>
        <v>35328</v>
      </c>
      <c r="H475" s="2">
        <f t="shared" si="49"/>
        <v>24</v>
      </c>
      <c r="I475" s="17"/>
      <c r="J475" s="25">
        <v>20150401</v>
      </c>
      <c r="K475" s="16">
        <f t="shared" si="50"/>
        <v>42095</v>
      </c>
      <c r="L475" s="2">
        <f t="shared" si="51"/>
        <v>6</v>
      </c>
      <c r="M475" s="25"/>
      <c r="N475" s="26"/>
      <c r="O475" s="27" t="s">
        <v>35</v>
      </c>
      <c r="P475" s="70">
        <v>65011</v>
      </c>
      <c r="Q475" s="70" t="s">
        <v>433</v>
      </c>
      <c r="R475" s="22">
        <v>1</v>
      </c>
      <c r="S475" s="22" t="s">
        <v>636</v>
      </c>
      <c r="T475" s="22">
        <v>2</v>
      </c>
      <c r="AE475">
        <f t="shared" si="47"/>
        <v>65011</v>
      </c>
    </row>
    <row r="476" spans="1:31">
      <c r="A476">
        <v>12</v>
      </c>
      <c r="B476" s="21">
        <v>21</v>
      </c>
      <c r="C476" s="22">
        <v>1346</v>
      </c>
      <c r="D476" s="22" t="s">
        <v>524</v>
      </c>
      <c r="E476" s="23" t="s">
        <v>34</v>
      </c>
      <c r="F476" s="24">
        <v>19890318</v>
      </c>
      <c r="G476" s="16">
        <f t="shared" si="48"/>
        <v>32585</v>
      </c>
      <c r="H476" s="2">
        <f t="shared" si="49"/>
        <v>32</v>
      </c>
      <c r="I476" s="17"/>
      <c r="J476" s="25">
        <v>20080321</v>
      </c>
      <c r="K476" s="16">
        <f t="shared" si="50"/>
        <v>39528</v>
      </c>
      <c r="L476" s="2">
        <f t="shared" si="51"/>
        <v>13</v>
      </c>
      <c r="M476" s="25"/>
      <c r="N476" s="26"/>
      <c r="O476" s="27" t="s">
        <v>35</v>
      </c>
      <c r="P476" s="70">
        <v>66011</v>
      </c>
      <c r="Q476" s="70" t="s">
        <v>449</v>
      </c>
      <c r="R476" s="22">
        <v>1</v>
      </c>
      <c r="S476" s="22" t="s">
        <v>636</v>
      </c>
      <c r="T476" s="22">
        <v>2</v>
      </c>
      <c r="AE476">
        <f t="shared" si="47"/>
        <v>66011</v>
      </c>
    </row>
    <row r="477" spans="1:31">
      <c r="A477">
        <v>13</v>
      </c>
      <c r="B477" s="21">
        <v>277</v>
      </c>
      <c r="C477" s="22">
        <v>3386</v>
      </c>
      <c r="D477" s="22" t="s">
        <v>525</v>
      </c>
      <c r="E477" s="23" t="s">
        <v>34</v>
      </c>
      <c r="F477" s="24">
        <v>19940104</v>
      </c>
      <c r="G477" s="16">
        <f t="shared" si="48"/>
        <v>34338</v>
      </c>
      <c r="H477" s="2">
        <f t="shared" si="49"/>
        <v>27</v>
      </c>
      <c r="I477" s="17"/>
      <c r="J477" s="25">
        <v>20120321</v>
      </c>
      <c r="K477" s="16">
        <f t="shared" si="50"/>
        <v>40989</v>
      </c>
      <c r="L477" s="2">
        <f t="shared" si="51"/>
        <v>9</v>
      </c>
      <c r="M477" s="25"/>
      <c r="N477" s="26"/>
      <c r="O477" s="27" t="s">
        <v>35</v>
      </c>
      <c r="P477" s="70">
        <v>66011</v>
      </c>
      <c r="Q477" s="70" t="s">
        <v>449</v>
      </c>
      <c r="R477" s="22">
        <v>1</v>
      </c>
      <c r="S477" s="22" t="s">
        <v>636</v>
      </c>
      <c r="T477" s="22">
        <v>2</v>
      </c>
      <c r="AE477">
        <f t="shared" si="47"/>
        <v>66011</v>
      </c>
    </row>
    <row r="478" spans="1:31">
      <c r="A478">
        <v>14</v>
      </c>
      <c r="B478" s="21">
        <v>286</v>
      </c>
      <c r="C478" s="22">
        <v>3406</v>
      </c>
      <c r="D478" s="22" t="s">
        <v>526</v>
      </c>
      <c r="E478" s="23" t="s">
        <v>34</v>
      </c>
      <c r="F478" s="24">
        <v>19950225</v>
      </c>
      <c r="G478" s="16">
        <f t="shared" si="48"/>
        <v>34755</v>
      </c>
      <c r="H478" s="2">
        <f t="shared" si="49"/>
        <v>26</v>
      </c>
      <c r="I478" s="17"/>
      <c r="J478" s="25">
        <v>20130321</v>
      </c>
      <c r="K478" s="16">
        <f t="shared" si="50"/>
        <v>41354</v>
      </c>
      <c r="L478" s="2">
        <f t="shared" si="51"/>
        <v>8</v>
      </c>
      <c r="M478" s="25"/>
      <c r="N478" s="26"/>
      <c r="O478" s="27" t="s">
        <v>35</v>
      </c>
      <c r="P478" s="70">
        <v>66011</v>
      </c>
      <c r="Q478" s="70" t="s">
        <v>449</v>
      </c>
      <c r="R478" s="22">
        <v>1</v>
      </c>
      <c r="S478" s="22" t="s">
        <v>636</v>
      </c>
      <c r="T478" s="22">
        <v>2</v>
      </c>
      <c r="AE478">
        <f t="shared" si="47"/>
        <v>66011</v>
      </c>
    </row>
    <row r="479" spans="1:31">
      <c r="A479">
        <v>15</v>
      </c>
      <c r="B479" s="21">
        <v>256</v>
      </c>
      <c r="C479" s="22">
        <v>3353</v>
      </c>
      <c r="D479" s="22" t="s">
        <v>527</v>
      </c>
      <c r="E479" s="23" t="s">
        <v>34</v>
      </c>
      <c r="F479" s="24">
        <v>19930317</v>
      </c>
      <c r="G479" s="16">
        <f t="shared" si="48"/>
        <v>34045</v>
      </c>
      <c r="H479" s="2">
        <f t="shared" si="49"/>
        <v>28</v>
      </c>
      <c r="I479" s="17"/>
      <c r="J479" s="25">
        <v>20110321</v>
      </c>
      <c r="K479" s="16">
        <f t="shared" si="50"/>
        <v>40623</v>
      </c>
      <c r="L479" s="2">
        <f t="shared" si="51"/>
        <v>10</v>
      </c>
      <c r="M479" s="25"/>
      <c r="N479" s="26"/>
      <c r="O479" s="27" t="s">
        <v>35</v>
      </c>
      <c r="P479" s="70">
        <v>68111</v>
      </c>
      <c r="Q479" s="70" t="s">
        <v>485</v>
      </c>
      <c r="R479" s="22">
        <v>1</v>
      </c>
      <c r="S479" s="22" t="s">
        <v>636</v>
      </c>
      <c r="T479" s="22">
        <v>2</v>
      </c>
      <c r="AE479">
        <f t="shared" si="47"/>
        <v>68111</v>
      </c>
    </row>
    <row r="480" spans="1:31">
      <c r="A480">
        <v>16</v>
      </c>
      <c r="B480" s="21">
        <v>276</v>
      </c>
      <c r="C480" s="22">
        <v>3385</v>
      </c>
      <c r="D480" s="22" t="s">
        <v>528</v>
      </c>
      <c r="E480" s="23" t="s">
        <v>34</v>
      </c>
      <c r="F480" s="24">
        <v>19930929</v>
      </c>
      <c r="G480" s="16">
        <f t="shared" si="48"/>
        <v>34241</v>
      </c>
      <c r="H480" s="2">
        <f t="shared" si="49"/>
        <v>27</v>
      </c>
      <c r="I480" s="17"/>
      <c r="J480" s="25">
        <v>20120321</v>
      </c>
      <c r="K480" s="16">
        <f t="shared" si="50"/>
        <v>40989</v>
      </c>
      <c r="L480" s="2">
        <f t="shared" si="51"/>
        <v>9</v>
      </c>
      <c r="M480" s="25"/>
      <c r="N480" s="26"/>
      <c r="O480" s="27" t="s">
        <v>35</v>
      </c>
      <c r="P480" s="70">
        <v>69011</v>
      </c>
      <c r="Q480" s="70" t="s">
        <v>489</v>
      </c>
      <c r="R480" s="22">
        <v>1</v>
      </c>
      <c r="S480" s="22" t="s">
        <v>636</v>
      </c>
      <c r="T480" s="22">
        <v>2</v>
      </c>
      <c r="AE480">
        <f t="shared" si="47"/>
        <v>69011</v>
      </c>
    </row>
    <row r="481" spans="1:31">
      <c r="A481">
        <v>17</v>
      </c>
      <c r="B481" s="21">
        <v>328</v>
      </c>
      <c r="C481" s="22">
        <v>3470</v>
      </c>
      <c r="D481" s="22" t="s">
        <v>529</v>
      </c>
      <c r="E481" s="23" t="s">
        <v>34</v>
      </c>
      <c r="F481" s="24">
        <v>19980223</v>
      </c>
      <c r="G481" s="16">
        <f t="shared" si="48"/>
        <v>35849</v>
      </c>
      <c r="H481" s="2">
        <f t="shared" si="49"/>
        <v>23</v>
      </c>
      <c r="I481" s="17"/>
      <c r="J481" s="25">
        <v>20160401</v>
      </c>
      <c r="K481" s="16">
        <f t="shared" si="50"/>
        <v>42461</v>
      </c>
      <c r="L481" s="2">
        <f t="shared" si="51"/>
        <v>5</v>
      </c>
      <c r="M481" s="25"/>
      <c r="N481" s="26"/>
      <c r="O481" s="27" t="s">
        <v>35</v>
      </c>
      <c r="P481" s="70">
        <v>69211</v>
      </c>
      <c r="Q481" s="70" t="s">
        <v>508</v>
      </c>
      <c r="R481" s="22">
        <v>1</v>
      </c>
      <c r="S481" s="22" t="s">
        <v>70</v>
      </c>
      <c r="T481" s="22">
        <v>2</v>
      </c>
      <c r="AE481">
        <f t="shared" si="47"/>
        <v>69211</v>
      </c>
    </row>
    <row r="482" spans="1:31">
      <c r="B482" s="21"/>
      <c r="C482" s="22"/>
      <c r="D482" s="22"/>
      <c r="E482" s="23"/>
      <c r="F482" s="24"/>
      <c r="G482" s="16"/>
      <c r="H482" s="2"/>
      <c r="I482" s="17"/>
      <c r="J482" s="25"/>
      <c r="K482" s="16"/>
      <c r="M482" s="25"/>
      <c r="N482" s="26"/>
      <c r="O482" s="27"/>
      <c r="P482" s="71"/>
      <c r="Q482" s="28"/>
      <c r="R482" s="22"/>
      <c r="S482" s="22"/>
      <c r="T482" s="22"/>
      <c r="AE482">
        <f t="shared" si="47"/>
        <v>0</v>
      </c>
    </row>
    <row r="483" spans="1:31">
      <c r="B483" s="21"/>
      <c r="C483" s="22"/>
      <c r="D483" s="22"/>
      <c r="E483" s="23"/>
      <c r="F483" s="24"/>
      <c r="G483" s="16"/>
      <c r="H483" s="2"/>
      <c r="I483" s="17"/>
      <c r="J483" s="25"/>
      <c r="K483" s="16"/>
      <c r="M483" s="25"/>
      <c r="N483" s="26"/>
      <c r="O483" s="27"/>
      <c r="P483" s="71"/>
      <c r="Q483" s="28"/>
      <c r="R483" s="22"/>
      <c r="S483" s="22"/>
      <c r="T483" s="22"/>
      <c r="AE483">
        <f t="shared" si="47"/>
        <v>0</v>
      </c>
    </row>
    <row r="484" spans="1:31">
      <c r="B484" s="21"/>
      <c r="C484" s="22"/>
      <c r="D484" s="22"/>
      <c r="E484" s="23"/>
      <c r="F484" s="24"/>
      <c r="G484" s="16"/>
      <c r="H484" s="2">
        <f>SUM(H465:H483)</f>
        <v>518</v>
      </c>
      <c r="I484" s="2">
        <f>H484/$A$481</f>
        <v>30.470588235294116</v>
      </c>
      <c r="L484" s="2">
        <f>SUM(L465:L483)</f>
        <v>194</v>
      </c>
      <c r="M484" s="2">
        <f>L484/$A$481</f>
        <v>11.411764705882353</v>
      </c>
      <c r="N484" s="26"/>
      <c r="O484" s="27"/>
      <c r="P484" s="71"/>
      <c r="Q484" s="28"/>
      <c r="R484" s="22"/>
      <c r="S484" s="22"/>
      <c r="T484" s="22"/>
      <c r="AE484">
        <f t="shared" si="47"/>
        <v>0</v>
      </c>
    </row>
    <row r="485" spans="1:31">
      <c r="A485">
        <f>A458+A193+A18</f>
        <v>399</v>
      </c>
      <c r="B485" s="21"/>
      <c r="C485" s="22"/>
      <c r="D485" s="22"/>
      <c r="E485" s="23"/>
      <c r="F485" s="24"/>
      <c r="G485" s="16" t="s">
        <v>530</v>
      </c>
      <c r="H485" s="2">
        <f>H21+H195+H460</f>
        <v>16321</v>
      </c>
      <c r="I485" s="17">
        <f>H485/A485</f>
        <v>40.904761904761905</v>
      </c>
      <c r="J485" s="25"/>
      <c r="K485" s="16"/>
      <c r="L485" s="2">
        <f>L21+L195+L460</f>
        <v>7134</v>
      </c>
      <c r="M485" s="25">
        <f>L485/A485</f>
        <v>17.8796992481203</v>
      </c>
      <c r="N485" s="26"/>
      <c r="O485" s="27"/>
      <c r="P485" s="71"/>
      <c r="Q485" s="28"/>
      <c r="R485" s="22"/>
      <c r="S485" s="22"/>
      <c r="T485" s="22"/>
      <c r="AE485">
        <f t="shared" si="47"/>
        <v>0</v>
      </c>
    </row>
    <row r="486" spans="1:31">
      <c r="A486">
        <f>A481+A224+A30</f>
        <v>51</v>
      </c>
      <c r="B486" s="21"/>
      <c r="C486" s="22"/>
      <c r="D486" s="22"/>
      <c r="E486" s="23"/>
      <c r="F486" s="24"/>
      <c r="G486" s="16" t="s">
        <v>531</v>
      </c>
      <c r="H486" s="2">
        <f>H484+H226+H32</f>
        <v>1753</v>
      </c>
      <c r="I486" s="17">
        <f>H486/A486</f>
        <v>34.372549019607845</v>
      </c>
      <c r="J486" s="25"/>
      <c r="K486" s="16"/>
      <c r="L486" s="2">
        <f>L484+L226+L32</f>
        <v>712</v>
      </c>
      <c r="M486" s="25">
        <f>L486/A486</f>
        <v>13.96078431372549</v>
      </c>
      <c r="N486" s="26"/>
      <c r="O486" s="27"/>
      <c r="P486" s="71"/>
      <c r="Q486" s="28"/>
      <c r="R486" s="22"/>
      <c r="S486" s="22"/>
      <c r="T486" s="22"/>
      <c r="AE486">
        <f t="shared" si="47"/>
        <v>0</v>
      </c>
    </row>
    <row r="487" spans="1:31">
      <c r="A487">
        <f>SUM(A481+A458+A224+A193+A30+A18)</f>
        <v>450</v>
      </c>
      <c r="B487" s="21"/>
      <c r="C487" s="22"/>
      <c r="D487" s="22"/>
      <c r="E487" s="23"/>
      <c r="F487" s="24"/>
      <c r="G487" s="16" t="s">
        <v>532</v>
      </c>
      <c r="H487" s="2">
        <f>H484+H460+H226+H195+H32+H21</f>
        <v>18074</v>
      </c>
      <c r="I487" s="2">
        <f>H487/$A$487</f>
        <v>40.164444444444442</v>
      </c>
      <c r="L487" s="2">
        <f>L484+L460+L226+L195+L32+L21</f>
        <v>7846</v>
      </c>
      <c r="M487" s="2">
        <f>L487/$A$487</f>
        <v>17.435555555555556</v>
      </c>
      <c r="N487" s="26"/>
      <c r="O487" s="27"/>
      <c r="P487" s="71"/>
      <c r="Q487" s="28"/>
      <c r="R487" s="22"/>
      <c r="S487" s="22"/>
      <c r="T487" s="22"/>
      <c r="AE487">
        <f t="shared" si="47"/>
        <v>0</v>
      </c>
    </row>
    <row r="488" spans="1:31">
      <c r="B488" s="21"/>
      <c r="C488" s="22"/>
      <c r="D488" s="22"/>
      <c r="E488" s="23"/>
      <c r="F488" s="24"/>
      <c r="G488" s="16"/>
      <c r="H488" s="2"/>
      <c r="I488" s="17"/>
      <c r="J488" s="25"/>
      <c r="K488" s="16"/>
      <c r="M488" s="25"/>
      <c r="N488" s="26"/>
      <c r="O488" s="27"/>
      <c r="P488" s="71"/>
      <c r="Q488" s="28"/>
      <c r="R488" s="22"/>
      <c r="S488" s="22"/>
      <c r="T488" s="22"/>
      <c r="AE488">
        <f t="shared" si="47"/>
        <v>0</v>
      </c>
    </row>
    <row r="489" spans="1:31">
      <c r="B489" s="21"/>
      <c r="C489" s="22"/>
      <c r="D489" s="22"/>
      <c r="E489" s="23"/>
      <c r="F489" s="24"/>
      <c r="G489" s="16"/>
      <c r="H489" s="2"/>
      <c r="I489" s="17"/>
      <c r="J489" s="25"/>
      <c r="K489" s="16"/>
      <c r="M489" s="25"/>
      <c r="N489" s="26"/>
      <c r="O489" s="27"/>
      <c r="P489" s="71"/>
      <c r="Q489" s="28"/>
      <c r="R489" s="22"/>
      <c r="S489" s="22"/>
      <c r="T489" s="22"/>
      <c r="AE489">
        <f t="shared" si="47"/>
        <v>0</v>
      </c>
    </row>
    <row r="490" spans="1:31">
      <c r="B490" s="21"/>
      <c r="C490" s="22"/>
      <c r="D490" s="22"/>
      <c r="E490" s="23"/>
      <c r="F490" s="24"/>
      <c r="G490" s="16"/>
      <c r="H490" s="2"/>
      <c r="I490" s="17"/>
      <c r="J490" s="25"/>
      <c r="K490" s="16"/>
      <c r="M490" s="25"/>
      <c r="N490" s="26"/>
      <c r="O490" s="27"/>
      <c r="P490" s="71"/>
      <c r="Q490" s="28"/>
      <c r="R490" s="22"/>
      <c r="S490" s="22"/>
      <c r="T490" s="22"/>
      <c r="AE490">
        <f t="shared" si="47"/>
        <v>0</v>
      </c>
    </row>
    <row r="491" spans="1:31">
      <c r="B491" s="21"/>
      <c r="C491" s="22"/>
      <c r="D491" s="22"/>
      <c r="E491" s="23"/>
      <c r="F491" s="24"/>
      <c r="G491" s="16"/>
      <c r="H491" s="2"/>
      <c r="I491" s="17"/>
      <c r="J491" s="25"/>
      <c r="K491" s="16"/>
      <c r="M491" s="25"/>
      <c r="N491" s="26"/>
      <c r="O491" s="27"/>
      <c r="P491" s="71"/>
      <c r="Q491" s="28"/>
      <c r="R491" s="22"/>
      <c r="S491" s="22"/>
      <c r="T491" s="22"/>
      <c r="AE491">
        <f t="shared" si="47"/>
        <v>0</v>
      </c>
    </row>
    <row r="492" spans="1:31">
      <c r="B492" s="21"/>
      <c r="C492" s="22"/>
      <c r="D492" s="22"/>
      <c r="E492" s="23"/>
      <c r="F492" s="24"/>
      <c r="G492" s="16"/>
      <c r="H492" s="2"/>
      <c r="I492" s="17"/>
      <c r="J492" s="25"/>
      <c r="K492" s="16"/>
      <c r="M492" s="25"/>
      <c r="N492" s="26"/>
      <c r="O492" s="27"/>
      <c r="P492" s="71"/>
      <c r="Q492" s="28"/>
      <c r="R492" s="22"/>
      <c r="S492" s="22"/>
      <c r="T492" s="22"/>
      <c r="AE492">
        <f t="shared" si="47"/>
        <v>0</v>
      </c>
    </row>
    <row r="493" spans="1:31">
      <c r="B493" s="21"/>
      <c r="C493" s="22"/>
      <c r="D493" s="22"/>
      <c r="E493" s="23"/>
      <c r="F493" s="24"/>
      <c r="G493" s="16"/>
      <c r="H493" s="2"/>
      <c r="I493" s="17"/>
      <c r="J493" s="25"/>
      <c r="K493" s="16"/>
      <c r="M493" s="25"/>
      <c r="N493" s="26"/>
      <c r="O493" s="27"/>
      <c r="P493" s="71"/>
      <c r="Q493" s="28"/>
      <c r="R493" s="22"/>
      <c r="S493" s="22"/>
      <c r="T493" s="22"/>
      <c r="AE493">
        <f t="shared" si="47"/>
        <v>0</v>
      </c>
    </row>
    <row r="494" spans="1:31">
      <c r="A494">
        <v>1</v>
      </c>
      <c r="B494" s="21">
        <v>471</v>
      </c>
      <c r="C494" s="22">
        <v>7674</v>
      </c>
      <c r="D494" s="22" t="s">
        <v>533</v>
      </c>
      <c r="E494" s="23" t="s">
        <v>15</v>
      </c>
      <c r="F494" s="24">
        <v>19640301</v>
      </c>
      <c r="G494" s="16">
        <f t="shared" ref="G494:G538" si="52">DATE(INT(F494/10000),INT(MOD(F494,10000)/100),MOD(F494,100))</f>
        <v>23437</v>
      </c>
      <c r="H494" s="2">
        <f t="shared" ref="H494:H538" si="53">DATEDIF(G494,$G$4,"Y")</f>
        <v>57</v>
      </c>
      <c r="I494" s="17"/>
      <c r="J494" s="25">
        <v>20010521</v>
      </c>
      <c r="K494" s="16">
        <f t="shared" ref="K494:K538" si="54">DATE(INT(J494/10000),INT(MOD(J494,10000)/100),MOD(J494,100))</f>
        <v>37032</v>
      </c>
      <c r="L494" s="2">
        <f t="shared" ref="L494:L538" si="55">DATEDIF(K494,$G$4,"Y")</f>
        <v>20</v>
      </c>
      <c r="M494" s="25"/>
      <c r="N494" s="26"/>
      <c r="O494" s="27">
        <v>0</v>
      </c>
      <c r="P494" s="70">
        <v>41220</v>
      </c>
      <c r="Q494" s="70" t="s">
        <v>103</v>
      </c>
      <c r="R494" s="22">
        <v>2</v>
      </c>
      <c r="S494" s="22"/>
      <c r="T494" s="22">
        <v>3</v>
      </c>
      <c r="AE494">
        <f t="shared" si="47"/>
        <v>41220</v>
      </c>
    </row>
    <row r="495" spans="1:31">
      <c r="A495">
        <v>2</v>
      </c>
      <c r="B495" s="21">
        <v>474</v>
      </c>
      <c r="C495" s="22">
        <v>7755</v>
      </c>
      <c r="D495" s="22" t="s">
        <v>534</v>
      </c>
      <c r="E495" s="23" t="s">
        <v>15</v>
      </c>
      <c r="F495" s="24">
        <v>19760828</v>
      </c>
      <c r="G495" s="16">
        <f t="shared" si="52"/>
        <v>28000</v>
      </c>
      <c r="H495" s="2">
        <f t="shared" si="53"/>
        <v>44</v>
      </c>
      <c r="I495" s="17"/>
      <c r="J495" s="25">
        <v>20030630</v>
      </c>
      <c r="K495" s="16">
        <f t="shared" si="54"/>
        <v>37802</v>
      </c>
      <c r="L495" s="2">
        <f t="shared" si="55"/>
        <v>18</v>
      </c>
      <c r="M495" s="25"/>
      <c r="N495" s="26"/>
      <c r="O495" s="27">
        <v>0</v>
      </c>
      <c r="P495" s="70">
        <v>41220</v>
      </c>
      <c r="Q495" s="70" t="s">
        <v>103</v>
      </c>
      <c r="R495" s="22">
        <v>2</v>
      </c>
      <c r="S495" s="22"/>
      <c r="T495" s="22">
        <v>3</v>
      </c>
      <c r="AE495">
        <f t="shared" si="47"/>
        <v>41220</v>
      </c>
    </row>
    <row r="496" spans="1:31">
      <c r="A496">
        <v>3</v>
      </c>
      <c r="B496" s="21">
        <v>476</v>
      </c>
      <c r="C496" s="22">
        <v>7806</v>
      </c>
      <c r="D496" s="22" t="s">
        <v>535</v>
      </c>
      <c r="E496" s="23" t="s">
        <v>15</v>
      </c>
      <c r="F496" s="24">
        <v>19591207</v>
      </c>
      <c r="G496" s="16">
        <f t="shared" si="52"/>
        <v>21891</v>
      </c>
      <c r="H496" s="2">
        <f t="shared" si="53"/>
        <v>61</v>
      </c>
      <c r="I496" s="17"/>
      <c r="J496" s="25">
        <v>20040224</v>
      </c>
      <c r="K496" s="16">
        <f t="shared" si="54"/>
        <v>38041</v>
      </c>
      <c r="L496" s="2">
        <f t="shared" si="55"/>
        <v>17</v>
      </c>
      <c r="M496" s="25"/>
      <c r="N496" s="26"/>
      <c r="O496" s="27">
        <v>0</v>
      </c>
      <c r="P496" s="70">
        <v>42021</v>
      </c>
      <c r="Q496" s="70" t="s">
        <v>290</v>
      </c>
      <c r="R496" s="22">
        <v>2</v>
      </c>
      <c r="S496" s="22"/>
      <c r="T496" s="22">
        <v>3</v>
      </c>
      <c r="AE496">
        <f t="shared" si="47"/>
        <v>42021</v>
      </c>
    </row>
    <row r="497" spans="1:31">
      <c r="A497">
        <v>4</v>
      </c>
      <c r="B497" s="21">
        <v>478</v>
      </c>
      <c r="C497" s="22">
        <v>7850</v>
      </c>
      <c r="D497" s="22" t="s">
        <v>536</v>
      </c>
      <c r="E497" s="23" t="s">
        <v>15</v>
      </c>
      <c r="F497" s="24">
        <v>19870118</v>
      </c>
      <c r="G497" s="16">
        <f t="shared" si="52"/>
        <v>31795</v>
      </c>
      <c r="H497" s="2">
        <f t="shared" si="53"/>
        <v>34</v>
      </c>
      <c r="I497" s="17"/>
      <c r="J497" s="25">
        <v>20050321</v>
      </c>
      <c r="K497" s="16">
        <f t="shared" si="54"/>
        <v>38432</v>
      </c>
      <c r="L497" s="2">
        <f t="shared" si="55"/>
        <v>16</v>
      </c>
      <c r="M497" s="25"/>
      <c r="N497" s="26"/>
      <c r="O497" s="27">
        <v>0</v>
      </c>
      <c r="P497" s="70">
        <v>45121</v>
      </c>
      <c r="Q497" s="70" t="s">
        <v>396</v>
      </c>
      <c r="R497" s="22">
        <v>2</v>
      </c>
      <c r="S497" s="22"/>
      <c r="T497" s="22">
        <v>3</v>
      </c>
      <c r="AE497">
        <f t="shared" si="47"/>
        <v>45121</v>
      </c>
    </row>
    <row r="498" spans="1:31">
      <c r="A498">
        <v>5</v>
      </c>
      <c r="B498" s="21">
        <v>481</v>
      </c>
      <c r="C498" s="22">
        <v>7923</v>
      </c>
      <c r="D498" s="22" t="s">
        <v>537</v>
      </c>
      <c r="E498" s="23" t="s">
        <v>15</v>
      </c>
      <c r="F498" s="24">
        <v>19610103</v>
      </c>
      <c r="G498" s="16">
        <f t="shared" si="52"/>
        <v>22284</v>
      </c>
      <c r="H498" s="2">
        <f t="shared" si="53"/>
        <v>60</v>
      </c>
      <c r="I498" s="17"/>
      <c r="J498" s="25">
        <v>20070201</v>
      </c>
      <c r="K498" s="16">
        <f t="shared" si="54"/>
        <v>39114</v>
      </c>
      <c r="L498" s="2">
        <f t="shared" si="55"/>
        <v>14</v>
      </c>
      <c r="M498" s="25"/>
      <c r="N498" s="26"/>
      <c r="O498" s="27">
        <v>0</v>
      </c>
      <c r="P498" s="70">
        <v>65021</v>
      </c>
      <c r="Q498" s="70" t="s">
        <v>433</v>
      </c>
      <c r="R498" s="22">
        <v>2</v>
      </c>
      <c r="S498" s="22"/>
      <c r="T498" s="22">
        <v>3</v>
      </c>
      <c r="AE498">
        <f t="shared" si="47"/>
        <v>65021</v>
      </c>
    </row>
    <row r="499" spans="1:31">
      <c r="A499">
        <v>6</v>
      </c>
      <c r="B499" s="21">
        <v>483</v>
      </c>
      <c r="C499" s="22">
        <v>7935</v>
      </c>
      <c r="D499" s="22" t="s">
        <v>538</v>
      </c>
      <c r="E499" s="23" t="s">
        <v>15</v>
      </c>
      <c r="F499" s="24">
        <v>19480222</v>
      </c>
      <c r="G499" s="16">
        <f t="shared" si="52"/>
        <v>17585</v>
      </c>
      <c r="H499" s="2">
        <f t="shared" si="53"/>
        <v>73</v>
      </c>
      <c r="I499" s="17"/>
      <c r="J499" s="25">
        <v>20070521</v>
      </c>
      <c r="K499" s="16">
        <f t="shared" si="54"/>
        <v>39223</v>
      </c>
      <c r="L499" s="2">
        <f t="shared" si="55"/>
        <v>14</v>
      </c>
      <c r="M499" s="25"/>
      <c r="N499" s="26"/>
      <c r="O499" s="27" t="s">
        <v>35</v>
      </c>
      <c r="P499" s="70">
        <v>1020</v>
      </c>
      <c r="Q499" s="70" t="s">
        <v>17</v>
      </c>
      <c r="R499" s="22">
        <v>2</v>
      </c>
      <c r="S499" s="22"/>
      <c r="T499" s="22">
        <v>3</v>
      </c>
      <c r="AE499">
        <f t="shared" si="47"/>
        <v>1020</v>
      </c>
    </row>
    <row r="500" spans="1:31">
      <c r="A500">
        <v>7</v>
      </c>
      <c r="B500" s="21">
        <v>487</v>
      </c>
      <c r="C500" s="22">
        <v>8001</v>
      </c>
      <c r="D500" s="22" t="s">
        <v>539</v>
      </c>
      <c r="E500" s="23" t="s">
        <v>15</v>
      </c>
      <c r="F500" s="24">
        <v>19550925</v>
      </c>
      <c r="G500" s="16">
        <f t="shared" si="52"/>
        <v>20357</v>
      </c>
      <c r="H500" s="2">
        <f t="shared" si="53"/>
        <v>65</v>
      </c>
      <c r="I500" s="17"/>
      <c r="J500" s="25">
        <v>20080711</v>
      </c>
      <c r="K500" s="16">
        <f t="shared" si="54"/>
        <v>39640</v>
      </c>
      <c r="L500" s="2">
        <f t="shared" si="55"/>
        <v>13</v>
      </c>
      <c r="M500" s="25"/>
      <c r="N500" s="26"/>
      <c r="O500" s="27">
        <v>0</v>
      </c>
      <c r="P500" s="70">
        <v>42121</v>
      </c>
      <c r="Q500" s="70" t="s">
        <v>305</v>
      </c>
      <c r="R500" s="22">
        <v>2</v>
      </c>
      <c r="S500" s="22"/>
      <c r="T500" s="22">
        <v>3</v>
      </c>
      <c r="AE500">
        <f t="shared" si="47"/>
        <v>42121</v>
      </c>
    </row>
    <row r="501" spans="1:31">
      <c r="A501">
        <v>8</v>
      </c>
      <c r="B501" s="21">
        <v>488</v>
      </c>
      <c r="C501" s="22">
        <v>8028</v>
      </c>
      <c r="D501" s="22" t="s">
        <v>540</v>
      </c>
      <c r="E501" s="23" t="s">
        <v>15</v>
      </c>
      <c r="F501" s="24">
        <v>19500103</v>
      </c>
      <c r="G501" s="16">
        <f t="shared" si="52"/>
        <v>18266</v>
      </c>
      <c r="H501" s="2">
        <f t="shared" si="53"/>
        <v>71</v>
      </c>
      <c r="I501" s="17"/>
      <c r="J501" s="25">
        <v>19680301</v>
      </c>
      <c r="K501" s="16">
        <f t="shared" si="54"/>
        <v>24898</v>
      </c>
      <c r="L501" s="2">
        <f t="shared" si="55"/>
        <v>53</v>
      </c>
      <c r="M501" s="25"/>
      <c r="N501" s="26"/>
      <c r="O501" s="27">
        <v>0</v>
      </c>
      <c r="P501" s="70">
        <v>61220</v>
      </c>
      <c r="Q501" s="70" t="s">
        <v>158</v>
      </c>
      <c r="R501" s="22">
        <v>2</v>
      </c>
      <c r="S501" s="22"/>
      <c r="T501" s="22">
        <v>3</v>
      </c>
      <c r="AE501">
        <f t="shared" si="47"/>
        <v>61220</v>
      </c>
    </row>
    <row r="502" spans="1:31">
      <c r="A502">
        <v>9</v>
      </c>
      <c r="B502" s="21">
        <v>490</v>
      </c>
      <c r="C502" s="22">
        <v>8041</v>
      </c>
      <c r="D502" s="22" t="s">
        <v>541</v>
      </c>
      <c r="E502" s="23" t="s">
        <v>15</v>
      </c>
      <c r="F502" s="24">
        <v>19590410</v>
      </c>
      <c r="G502" s="16">
        <f t="shared" si="52"/>
        <v>21650</v>
      </c>
      <c r="H502" s="2">
        <f t="shared" si="53"/>
        <v>62</v>
      </c>
      <c r="I502" s="17"/>
      <c r="J502" s="25">
        <v>20100721</v>
      </c>
      <c r="K502" s="16">
        <f t="shared" si="54"/>
        <v>40380</v>
      </c>
      <c r="L502" s="2">
        <f t="shared" si="55"/>
        <v>11</v>
      </c>
      <c r="M502" s="25"/>
      <c r="N502" s="26"/>
      <c r="O502" s="27">
        <v>0</v>
      </c>
      <c r="P502" s="70">
        <v>41121</v>
      </c>
      <c r="Q502" s="70" t="s">
        <v>280</v>
      </c>
      <c r="R502" s="22">
        <v>2</v>
      </c>
      <c r="S502" s="22"/>
      <c r="T502" s="22">
        <v>3</v>
      </c>
      <c r="AE502">
        <f t="shared" si="47"/>
        <v>41121</v>
      </c>
    </row>
    <row r="503" spans="1:31">
      <c r="A503">
        <v>10</v>
      </c>
      <c r="B503" s="21">
        <v>492</v>
      </c>
      <c r="C503" s="22">
        <v>8054</v>
      </c>
      <c r="D503" s="22" t="s">
        <v>542</v>
      </c>
      <c r="E503" s="23" t="s">
        <v>15</v>
      </c>
      <c r="F503" s="24">
        <v>19501213</v>
      </c>
      <c r="G503" s="16">
        <f t="shared" si="52"/>
        <v>18610</v>
      </c>
      <c r="H503" s="2">
        <f t="shared" si="53"/>
        <v>70</v>
      </c>
      <c r="I503" s="17"/>
      <c r="J503" s="25">
        <v>19660321</v>
      </c>
      <c r="K503" s="16">
        <f t="shared" si="54"/>
        <v>24187</v>
      </c>
      <c r="L503" s="2">
        <f t="shared" si="55"/>
        <v>55</v>
      </c>
      <c r="M503" s="25"/>
      <c r="N503" s="26"/>
      <c r="O503" s="27">
        <v>0</v>
      </c>
      <c r="P503" s="70">
        <v>41021</v>
      </c>
      <c r="Q503" s="70" t="s">
        <v>258</v>
      </c>
      <c r="R503" s="22">
        <v>2</v>
      </c>
      <c r="S503" s="22"/>
      <c r="T503" s="22">
        <v>3</v>
      </c>
      <c r="AE503">
        <f t="shared" si="47"/>
        <v>41021</v>
      </c>
    </row>
    <row r="504" spans="1:31">
      <c r="A504">
        <v>11</v>
      </c>
      <c r="B504" s="21">
        <v>493</v>
      </c>
      <c r="C504" s="22">
        <v>8061</v>
      </c>
      <c r="D504" s="22" t="s">
        <v>543</v>
      </c>
      <c r="E504" s="23" t="s">
        <v>15</v>
      </c>
      <c r="F504" s="24">
        <v>19521019</v>
      </c>
      <c r="G504" s="16">
        <f t="shared" si="52"/>
        <v>19286</v>
      </c>
      <c r="H504" s="2">
        <f t="shared" si="53"/>
        <v>68</v>
      </c>
      <c r="I504" s="17"/>
      <c r="J504" s="25">
        <v>20110208</v>
      </c>
      <c r="K504" s="16">
        <f t="shared" si="54"/>
        <v>40582</v>
      </c>
      <c r="L504" s="2">
        <f t="shared" si="55"/>
        <v>10</v>
      </c>
      <c r="M504" s="25"/>
      <c r="N504" s="26"/>
      <c r="O504" s="27">
        <v>0</v>
      </c>
      <c r="P504" s="70">
        <v>42021</v>
      </c>
      <c r="Q504" s="70" t="s">
        <v>290</v>
      </c>
      <c r="R504" s="22">
        <v>2</v>
      </c>
      <c r="S504" s="22"/>
      <c r="T504" s="22">
        <v>3</v>
      </c>
      <c r="AE504">
        <f t="shared" si="47"/>
        <v>42021</v>
      </c>
    </row>
    <row r="505" spans="1:31">
      <c r="A505">
        <v>12</v>
      </c>
      <c r="B505" s="21">
        <v>494</v>
      </c>
      <c r="C505" s="22">
        <v>8062</v>
      </c>
      <c r="D505" s="22" t="s">
        <v>544</v>
      </c>
      <c r="E505" s="23" t="s">
        <v>15</v>
      </c>
      <c r="F505" s="24">
        <v>19630514</v>
      </c>
      <c r="G505" s="16">
        <f t="shared" si="52"/>
        <v>23145</v>
      </c>
      <c r="H505" s="2">
        <f t="shared" si="53"/>
        <v>58</v>
      </c>
      <c r="I505" s="17"/>
      <c r="J505" s="25">
        <v>20110208</v>
      </c>
      <c r="K505" s="16">
        <f t="shared" si="54"/>
        <v>40582</v>
      </c>
      <c r="L505" s="2">
        <f t="shared" si="55"/>
        <v>10</v>
      </c>
      <c r="M505" s="25"/>
      <c r="N505" s="26"/>
      <c r="O505" s="27">
        <v>0</v>
      </c>
      <c r="P505" s="70">
        <v>41121</v>
      </c>
      <c r="Q505" s="70" t="s">
        <v>280</v>
      </c>
      <c r="R505" s="22">
        <v>2</v>
      </c>
      <c r="S505" s="22"/>
      <c r="T505" s="22">
        <v>3</v>
      </c>
      <c r="AE505">
        <f t="shared" si="47"/>
        <v>41121</v>
      </c>
    </row>
    <row r="506" spans="1:31">
      <c r="A506">
        <v>13</v>
      </c>
      <c r="B506" s="21">
        <v>495</v>
      </c>
      <c r="C506" s="22">
        <v>8066</v>
      </c>
      <c r="D506" s="22" t="s">
        <v>545</v>
      </c>
      <c r="E506" s="23" t="s">
        <v>15</v>
      </c>
      <c r="F506" s="24">
        <v>19510310</v>
      </c>
      <c r="G506" s="16">
        <f t="shared" si="52"/>
        <v>18697</v>
      </c>
      <c r="H506" s="2">
        <f t="shared" si="53"/>
        <v>70</v>
      </c>
      <c r="I506" s="17"/>
      <c r="J506" s="25">
        <v>19670321</v>
      </c>
      <c r="K506" s="16">
        <f t="shared" si="54"/>
        <v>24552</v>
      </c>
      <c r="L506" s="2">
        <f t="shared" si="55"/>
        <v>54</v>
      </c>
      <c r="M506" s="25"/>
      <c r="N506" s="26"/>
      <c r="O506" s="27">
        <v>0</v>
      </c>
      <c r="P506" s="70">
        <v>61220</v>
      </c>
      <c r="Q506" s="70" t="s">
        <v>158</v>
      </c>
      <c r="R506" s="22">
        <v>2</v>
      </c>
      <c r="S506" s="22"/>
      <c r="T506" s="22">
        <v>3</v>
      </c>
      <c r="AE506">
        <f t="shared" si="47"/>
        <v>61220</v>
      </c>
    </row>
    <row r="507" spans="1:31">
      <c r="A507">
        <v>14</v>
      </c>
      <c r="B507" s="21">
        <v>497</v>
      </c>
      <c r="C507" s="22">
        <v>8083</v>
      </c>
      <c r="D507" s="22" t="s">
        <v>546</v>
      </c>
      <c r="E507" s="23" t="s">
        <v>15</v>
      </c>
      <c r="F507" s="24">
        <v>19511202</v>
      </c>
      <c r="G507" s="16">
        <f t="shared" si="52"/>
        <v>18964</v>
      </c>
      <c r="H507" s="2">
        <f t="shared" si="53"/>
        <v>69</v>
      </c>
      <c r="I507" s="17"/>
      <c r="J507" s="25">
        <v>19670302</v>
      </c>
      <c r="K507" s="16">
        <f t="shared" si="54"/>
        <v>24533</v>
      </c>
      <c r="L507" s="2">
        <f t="shared" si="55"/>
        <v>54</v>
      </c>
      <c r="M507" s="25"/>
      <c r="N507" s="26"/>
      <c r="O507" s="27">
        <v>0</v>
      </c>
      <c r="P507" s="70">
        <v>41021</v>
      </c>
      <c r="Q507" s="70" t="s">
        <v>258</v>
      </c>
      <c r="R507" s="22">
        <v>2</v>
      </c>
      <c r="S507" s="22"/>
      <c r="T507" s="22">
        <v>3</v>
      </c>
      <c r="AE507">
        <f t="shared" si="47"/>
        <v>41021</v>
      </c>
    </row>
    <row r="508" spans="1:31">
      <c r="A508">
        <v>15</v>
      </c>
      <c r="B508" s="21">
        <v>498</v>
      </c>
      <c r="C508" s="22">
        <v>8087</v>
      </c>
      <c r="D508" s="22" t="s">
        <v>547</v>
      </c>
      <c r="E508" s="23" t="s">
        <v>15</v>
      </c>
      <c r="F508" s="24">
        <v>19520227</v>
      </c>
      <c r="G508" s="16">
        <f t="shared" si="52"/>
        <v>19051</v>
      </c>
      <c r="H508" s="2">
        <f t="shared" si="53"/>
        <v>69</v>
      </c>
      <c r="I508" s="17"/>
      <c r="J508" s="25">
        <v>19700320</v>
      </c>
      <c r="K508" s="16">
        <f t="shared" si="54"/>
        <v>25647</v>
      </c>
      <c r="L508" s="2">
        <f t="shared" si="55"/>
        <v>51</v>
      </c>
      <c r="M508" s="25"/>
      <c r="N508" s="26"/>
      <c r="O508" s="27">
        <v>0</v>
      </c>
      <c r="P508" s="70">
        <v>61020</v>
      </c>
      <c r="Q508" s="70" t="s">
        <v>147</v>
      </c>
      <c r="R508" s="22">
        <v>2</v>
      </c>
      <c r="S508" s="22"/>
      <c r="T508" s="22">
        <v>3</v>
      </c>
      <c r="AE508">
        <f t="shared" si="47"/>
        <v>61020</v>
      </c>
    </row>
    <row r="509" spans="1:31">
      <c r="A509">
        <v>16</v>
      </c>
      <c r="B509" s="21">
        <v>499</v>
      </c>
      <c r="C509" s="22">
        <v>8088</v>
      </c>
      <c r="D509" s="22" t="s">
        <v>548</v>
      </c>
      <c r="E509" s="23" t="s">
        <v>15</v>
      </c>
      <c r="F509" s="24">
        <v>19520306</v>
      </c>
      <c r="G509" s="16">
        <f t="shared" si="52"/>
        <v>19059</v>
      </c>
      <c r="H509" s="2">
        <f t="shared" si="53"/>
        <v>69</v>
      </c>
      <c r="I509" s="17"/>
      <c r="J509" s="25">
        <v>19740316</v>
      </c>
      <c r="K509" s="16">
        <f t="shared" si="54"/>
        <v>27104</v>
      </c>
      <c r="L509" s="2">
        <f t="shared" si="55"/>
        <v>47</v>
      </c>
      <c r="M509" s="25"/>
      <c r="N509" s="26"/>
      <c r="O509" s="27">
        <v>0</v>
      </c>
      <c r="P509" s="70">
        <v>80020</v>
      </c>
      <c r="Q509" s="70" t="s">
        <v>172</v>
      </c>
      <c r="R509" s="22">
        <v>2</v>
      </c>
      <c r="S509" s="22"/>
      <c r="T509" s="22">
        <v>3</v>
      </c>
      <c r="AE509">
        <f t="shared" si="47"/>
        <v>80020</v>
      </c>
    </row>
    <row r="510" spans="1:31">
      <c r="A510">
        <v>17</v>
      </c>
      <c r="B510" s="21">
        <v>502</v>
      </c>
      <c r="C510" s="22">
        <v>8108</v>
      </c>
      <c r="D510" s="22" t="s">
        <v>549</v>
      </c>
      <c r="E510" s="23" t="s">
        <v>15</v>
      </c>
      <c r="F510" s="24">
        <v>19521115</v>
      </c>
      <c r="G510" s="16">
        <f t="shared" si="52"/>
        <v>19313</v>
      </c>
      <c r="H510" s="2">
        <f t="shared" si="53"/>
        <v>68</v>
      </c>
      <c r="I510" s="17"/>
      <c r="J510" s="25">
        <v>19710315</v>
      </c>
      <c r="K510" s="16">
        <f t="shared" si="54"/>
        <v>26007</v>
      </c>
      <c r="L510" s="2">
        <f t="shared" si="55"/>
        <v>50</v>
      </c>
      <c r="M510" s="25"/>
      <c r="N510" s="26"/>
      <c r="O510" s="27" t="s">
        <v>35</v>
      </c>
      <c r="P510" s="70">
        <v>1020</v>
      </c>
      <c r="Q510" s="70" t="s">
        <v>17</v>
      </c>
      <c r="R510" s="22">
        <v>2</v>
      </c>
      <c r="S510" s="22"/>
      <c r="T510" s="22">
        <v>3</v>
      </c>
      <c r="AE510">
        <f t="shared" si="47"/>
        <v>1020</v>
      </c>
    </row>
    <row r="511" spans="1:31">
      <c r="A511">
        <v>18</v>
      </c>
      <c r="B511" s="21">
        <v>503</v>
      </c>
      <c r="C511" s="22">
        <v>8111</v>
      </c>
      <c r="D511" s="22" t="s">
        <v>550</v>
      </c>
      <c r="E511" s="23" t="s">
        <v>15</v>
      </c>
      <c r="F511" s="24">
        <v>19521228</v>
      </c>
      <c r="G511" s="16">
        <f t="shared" si="52"/>
        <v>19356</v>
      </c>
      <c r="H511" s="2">
        <f t="shared" si="53"/>
        <v>68</v>
      </c>
      <c r="I511" s="17"/>
      <c r="J511" s="25">
        <v>19710320</v>
      </c>
      <c r="K511" s="16">
        <f t="shared" si="54"/>
        <v>26012</v>
      </c>
      <c r="L511" s="2">
        <f t="shared" si="55"/>
        <v>50</v>
      </c>
      <c r="M511" s="25"/>
      <c r="N511" s="26"/>
      <c r="O511" s="27">
        <v>0</v>
      </c>
      <c r="P511" s="70">
        <v>60320</v>
      </c>
      <c r="Q511" s="70" t="s">
        <v>138</v>
      </c>
      <c r="R511" s="22">
        <v>2</v>
      </c>
      <c r="S511" s="22"/>
      <c r="T511" s="22">
        <v>3</v>
      </c>
      <c r="AE511">
        <f t="shared" si="47"/>
        <v>60320</v>
      </c>
    </row>
    <row r="512" spans="1:31">
      <c r="A512">
        <v>19</v>
      </c>
      <c r="B512" s="21">
        <v>504</v>
      </c>
      <c r="C512" s="22">
        <v>8113</v>
      </c>
      <c r="D512" s="22" t="s">
        <v>551</v>
      </c>
      <c r="E512" s="23" t="s">
        <v>15</v>
      </c>
      <c r="F512" s="24">
        <v>19530214</v>
      </c>
      <c r="G512" s="16">
        <f t="shared" si="52"/>
        <v>19404</v>
      </c>
      <c r="H512" s="2">
        <f t="shared" si="53"/>
        <v>68</v>
      </c>
      <c r="I512" s="17"/>
      <c r="J512" s="25">
        <v>19760329</v>
      </c>
      <c r="K512" s="16">
        <f t="shared" si="54"/>
        <v>27848</v>
      </c>
      <c r="L512" s="2">
        <f t="shared" si="55"/>
        <v>45</v>
      </c>
      <c r="M512" s="25"/>
      <c r="N512" s="26"/>
      <c r="O512" s="27">
        <v>0</v>
      </c>
      <c r="P512" s="70">
        <v>80020</v>
      </c>
      <c r="Q512" s="70" t="s">
        <v>172</v>
      </c>
      <c r="R512" s="22">
        <v>2</v>
      </c>
      <c r="S512" s="22"/>
      <c r="T512" s="22">
        <v>3</v>
      </c>
      <c r="AE512">
        <f t="shared" si="47"/>
        <v>80020</v>
      </c>
    </row>
    <row r="513" spans="1:31">
      <c r="A513">
        <v>20</v>
      </c>
      <c r="B513" s="21">
        <v>505</v>
      </c>
      <c r="C513" s="22">
        <v>8117</v>
      </c>
      <c r="D513" s="22" t="s">
        <v>552</v>
      </c>
      <c r="E513" s="23" t="s">
        <v>15</v>
      </c>
      <c r="F513" s="24">
        <v>19530610</v>
      </c>
      <c r="G513" s="16">
        <f t="shared" si="52"/>
        <v>19520</v>
      </c>
      <c r="H513" s="2">
        <f t="shared" si="53"/>
        <v>68</v>
      </c>
      <c r="I513" s="17"/>
      <c r="J513" s="25">
        <v>19850917</v>
      </c>
      <c r="K513" s="16">
        <f t="shared" si="54"/>
        <v>31307</v>
      </c>
      <c r="L513" s="2">
        <f t="shared" si="55"/>
        <v>35</v>
      </c>
      <c r="M513" s="25"/>
      <c r="N513" s="26"/>
      <c r="O513" s="27">
        <v>0</v>
      </c>
      <c r="P513" s="70">
        <v>41220</v>
      </c>
      <c r="Q513" s="70" t="s">
        <v>103</v>
      </c>
      <c r="R513" s="22">
        <v>2</v>
      </c>
      <c r="S513" s="22"/>
      <c r="T513" s="22">
        <v>3</v>
      </c>
      <c r="AE513">
        <f t="shared" si="47"/>
        <v>41220</v>
      </c>
    </row>
    <row r="514" spans="1:31">
      <c r="A514">
        <v>21</v>
      </c>
      <c r="B514" s="21">
        <v>506</v>
      </c>
      <c r="C514" s="22">
        <v>8120</v>
      </c>
      <c r="D514" s="22" t="s">
        <v>553</v>
      </c>
      <c r="E514" s="23" t="s">
        <v>15</v>
      </c>
      <c r="F514" s="24">
        <v>19530829</v>
      </c>
      <c r="G514" s="16">
        <f t="shared" si="52"/>
        <v>19600</v>
      </c>
      <c r="H514" s="2">
        <f t="shared" si="53"/>
        <v>67</v>
      </c>
      <c r="I514" s="17"/>
      <c r="J514" s="25">
        <v>19780327</v>
      </c>
      <c r="K514" s="16">
        <f t="shared" si="54"/>
        <v>28576</v>
      </c>
      <c r="L514" s="2">
        <f t="shared" si="55"/>
        <v>43</v>
      </c>
      <c r="M514" s="25"/>
      <c r="N514" s="26"/>
      <c r="O514" s="27">
        <v>0</v>
      </c>
      <c r="P514" s="70">
        <v>63020</v>
      </c>
      <c r="Q514" s="70" t="s">
        <v>165</v>
      </c>
      <c r="R514" s="22">
        <v>2</v>
      </c>
      <c r="S514" s="22"/>
      <c r="T514" s="22">
        <v>3</v>
      </c>
      <c r="AE514">
        <f t="shared" si="47"/>
        <v>63020</v>
      </c>
    </row>
    <row r="515" spans="1:31">
      <c r="A515">
        <v>22</v>
      </c>
      <c r="B515" s="21">
        <v>508</v>
      </c>
      <c r="C515" s="22">
        <v>8127</v>
      </c>
      <c r="D515" s="22" t="s">
        <v>554</v>
      </c>
      <c r="E515" s="23" t="s">
        <v>15</v>
      </c>
      <c r="F515" s="24">
        <v>19540125</v>
      </c>
      <c r="G515" s="16">
        <f t="shared" si="52"/>
        <v>19749</v>
      </c>
      <c r="H515" s="2">
        <f t="shared" si="53"/>
        <v>67</v>
      </c>
      <c r="I515" s="17"/>
      <c r="J515" s="25">
        <v>19690322</v>
      </c>
      <c r="K515" s="16">
        <f t="shared" si="54"/>
        <v>25284</v>
      </c>
      <c r="L515" s="2">
        <f t="shared" si="55"/>
        <v>52</v>
      </c>
      <c r="M515" s="25"/>
      <c r="N515" s="26"/>
      <c r="O515" s="27">
        <v>0</v>
      </c>
      <c r="P515" s="70">
        <v>44021</v>
      </c>
      <c r="Q515" s="70" t="s">
        <v>381</v>
      </c>
      <c r="R515" s="22">
        <v>2</v>
      </c>
      <c r="S515" s="22"/>
      <c r="T515" s="22">
        <v>3</v>
      </c>
      <c r="AE515">
        <f t="shared" si="47"/>
        <v>44021</v>
      </c>
    </row>
    <row r="516" spans="1:31">
      <c r="A516">
        <v>23</v>
      </c>
      <c r="B516" s="21">
        <v>509</v>
      </c>
      <c r="C516" s="22">
        <v>8135</v>
      </c>
      <c r="D516" s="22" t="s">
        <v>555</v>
      </c>
      <c r="E516" s="23" t="s">
        <v>15</v>
      </c>
      <c r="F516" s="24">
        <v>19540619</v>
      </c>
      <c r="G516" s="16">
        <f t="shared" si="52"/>
        <v>19894</v>
      </c>
      <c r="H516" s="2">
        <f t="shared" si="53"/>
        <v>67</v>
      </c>
      <c r="I516" s="17"/>
      <c r="J516" s="25">
        <v>19840901</v>
      </c>
      <c r="K516" s="16">
        <f t="shared" si="54"/>
        <v>30926</v>
      </c>
      <c r="L516" s="2">
        <f t="shared" si="55"/>
        <v>36</v>
      </c>
      <c r="M516" s="25"/>
      <c r="N516" s="26"/>
      <c r="O516" s="27">
        <v>0</v>
      </c>
      <c r="P516" s="70">
        <v>64121</v>
      </c>
      <c r="Q516" s="70" t="s">
        <v>422</v>
      </c>
      <c r="R516" s="22">
        <v>2</v>
      </c>
      <c r="S516" s="22"/>
      <c r="T516" s="22">
        <v>3</v>
      </c>
      <c r="AE516">
        <f t="shared" si="47"/>
        <v>64121</v>
      </c>
    </row>
    <row r="517" spans="1:31">
      <c r="A517">
        <v>24</v>
      </c>
      <c r="B517" s="21">
        <v>511</v>
      </c>
      <c r="C517" s="22">
        <v>8143</v>
      </c>
      <c r="D517" s="22" t="s">
        <v>556</v>
      </c>
      <c r="E517" s="23" t="s">
        <v>15</v>
      </c>
      <c r="F517" s="24">
        <v>19541118</v>
      </c>
      <c r="G517" s="16">
        <f t="shared" si="52"/>
        <v>20046</v>
      </c>
      <c r="H517" s="2">
        <f t="shared" si="53"/>
        <v>66</v>
      </c>
      <c r="I517" s="17"/>
      <c r="J517" s="25">
        <v>19770325</v>
      </c>
      <c r="K517" s="16">
        <f t="shared" si="54"/>
        <v>28209</v>
      </c>
      <c r="L517" s="2">
        <f t="shared" si="55"/>
        <v>44</v>
      </c>
      <c r="M517" s="25"/>
      <c r="N517" s="26"/>
      <c r="O517" s="27">
        <v>0</v>
      </c>
      <c r="P517" s="70">
        <v>30020</v>
      </c>
      <c r="Q517" s="70" t="s">
        <v>53</v>
      </c>
      <c r="R517" s="22">
        <v>2</v>
      </c>
      <c r="S517" s="22"/>
      <c r="T517" s="22">
        <v>3</v>
      </c>
      <c r="AE517">
        <f t="shared" si="47"/>
        <v>30020</v>
      </c>
    </row>
    <row r="518" spans="1:31">
      <c r="A518">
        <v>25</v>
      </c>
      <c r="B518" s="21">
        <v>513</v>
      </c>
      <c r="C518" s="22">
        <v>8145</v>
      </c>
      <c r="D518" s="22" t="s">
        <v>557</v>
      </c>
      <c r="E518" s="23" t="s">
        <v>15</v>
      </c>
      <c r="F518" s="24">
        <v>19550220</v>
      </c>
      <c r="G518" s="16">
        <f t="shared" si="52"/>
        <v>20140</v>
      </c>
      <c r="H518" s="2">
        <f t="shared" si="53"/>
        <v>66</v>
      </c>
      <c r="I518" s="17"/>
      <c r="J518" s="25">
        <v>20150221</v>
      </c>
      <c r="K518" s="16">
        <f t="shared" si="54"/>
        <v>42056</v>
      </c>
      <c r="L518" s="2">
        <f t="shared" si="55"/>
        <v>6</v>
      </c>
      <c r="M518" s="25"/>
      <c r="N518" s="26"/>
      <c r="O518" s="27">
        <v>0</v>
      </c>
      <c r="P518" s="70">
        <v>31020</v>
      </c>
      <c r="Q518" s="70" t="s">
        <v>72</v>
      </c>
      <c r="R518" s="22">
        <v>2</v>
      </c>
      <c r="S518" s="22"/>
      <c r="T518" s="22">
        <v>3</v>
      </c>
      <c r="AE518">
        <f t="shared" ref="AE518:AE571" si="56">ROUNDDOWN(P518*1,0)</f>
        <v>31020</v>
      </c>
    </row>
    <row r="519" spans="1:31">
      <c r="A519">
        <v>26</v>
      </c>
      <c r="B519" s="21">
        <v>515</v>
      </c>
      <c r="C519" s="22">
        <v>8154</v>
      </c>
      <c r="D519" s="22" t="s">
        <v>558</v>
      </c>
      <c r="E519" s="23" t="s">
        <v>15</v>
      </c>
      <c r="F519" s="24">
        <v>19550929</v>
      </c>
      <c r="G519" s="16">
        <f t="shared" si="52"/>
        <v>20361</v>
      </c>
      <c r="H519" s="2">
        <f t="shared" si="53"/>
        <v>65</v>
      </c>
      <c r="I519" s="17"/>
      <c r="J519" s="25">
        <v>19720321</v>
      </c>
      <c r="K519" s="16">
        <f t="shared" si="54"/>
        <v>26379</v>
      </c>
      <c r="L519" s="2">
        <f t="shared" si="55"/>
        <v>49</v>
      </c>
      <c r="M519" s="25"/>
      <c r="N519" s="26"/>
      <c r="O519" s="27">
        <v>0</v>
      </c>
      <c r="P519" s="70">
        <v>67221</v>
      </c>
      <c r="Q519" s="70" t="s">
        <v>476</v>
      </c>
      <c r="R519" s="22">
        <v>2</v>
      </c>
      <c r="S519" s="22"/>
      <c r="T519" s="22">
        <v>3</v>
      </c>
      <c r="AE519">
        <f t="shared" si="56"/>
        <v>67221</v>
      </c>
    </row>
    <row r="520" spans="1:31">
      <c r="A520">
        <v>27</v>
      </c>
      <c r="B520" s="21">
        <v>516</v>
      </c>
      <c r="C520" s="22">
        <v>8155</v>
      </c>
      <c r="D520" s="22" t="s">
        <v>559</v>
      </c>
      <c r="E520" s="23" t="s">
        <v>15</v>
      </c>
      <c r="F520" s="24">
        <v>19551005</v>
      </c>
      <c r="G520" s="16">
        <f t="shared" si="52"/>
        <v>20367</v>
      </c>
      <c r="H520" s="2">
        <f t="shared" si="53"/>
        <v>65</v>
      </c>
      <c r="I520" s="17"/>
      <c r="J520" s="25">
        <v>19720321</v>
      </c>
      <c r="K520" s="16">
        <f t="shared" si="54"/>
        <v>26379</v>
      </c>
      <c r="L520" s="2">
        <f t="shared" si="55"/>
        <v>49</v>
      </c>
      <c r="M520" s="25"/>
      <c r="N520" s="26"/>
      <c r="O520" s="27">
        <v>0</v>
      </c>
      <c r="P520" s="70">
        <v>61220</v>
      </c>
      <c r="Q520" s="70" t="s">
        <v>158</v>
      </c>
      <c r="R520" s="22">
        <v>2</v>
      </c>
      <c r="S520" s="22"/>
      <c r="T520" s="22">
        <v>3</v>
      </c>
      <c r="AE520">
        <f t="shared" si="56"/>
        <v>61220</v>
      </c>
    </row>
    <row r="521" spans="1:31">
      <c r="A521">
        <v>28</v>
      </c>
      <c r="B521" s="21">
        <v>517</v>
      </c>
      <c r="C521" s="22">
        <v>8158</v>
      </c>
      <c r="D521" s="22" t="s">
        <v>560</v>
      </c>
      <c r="E521" s="23" t="s">
        <v>15</v>
      </c>
      <c r="F521" s="24">
        <v>19550104</v>
      </c>
      <c r="G521" s="16">
        <f t="shared" si="52"/>
        <v>20093</v>
      </c>
      <c r="H521" s="2">
        <f t="shared" si="53"/>
        <v>66</v>
      </c>
      <c r="I521" s="17"/>
      <c r="J521" s="25">
        <v>20160106</v>
      </c>
      <c r="K521" s="16">
        <f t="shared" si="54"/>
        <v>42375</v>
      </c>
      <c r="L521" s="2">
        <f t="shared" si="55"/>
        <v>5</v>
      </c>
      <c r="M521" s="25"/>
      <c r="N521" s="26"/>
      <c r="O521" s="27">
        <v>0</v>
      </c>
      <c r="P521" s="70">
        <v>80020</v>
      </c>
      <c r="Q521" s="70" t="s">
        <v>172</v>
      </c>
      <c r="R521" s="22">
        <v>2</v>
      </c>
      <c r="S521" s="22"/>
      <c r="T521" s="22">
        <v>3</v>
      </c>
      <c r="AE521">
        <f t="shared" si="56"/>
        <v>80020</v>
      </c>
    </row>
    <row r="522" spans="1:31">
      <c r="A522">
        <v>29</v>
      </c>
      <c r="B522" s="21"/>
      <c r="C522" s="22">
        <v>8159</v>
      </c>
      <c r="D522" s="22" t="s">
        <v>640</v>
      </c>
      <c r="E522" s="23"/>
      <c r="F522" s="24"/>
      <c r="G522" s="16"/>
      <c r="H522" s="2"/>
      <c r="I522" s="17"/>
      <c r="J522" s="25"/>
      <c r="K522" s="16"/>
      <c r="M522" s="25"/>
      <c r="N522" s="26"/>
      <c r="O522" s="27"/>
      <c r="P522" s="70">
        <v>41021</v>
      </c>
      <c r="Q522" s="70" t="s">
        <v>258</v>
      </c>
      <c r="R522" s="22"/>
      <c r="S522" s="22"/>
      <c r="T522" s="22"/>
      <c r="AE522">
        <f t="shared" si="56"/>
        <v>41021</v>
      </c>
    </row>
    <row r="523" spans="1:31">
      <c r="A523">
        <v>30</v>
      </c>
      <c r="B523" s="21">
        <v>520</v>
      </c>
      <c r="C523" s="22">
        <v>8163</v>
      </c>
      <c r="D523" s="22" t="s">
        <v>561</v>
      </c>
      <c r="E523" s="23" t="s">
        <v>15</v>
      </c>
      <c r="F523" s="24">
        <v>19540915</v>
      </c>
      <c r="G523" s="16">
        <f t="shared" si="52"/>
        <v>19982</v>
      </c>
      <c r="H523" s="2">
        <f t="shared" si="53"/>
        <v>66</v>
      </c>
      <c r="I523" s="17"/>
      <c r="J523" s="25">
        <v>19780320</v>
      </c>
      <c r="K523" s="16">
        <f t="shared" si="54"/>
        <v>28569</v>
      </c>
      <c r="L523" s="2">
        <f t="shared" si="55"/>
        <v>43</v>
      </c>
      <c r="M523" s="25"/>
      <c r="N523" s="26"/>
      <c r="O523" s="27">
        <v>0</v>
      </c>
      <c r="P523" s="70">
        <v>80020</v>
      </c>
      <c r="Q523" s="70" t="s">
        <v>172</v>
      </c>
      <c r="R523" s="22">
        <v>2</v>
      </c>
      <c r="S523" s="22"/>
      <c r="T523" s="22">
        <v>3</v>
      </c>
      <c r="AE523">
        <f t="shared" si="56"/>
        <v>80020</v>
      </c>
    </row>
    <row r="524" spans="1:31">
      <c r="A524">
        <v>31</v>
      </c>
      <c r="B524" s="21">
        <v>522</v>
      </c>
      <c r="C524" s="22">
        <v>8168</v>
      </c>
      <c r="D524" s="22" t="s">
        <v>562</v>
      </c>
      <c r="E524" s="23" t="s">
        <v>15</v>
      </c>
      <c r="F524" s="24">
        <v>19571001</v>
      </c>
      <c r="G524" s="16">
        <f t="shared" si="52"/>
        <v>21094</v>
      </c>
      <c r="H524" s="2">
        <f t="shared" si="53"/>
        <v>63</v>
      </c>
      <c r="I524" s="17"/>
      <c r="J524" s="25">
        <v>19760329</v>
      </c>
      <c r="K524" s="16">
        <f t="shared" si="54"/>
        <v>27848</v>
      </c>
      <c r="L524" s="2">
        <f t="shared" si="55"/>
        <v>45</v>
      </c>
      <c r="M524" s="25"/>
      <c r="N524" s="26"/>
      <c r="O524" s="27">
        <v>0</v>
      </c>
      <c r="P524" s="70">
        <v>30020</v>
      </c>
      <c r="Q524" s="70" t="s">
        <v>53</v>
      </c>
      <c r="R524" s="22">
        <v>2</v>
      </c>
      <c r="S524" s="22"/>
      <c r="T524" s="22">
        <v>3</v>
      </c>
      <c r="AE524">
        <f t="shared" si="56"/>
        <v>30020</v>
      </c>
    </row>
    <row r="525" spans="1:31">
      <c r="A525">
        <v>32</v>
      </c>
      <c r="B525" s="21">
        <v>524</v>
      </c>
      <c r="C525" s="22">
        <v>8171</v>
      </c>
      <c r="D525" s="22" t="s">
        <v>563</v>
      </c>
      <c r="E525" s="23" t="s">
        <v>15</v>
      </c>
      <c r="F525" s="24">
        <v>19571123</v>
      </c>
      <c r="G525" s="16">
        <f t="shared" si="52"/>
        <v>21147</v>
      </c>
      <c r="H525" s="2">
        <f t="shared" si="53"/>
        <v>63</v>
      </c>
      <c r="I525" s="17"/>
      <c r="J525" s="25">
        <v>19760329</v>
      </c>
      <c r="K525" s="16">
        <f t="shared" si="54"/>
        <v>27848</v>
      </c>
      <c r="L525" s="2">
        <f t="shared" si="55"/>
        <v>45</v>
      </c>
      <c r="M525" s="25"/>
      <c r="N525" s="26"/>
      <c r="O525" s="27">
        <v>0</v>
      </c>
      <c r="P525" s="70">
        <v>60320</v>
      </c>
      <c r="Q525" s="70" t="s">
        <v>138</v>
      </c>
      <c r="R525" s="22">
        <v>2</v>
      </c>
      <c r="S525" s="22"/>
      <c r="T525" s="22">
        <v>3</v>
      </c>
      <c r="AE525">
        <f t="shared" si="56"/>
        <v>60320</v>
      </c>
    </row>
    <row r="526" spans="1:31">
      <c r="A526">
        <v>33</v>
      </c>
      <c r="B526" s="21">
        <v>525</v>
      </c>
      <c r="C526" s="22">
        <v>8174</v>
      </c>
      <c r="D526" s="22" t="s">
        <v>564</v>
      </c>
      <c r="E526" s="23" t="s">
        <v>15</v>
      </c>
      <c r="F526" s="24">
        <v>19580415</v>
      </c>
      <c r="G526" s="16">
        <f t="shared" si="52"/>
        <v>21290</v>
      </c>
      <c r="H526" s="2">
        <f t="shared" si="53"/>
        <v>63</v>
      </c>
      <c r="I526" s="17"/>
      <c r="J526" s="25">
        <v>19870908</v>
      </c>
      <c r="K526" s="16">
        <f t="shared" si="54"/>
        <v>32028</v>
      </c>
      <c r="L526" s="2">
        <f t="shared" si="55"/>
        <v>33</v>
      </c>
      <c r="M526" s="25"/>
      <c r="N526" s="26"/>
      <c r="O526" s="27">
        <v>0</v>
      </c>
      <c r="P526" s="70">
        <v>64021</v>
      </c>
      <c r="Q526" s="70" t="s">
        <v>416</v>
      </c>
      <c r="R526" s="22">
        <v>2</v>
      </c>
      <c r="S526" s="22"/>
      <c r="T526" s="22">
        <v>3</v>
      </c>
      <c r="AE526">
        <f t="shared" si="56"/>
        <v>64021</v>
      </c>
    </row>
    <row r="527" spans="1:31">
      <c r="A527">
        <v>34</v>
      </c>
      <c r="B527" s="21">
        <v>526</v>
      </c>
      <c r="C527" s="22">
        <v>8175</v>
      </c>
      <c r="D527" s="22" t="s">
        <v>565</v>
      </c>
      <c r="E527" s="23" t="s">
        <v>15</v>
      </c>
      <c r="F527" s="24">
        <v>19760819</v>
      </c>
      <c r="G527" s="16">
        <f t="shared" si="52"/>
        <v>27991</v>
      </c>
      <c r="H527" s="2">
        <f t="shared" si="53"/>
        <v>44</v>
      </c>
      <c r="I527" s="17"/>
      <c r="J527" s="25">
        <v>20180601</v>
      </c>
      <c r="K527" s="16">
        <f t="shared" si="54"/>
        <v>43252</v>
      </c>
      <c r="L527" s="2">
        <f t="shared" si="55"/>
        <v>3</v>
      </c>
      <c r="M527" s="25"/>
      <c r="N527" s="26"/>
      <c r="O527" s="27">
        <v>0</v>
      </c>
      <c r="P527" s="70">
        <v>65021</v>
      </c>
      <c r="Q527" s="70" t="s">
        <v>433</v>
      </c>
      <c r="R527" s="22">
        <v>2</v>
      </c>
      <c r="S527" s="22"/>
      <c r="T527" s="22">
        <v>3</v>
      </c>
      <c r="AE527">
        <f t="shared" si="56"/>
        <v>65021</v>
      </c>
    </row>
    <row r="528" spans="1:31">
      <c r="A528">
        <v>35</v>
      </c>
      <c r="B528" s="21">
        <v>529</v>
      </c>
      <c r="C528" s="22">
        <v>8181</v>
      </c>
      <c r="D528" s="22" t="s">
        <v>566</v>
      </c>
      <c r="E528" s="23" t="s">
        <v>15</v>
      </c>
      <c r="F528" s="24">
        <v>19590125</v>
      </c>
      <c r="G528" s="16">
        <f t="shared" si="52"/>
        <v>21575</v>
      </c>
      <c r="H528" s="2">
        <f t="shared" si="53"/>
        <v>62</v>
      </c>
      <c r="I528" s="17"/>
      <c r="J528" s="25">
        <v>19830323</v>
      </c>
      <c r="K528" s="16">
        <f t="shared" si="54"/>
        <v>30398</v>
      </c>
      <c r="L528" s="2">
        <f t="shared" si="55"/>
        <v>38</v>
      </c>
      <c r="M528" s="25"/>
      <c r="N528" s="26"/>
      <c r="O528" s="27">
        <v>0</v>
      </c>
      <c r="P528" s="70">
        <v>80020</v>
      </c>
      <c r="Q528" s="70" t="s">
        <v>172</v>
      </c>
      <c r="R528" s="22">
        <v>2</v>
      </c>
      <c r="S528" s="22"/>
      <c r="T528" s="22">
        <v>3</v>
      </c>
      <c r="AE528">
        <f t="shared" si="56"/>
        <v>80020</v>
      </c>
    </row>
    <row r="529" spans="1:31">
      <c r="A529">
        <v>36</v>
      </c>
      <c r="B529" s="21">
        <v>531</v>
      </c>
      <c r="C529" s="22">
        <v>8184</v>
      </c>
      <c r="D529" s="22" t="s">
        <v>567</v>
      </c>
      <c r="E529" s="23" t="s">
        <v>15</v>
      </c>
      <c r="F529" s="24">
        <v>19590226</v>
      </c>
      <c r="G529" s="16">
        <f t="shared" si="52"/>
        <v>21607</v>
      </c>
      <c r="H529" s="2">
        <f t="shared" si="53"/>
        <v>62</v>
      </c>
      <c r="I529" s="17"/>
      <c r="J529" s="25">
        <v>20020701</v>
      </c>
      <c r="K529" s="16">
        <f t="shared" si="54"/>
        <v>37438</v>
      </c>
      <c r="L529" s="2">
        <f t="shared" si="55"/>
        <v>19</v>
      </c>
      <c r="M529" s="25"/>
      <c r="N529" s="26"/>
      <c r="O529" s="27">
        <v>0</v>
      </c>
      <c r="P529" s="70">
        <v>45121</v>
      </c>
      <c r="Q529" s="70" t="s">
        <v>396</v>
      </c>
      <c r="R529" s="22">
        <v>2</v>
      </c>
      <c r="S529" s="22"/>
      <c r="T529" s="22">
        <v>3</v>
      </c>
      <c r="AE529">
        <f t="shared" si="56"/>
        <v>45121</v>
      </c>
    </row>
    <row r="530" spans="1:31">
      <c r="A530">
        <v>37</v>
      </c>
      <c r="B530" s="21">
        <v>532</v>
      </c>
      <c r="C530" s="22">
        <v>8185</v>
      </c>
      <c r="D530" s="22" t="s">
        <v>568</v>
      </c>
      <c r="E530" s="23" t="s">
        <v>15</v>
      </c>
      <c r="F530" s="24">
        <v>19531107</v>
      </c>
      <c r="G530" s="16">
        <f t="shared" si="52"/>
        <v>19670</v>
      </c>
      <c r="H530" s="2">
        <f t="shared" si="53"/>
        <v>67</v>
      </c>
      <c r="I530" s="17"/>
      <c r="J530" s="25">
        <v>19790320</v>
      </c>
      <c r="K530" s="16">
        <f t="shared" si="54"/>
        <v>28934</v>
      </c>
      <c r="L530" s="2">
        <f t="shared" si="55"/>
        <v>42</v>
      </c>
      <c r="M530" s="25"/>
      <c r="N530" s="26"/>
      <c r="O530" s="27">
        <v>0</v>
      </c>
      <c r="P530" s="70">
        <v>80020</v>
      </c>
      <c r="Q530" s="70" t="s">
        <v>172</v>
      </c>
      <c r="R530" s="22">
        <v>2</v>
      </c>
      <c r="S530" s="22"/>
      <c r="T530" s="22">
        <v>3</v>
      </c>
      <c r="AE530">
        <f t="shared" si="56"/>
        <v>80020</v>
      </c>
    </row>
    <row r="531" spans="1:31">
      <c r="A531">
        <v>38</v>
      </c>
      <c r="B531" s="21">
        <v>533</v>
      </c>
      <c r="C531" s="22">
        <v>8187</v>
      </c>
      <c r="D531" s="22" t="s">
        <v>569</v>
      </c>
      <c r="E531" s="23" t="s">
        <v>69</v>
      </c>
      <c r="F531" s="24">
        <v>19591001</v>
      </c>
      <c r="G531" s="16">
        <f t="shared" si="52"/>
        <v>21824</v>
      </c>
      <c r="H531" s="2">
        <f t="shared" si="53"/>
        <v>61</v>
      </c>
      <c r="I531" s="17"/>
      <c r="J531" s="25">
        <v>19760323</v>
      </c>
      <c r="K531" s="16">
        <f t="shared" si="54"/>
        <v>27842</v>
      </c>
      <c r="L531" s="2">
        <f t="shared" si="55"/>
        <v>45</v>
      </c>
      <c r="M531" s="25"/>
      <c r="N531" s="26"/>
      <c r="O531" s="27">
        <v>0</v>
      </c>
      <c r="P531" s="70">
        <v>61220</v>
      </c>
      <c r="Q531" s="70" t="s">
        <v>158</v>
      </c>
      <c r="R531" s="22">
        <v>2</v>
      </c>
      <c r="S531" s="22"/>
      <c r="T531" s="22">
        <v>3</v>
      </c>
      <c r="AE531">
        <f t="shared" si="56"/>
        <v>61220</v>
      </c>
    </row>
    <row r="532" spans="1:31">
      <c r="A532">
        <v>39</v>
      </c>
      <c r="B532" s="21">
        <v>534</v>
      </c>
      <c r="C532" s="22">
        <v>8188</v>
      </c>
      <c r="D532" s="22" t="s">
        <v>570</v>
      </c>
      <c r="E532" s="23" t="s">
        <v>69</v>
      </c>
      <c r="F532" s="24">
        <v>19591011</v>
      </c>
      <c r="G532" s="16">
        <f t="shared" si="52"/>
        <v>21834</v>
      </c>
      <c r="H532" s="2">
        <f t="shared" si="53"/>
        <v>61</v>
      </c>
      <c r="I532" s="17"/>
      <c r="J532" s="25">
        <v>19750325</v>
      </c>
      <c r="K532" s="16">
        <f t="shared" si="54"/>
        <v>27478</v>
      </c>
      <c r="L532" s="2">
        <f t="shared" si="55"/>
        <v>46</v>
      </c>
      <c r="M532" s="25"/>
      <c r="N532" s="26"/>
      <c r="O532" s="27">
        <v>0</v>
      </c>
      <c r="P532" s="70">
        <v>69221</v>
      </c>
      <c r="Q532" s="70" t="s">
        <v>508</v>
      </c>
      <c r="R532" s="22">
        <v>2</v>
      </c>
      <c r="S532" s="22"/>
      <c r="T532" s="22">
        <v>3</v>
      </c>
      <c r="AE532">
        <f t="shared" si="56"/>
        <v>69221</v>
      </c>
    </row>
    <row r="533" spans="1:31">
      <c r="A533">
        <v>40</v>
      </c>
      <c r="B533" s="21">
        <v>535</v>
      </c>
      <c r="C533" s="22">
        <v>8189</v>
      </c>
      <c r="D533" s="22" t="s">
        <v>571</v>
      </c>
      <c r="E533" s="23" t="s">
        <v>69</v>
      </c>
      <c r="F533" s="24">
        <v>19591030</v>
      </c>
      <c r="G533" s="16">
        <f t="shared" si="52"/>
        <v>21853</v>
      </c>
      <c r="H533" s="2">
        <f t="shared" si="53"/>
        <v>61</v>
      </c>
      <c r="I533" s="17"/>
      <c r="J533" s="25">
        <v>19770323</v>
      </c>
      <c r="K533" s="16">
        <f t="shared" si="54"/>
        <v>28207</v>
      </c>
      <c r="L533" s="2">
        <f t="shared" si="55"/>
        <v>44</v>
      </c>
      <c r="M533" s="25"/>
      <c r="N533" s="26"/>
      <c r="O533" s="27">
        <v>0</v>
      </c>
      <c r="P533" s="70">
        <v>80020</v>
      </c>
      <c r="Q533" s="70" t="s">
        <v>172</v>
      </c>
      <c r="R533" s="22">
        <v>2</v>
      </c>
      <c r="S533" s="22"/>
      <c r="T533" s="22">
        <v>3</v>
      </c>
      <c r="AE533">
        <f t="shared" si="56"/>
        <v>80020</v>
      </c>
    </row>
    <row r="534" spans="1:31">
      <c r="A534">
        <v>41</v>
      </c>
      <c r="B534" s="21">
        <v>536</v>
      </c>
      <c r="C534" s="22">
        <v>8190</v>
      </c>
      <c r="D534" s="22" t="s">
        <v>572</v>
      </c>
      <c r="E534" s="23" t="s">
        <v>69</v>
      </c>
      <c r="F534" s="24">
        <v>19591104</v>
      </c>
      <c r="G534" s="16">
        <f t="shared" si="52"/>
        <v>21858</v>
      </c>
      <c r="H534" s="2">
        <f t="shared" si="53"/>
        <v>61</v>
      </c>
      <c r="I534" s="17"/>
      <c r="J534" s="25">
        <v>19760323</v>
      </c>
      <c r="K534" s="16">
        <f t="shared" si="54"/>
        <v>27842</v>
      </c>
      <c r="L534" s="2">
        <f t="shared" si="55"/>
        <v>45</v>
      </c>
      <c r="M534" s="25"/>
      <c r="N534" s="26"/>
      <c r="O534" s="27">
        <v>0</v>
      </c>
      <c r="P534" s="70">
        <v>41021</v>
      </c>
      <c r="Q534" s="70" t="s">
        <v>258</v>
      </c>
      <c r="R534" s="22">
        <v>2</v>
      </c>
      <c r="S534" s="22"/>
      <c r="T534" s="22">
        <v>3</v>
      </c>
      <c r="AE534">
        <f t="shared" si="56"/>
        <v>41021</v>
      </c>
    </row>
    <row r="535" spans="1:31">
      <c r="A535">
        <v>42</v>
      </c>
      <c r="B535" s="21">
        <v>538</v>
      </c>
      <c r="C535" s="22">
        <v>8192</v>
      </c>
      <c r="D535" s="22" t="s">
        <v>573</v>
      </c>
      <c r="E535" s="23" t="s">
        <v>69</v>
      </c>
      <c r="F535" s="24">
        <v>19600225</v>
      </c>
      <c r="G535" s="16">
        <f t="shared" si="52"/>
        <v>21971</v>
      </c>
      <c r="H535" s="2">
        <f t="shared" si="53"/>
        <v>61</v>
      </c>
      <c r="I535" s="17"/>
      <c r="J535" s="25">
        <v>19780313</v>
      </c>
      <c r="K535" s="16">
        <f t="shared" si="54"/>
        <v>28562</v>
      </c>
      <c r="L535" s="2">
        <f t="shared" si="55"/>
        <v>43</v>
      </c>
      <c r="M535" s="25"/>
      <c r="N535" s="26"/>
      <c r="O535" s="27">
        <v>0</v>
      </c>
      <c r="P535" s="70">
        <v>65021</v>
      </c>
      <c r="Q535" s="70" t="s">
        <v>433</v>
      </c>
      <c r="R535" s="22">
        <v>2</v>
      </c>
      <c r="S535" s="22"/>
      <c r="T535" s="22">
        <v>3</v>
      </c>
      <c r="AE535">
        <f t="shared" si="56"/>
        <v>65021</v>
      </c>
    </row>
    <row r="536" spans="1:31">
      <c r="A536">
        <v>43</v>
      </c>
      <c r="B536" s="21">
        <v>539</v>
      </c>
      <c r="C536" s="22">
        <v>8193</v>
      </c>
      <c r="D536" s="22" t="s">
        <v>574</v>
      </c>
      <c r="E536" s="23" t="s">
        <v>69</v>
      </c>
      <c r="F536" s="24">
        <v>19600519</v>
      </c>
      <c r="G536" s="16">
        <f t="shared" si="52"/>
        <v>22055</v>
      </c>
      <c r="H536" s="2">
        <f t="shared" si="53"/>
        <v>61</v>
      </c>
      <c r="I536" s="17"/>
      <c r="J536" s="25">
        <v>19840321</v>
      </c>
      <c r="K536" s="16">
        <f t="shared" si="54"/>
        <v>30762</v>
      </c>
      <c r="L536" s="2">
        <f t="shared" si="55"/>
        <v>37</v>
      </c>
      <c r="M536" s="25"/>
      <c r="N536" s="26"/>
      <c r="O536" s="27">
        <v>0</v>
      </c>
      <c r="P536" s="70">
        <v>30020</v>
      </c>
      <c r="Q536" s="70" t="s">
        <v>53</v>
      </c>
      <c r="R536" s="22">
        <v>2</v>
      </c>
      <c r="S536" s="22"/>
      <c r="T536" s="22">
        <v>3</v>
      </c>
      <c r="AE536">
        <f t="shared" si="56"/>
        <v>30020</v>
      </c>
    </row>
    <row r="537" spans="1:31">
      <c r="A537">
        <v>44</v>
      </c>
      <c r="B537" s="21">
        <v>540</v>
      </c>
      <c r="C537" s="22">
        <v>8194</v>
      </c>
      <c r="D537" s="22" t="s">
        <v>575</v>
      </c>
      <c r="E537" s="23" t="s">
        <v>69</v>
      </c>
      <c r="F537" s="24">
        <v>19600816</v>
      </c>
      <c r="G537" s="16">
        <f t="shared" si="52"/>
        <v>22144</v>
      </c>
      <c r="H537" s="2">
        <f t="shared" si="53"/>
        <v>60</v>
      </c>
      <c r="I537" s="17"/>
      <c r="J537" s="25">
        <v>19770323</v>
      </c>
      <c r="K537" s="16">
        <f t="shared" si="54"/>
        <v>28207</v>
      </c>
      <c r="L537" s="2">
        <f t="shared" si="55"/>
        <v>44</v>
      </c>
      <c r="M537" s="25"/>
      <c r="N537" s="26"/>
      <c r="O537" s="27">
        <v>0</v>
      </c>
      <c r="P537" s="70">
        <v>67021</v>
      </c>
      <c r="Q537" s="70" t="s">
        <v>466</v>
      </c>
      <c r="R537" s="22">
        <v>2</v>
      </c>
      <c r="S537" s="22"/>
      <c r="T537" s="22">
        <v>3</v>
      </c>
      <c r="AE537">
        <f t="shared" si="56"/>
        <v>67021</v>
      </c>
    </row>
    <row r="538" spans="1:31">
      <c r="A538">
        <v>45</v>
      </c>
      <c r="B538" s="21">
        <v>541</v>
      </c>
      <c r="C538" s="22">
        <v>8195</v>
      </c>
      <c r="D538" s="22" t="s">
        <v>576</v>
      </c>
      <c r="E538" s="23" t="s">
        <v>15</v>
      </c>
      <c r="F538" s="24">
        <v>19600928</v>
      </c>
      <c r="G538" s="16">
        <f t="shared" si="52"/>
        <v>22187</v>
      </c>
      <c r="H538" s="2">
        <f t="shared" si="53"/>
        <v>60</v>
      </c>
      <c r="I538" s="17"/>
      <c r="J538" s="25">
        <v>19790322</v>
      </c>
      <c r="K538" s="16">
        <f t="shared" si="54"/>
        <v>28936</v>
      </c>
      <c r="L538" s="2">
        <f t="shared" si="55"/>
        <v>42</v>
      </c>
      <c r="M538" s="25"/>
      <c r="N538" s="26"/>
      <c r="O538" s="27">
        <v>0</v>
      </c>
      <c r="P538" s="70">
        <v>41220</v>
      </c>
      <c r="Q538" s="70" t="s">
        <v>103</v>
      </c>
      <c r="R538" s="22">
        <v>2</v>
      </c>
      <c r="S538" s="22"/>
      <c r="T538" s="22">
        <v>3</v>
      </c>
      <c r="AE538">
        <f t="shared" si="56"/>
        <v>41220</v>
      </c>
    </row>
    <row r="539" spans="1:31">
      <c r="A539">
        <v>46</v>
      </c>
      <c r="B539" s="21"/>
      <c r="C539" s="32">
        <v>8196</v>
      </c>
      <c r="D539" s="22" t="s">
        <v>577</v>
      </c>
      <c r="E539" s="33" t="s">
        <v>69</v>
      </c>
      <c r="F539" s="34"/>
      <c r="J539" s="30"/>
      <c r="M539" s="30"/>
      <c r="N539" s="35"/>
      <c r="O539" s="36"/>
      <c r="P539" s="70">
        <v>61320</v>
      </c>
      <c r="Q539" s="70" t="s">
        <v>162</v>
      </c>
      <c r="R539" s="22"/>
      <c r="S539" s="22"/>
      <c r="T539" s="22"/>
      <c r="AE539">
        <f t="shared" si="56"/>
        <v>61320</v>
      </c>
    </row>
    <row r="540" spans="1:31">
      <c r="A540">
        <v>47</v>
      </c>
      <c r="B540" s="21"/>
      <c r="C540" s="32">
        <v>8197</v>
      </c>
      <c r="D540" s="22" t="s">
        <v>578</v>
      </c>
      <c r="E540" s="33" t="s">
        <v>69</v>
      </c>
      <c r="F540" s="34"/>
      <c r="J540" s="30"/>
      <c r="M540" s="30"/>
      <c r="N540" s="35"/>
      <c r="O540" s="36"/>
      <c r="P540" s="70">
        <v>69021</v>
      </c>
      <c r="Q540" s="70" t="s">
        <v>489</v>
      </c>
      <c r="R540" s="22"/>
      <c r="S540" s="22"/>
      <c r="T540" s="22"/>
      <c r="AE540">
        <f t="shared" si="56"/>
        <v>69021</v>
      </c>
    </row>
    <row r="541" spans="1:31">
      <c r="A541">
        <v>48</v>
      </c>
      <c r="B541" s="21"/>
      <c r="C541" s="32">
        <v>8198</v>
      </c>
      <c r="D541" s="22" t="s">
        <v>579</v>
      </c>
      <c r="E541" s="33" t="s">
        <v>69</v>
      </c>
      <c r="F541" s="34"/>
      <c r="J541" s="30"/>
      <c r="M541" s="30"/>
      <c r="N541" s="35"/>
      <c r="O541" s="36"/>
      <c r="P541" s="70">
        <v>63020</v>
      </c>
      <c r="Q541" s="70" t="s">
        <v>165</v>
      </c>
      <c r="R541" s="22"/>
      <c r="S541" s="22"/>
      <c r="T541" s="22"/>
      <c r="AE541">
        <f t="shared" si="56"/>
        <v>63020</v>
      </c>
    </row>
    <row r="542" spans="1:31">
      <c r="A542">
        <v>49</v>
      </c>
      <c r="B542" s="21"/>
      <c r="C542" s="32">
        <v>8199</v>
      </c>
      <c r="D542" s="22" t="s">
        <v>580</v>
      </c>
      <c r="E542" s="33" t="s">
        <v>69</v>
      </c>
      <c r="F542" s="34"/>
      <c r="J542" s="30"/>
      <c r="M542" s="30"/>
      <c r="N542" s="35"/>
      <c r="O542" s="36"/>
      <c r="P542" s="70">
        <v>44220</v>
      </c>
      <c r="Q542" s="70" t="s">
        <v>114</v>
      </c>
      <c r="R542" s="22"/>
      <c r="S542" s="22"/>
      <c r="T542" s="22"/>
      <c r="AE542">
        <f t="shared" si="56"/>
        <v>44220</v>
      </c>
    </row>
    <row r="543" spans="1:31">
      <c r="A543">
        <v>50</v>
      </c>
      <c r="B543" s="21">
        <v>64</v>
      </c>
      <c r="C543" s="22">
        <v>8200</v>
      </c>
      <c r="D543" s="22" t="s">
        <v>581</v>
      </c>
      <c r="E543" s="23" t="s">
        <v>15</v>
      </c>
      <c r="F543" s="24">
        <v>19610404</v>
      </c>
      <c r="G543" s="16">
        <f>DATE(INT(F543/10000),INT(MOD(F543,10000)/100),MOD(F543,100))</f>
        <v>22375</v>
      </c>
      <c r="H543" s="2">
        <f>DATEDIF(G543,$G$4,"Y")</f>
        <v>60</v>
      </c>
      <c r="I543" s="17"/>
      <c r="J543" s="25">
        <v>19800324</v>
      </c>
      <c r="K543" s="16">
        <f>DATE(INT(J543/10000),INT(MOD(J543,10000)/100),MOD(J543,100))</f>
        <v>29304</v>
      </c>
      <c r="L543" s="2">
        <f>DATEDIF(K543,$G$4,"Y")</f>
        <v>41</v>
      </c>
      <c r="M543" s="25"/>
      <c r="N543" s="26"/>
      <c r="O543" s="27" t="s">
        <v>89</v>
      </c>
      <c r="P543" s="70">
        <v>61220</v>
      </c>
      <c r="Q543" s="70" t="s">
        <v>158</v>
      </c>
      <c r="R543" s="22">
        <v>0</v>
      </c>
      <c r="S543" s="22"/>
      <c r="T543" s="22">
        <v>1</v>
      </c>
      <c r="AE543">
        <f t="shared" si="56"/>
        <v>61220</v>
      </c>
    </row>
    <row r="544" spans="1:31">
      <c r="A544">
        <v>51</v>
      </c>
      <c r="B544" s="21">
        <v>380</v>
      </c>
      <c r="C544" s="22">
        <v>8201</v>
      </c>
      <c r="D544" s="22" t="s">
        <v>582</v>
      </c>
      <c r="E544" s="23" t="s">
        <v>15</v>
      </c>
      <c r="F544" s="24">
        <v>19610502</v>
      </c>
      <c r="G544" s="16">
        <f>DATE(INT(F544/10000),INT(MOD(F544,10000)/100),MOD(F544,100))</f>
        <v>22403</v>
      </c>
      <c r="H544" s="2">
        <f>DATEDIF(G544,$G$4,"Y")</f>
        <v>60</v>
      </c>
      <c r="I544" s="17"/>
      <c r="J544" s="25">
        <v>19941121</v>
      </c>
      <c r="K544" s="16">
        <f>DATE(INT(J544/10000),INT(MOD(J544,10000)/100),MOD(J544,100))</f>
        <v>34659</v>
      </c>
      <c r="L544" s="2">
        <f>DATEDIF(K544,$G$4,"Y")</f>
        <v>26</v>
      </c>
      <c r="M544" s="25"/>
      <c r="N544" s="26"/>
      <c r="O544" s="27" t="s">
        <v>35</v>
      </c>
      <c r="P544" s="70">
        <v>64021</v>
      </c>
      <c r="Q544" s="70" t="s">
        <v>416</v>
      </c>
      <c r="R544" s="22">
        <v>1</v>
      </c>
      <c r="S544" s="22" t="s">
        <v>70</v>
      </c>
      <c r="T544" s="22">
        <v>2</v>
      </c>
      <c r="AE544">
        <f t="shared" si="56"/>
        <v>64021</v>
      </c>
    </row>
    <row r="545" spans="1:31">
      <c r="A545">
        <v>52</v>
      </c>
      <c r="B545" s="21">
        <v>441</v>
      </c>
      <c r="C545" s="22">
        <v>8202</v>
      </c>
      <c r="D545" s="22" t="s">
        <v>583</v>
      </c>
      <c r="E545" s="23" t="s">
        <v>15</v>
      </c>
      <c r="F545" s="24">
        <v>19610616</v>
      </c>
      <c r="G545" s="16">
        <f>DATE(INT(F545/10000),INT(MOD(F545,10000)/100),MOD(F545,100))</f>
        <v>22448</v>
      </c>
      <c r="H545" s="2">
        <f>DATEDIF(G545,$G$4,"Y")</f>
        <v>60</v>
      </c>
      <c r="I545" s="17"/>
      <c r="J545" s="25">
        <v>19770323</v>
      </c>
      <c r="K545" s="16">
        <f>DATE(INT(J545/10000),INT(MOD(J545,10000)/100),MOD(J545,100))</f>
        <v>28207</v>
      </c>
      <c r="L545" s="2">
        <f>DATEDIF(K545,$G$4,"Y")</f>
        <v>44</v>
      </c>
      <c r="M545" s="25"/>
      <c r="N545" s="26"/>
      <c r="O545" s="27" t="s">
        <v>77</v>
      </c>
      <c r="P545" s="70">
        <v>68021</v>
      </c>
      <c r="Q545" s="70" t="s">
        <v>483</v>
      </c>
      <c r="R545" s="22">
        <v>1</v>
      </c>
      <c r="S545" s="22" t="s">
        <v>70</v>
      </c>
      <c r="T545" s="22">
        <v>2</v>
      </c>
      <c r="AE545">
        <f t="shared" si="56"/>
        <v>68021</v>
      </c>
    </row>
    <row r="546" spans="1:31">
      <c r="A546">
        <v>53</v>
      </c>
      <c r="B546" s="21">
        <v>443</v>
      </c>
      <c r="C546" s="22">
        <v>8203</v>
      </c>
      <c r="D546" s="22" t="s">
        <v>584</v>
      </c>
      <c r="E546" s="23" t="s">
        <v>15</v>
      </c>
      <c r="F546" s="24">
        <v>19610607</v>
      </c>
      <c r="G546" s="16">
        <f>DATE(INT(F546/10000),INT(MOD(F546,10000)/100),MOD(F546,100))</f>
        <v>22439</v>
      </c>
      <c r="H546" s="2">
        <f>DATEDIF(G546,$G$4,"Y")</f>
        <v>60</v>
      </c>
      <c r="I546" s="17"/>
      <c r="J546" s="25">
        <v>19790323</v>
      </c>
      <c r="K546" s="16">
        <f>DATE(INT(J546/10000),INT(MOD(J546,10000)/100),MOD(J546,100))</f>
        <v>28937</v>
      </c>
      <c r="L546" s="2">
        <f>DATEDIF(K546,$G$4,"Y")</f>
        <v>42</v>
      </c>
      <c r="M546" s="25"/>
      <c r="N546" s="26"/>
      <c r="O546" s="27" t="s">
        <v>75</v>
      </c>
      <c r="P546" s="70">
        <v>41121</v>
      </c>
      <c r="Q546" s="70" t="s">
        <v>280</v>
      </c>
      <c r="R546" s="22">
        <v>1</v>
      </c>
      <c r="S546" s="22" t="s">
        <v>70</v>
      </c>
      <c r="T546" s="22">
        <v>2</v>
      </c>
      <c r="AE546">
        <f t="shared" si="56"/>
        <v>41121</v>
      </c>
    </row>
    <row r="547" spans="1:31">
      <c r="A547">
        <v>54</v>
      </c>
      <c r="B547" s="21">
        <v>72</v>
      </c>
      <c r="C547" s="22">
        <v>8204</v>
      </c>
      <c r="D547" s="22" t="s">
        <v>171</v>
      </c>
      <c r="E547" s="23" t="s">
        <v>15</v>
      </c>
      <c r="F547" s="24">
        <v>19610710</v>
      </c>
      <c r="G547" s="16">
        <f>DATE(INT(F547/10000),INT(MOD(F547,10000)/100),MOD(F547,100))</f>
        <v>22472</v>
      </c>
      <c r="H547" s="2">
        <f>DATEDIF(G547,$G$4,"Y")</f>
        <v>60</v>
      </c>
      <c r="I547" s="17"/>
      <c r="J547" s="25">
        <v>19840326</v>
      </c>
      <c r="K547" s="16">
        <f>DATE(INT(J547/10000),INT(MOD(J547,10000)/100),MOD(J547,100))</f>
        <v>30767</v>
      </c>
      <c r="L547" s="2">
        <f>DATEDIF(K547,$G$4,"Y")</f>
        <v>37</v>
      </c>
      <c r="M547" s="25"/>
      <c r="N547" s="26"/>
      <c r="O547" s="27" t="s">
        <v>16</v>
      </c>
      <c r="P547" s="70">
        <v>80020</v>
      </c>
      <c r="Q547" s="70" t="s">
        <v>172</v>
      </c>
      <c r="R547" s="22">
        <v>0</v>
      </c>
      <c r="S547" s="22"/>
      <c r="T547" s="22">
        <v>1</v>
      </c>
      <c r="AE547">
        <f t="shared" si="56"/>
        <v>80020</v>
      </c>
    </row>
    <row r="548" spans="1:31">
      <c r="A548">
        <v>55</v>
      </c>
      <c r="B548" s="21">
        <v>470</v>
      </c>
      <c r="C548" s="22">
        <v>7644</v>
      </c>
      <c r="D548" s="22" t="s">
        <v>585</v>
      </c>
      <c r="E548" s="23" t="s">
        <v>34</v>
      </c>
      <c r="F548" s="24">
        <v>19671022</v>
      </c>
      <c r="G548" s="16">
        <f t="shared" ref="G548:G571" si="57">DATE(INT(F548/10000),INT(MOD(F548,10000)/100),MOD(F548,100))</f>
        <v>24767</v>
      </c>
      <c r="H548" s="2">
        <f t="shared" ref="H548:H571" si="58">DATEDIF(G548,$G$4,"Y")</f>
        <v>53</v>
      </c>
      <c r="I548" s="17"/>
      <c r="J548" s="25">
        <v>20000216</v>
      </c>
      <c r="K548" s="16">
        <f t="shared" ref="K548:K571" si="59">DATE(INT(J548/10000),INT(MOD(J548,10000)/100),MOD(J548,100))</f>
        <v>36572</v>
      </c>
      <c r="L548" s="2">
        <f t="shared" ref="L548:L571" si="60">DATEDIF(K548,$G$4,"Y")</f>
        <v>21</v>
      </c>
      <c r="M548" s="25"/>
      <c r="N548" s="26"/>
      <c r="O548" s="27">
        <v>0</v>
      </c>
      <c r="P548" s="70">
        <v>66021</v>
      </c>
      <c r="Q548" s="70" t="s">
        <v>449</v>
      </c>
      <c r="R548" s="22">
        <v>2</v>
      </c>
      <c r="S548" s="22"/>
      <c r="T548" s="22">
        <v>3</v>
      </c>
      <c r="AE548">
        <f t="shared" si="56"/>
        <v>66021</v>
      </c>
    </row>
    <row r="549" spans="1:31">
      <c r="A549">
        <v>56</v>
      </c>
      <c r="B549" s="21">
        <v>472</v>
      </c>
      <c r="C549" s="22">
        <v>7676</v>
      </c>
      <c r="D549" s="22" t="s">
        <v>586</v>
      </c>
      <c r="E549" s="23" t="s">
        <v>34</v>
      </c>
      <c r="F549" s="24">
        <v>19520806</v>
      </c>
      <c r="G549" s="16">
        <f t="shared" si="57"/>
        <v>19212</v>
      </c>
      <c r="H549" s="2">
        <f t="shared" si="58"/>
        <v>68</v>
      </c>
      <c r="I549" s="17"/>
      <c r="J549" s="25">
        <v>20010831</v>
      </c>
      <c r="K549" s="16">
        <f t="shared" si="59"/>
        <v>37134</v>
      </c>
      <c r="L549" s="2">
        <f t="shared" si="60"/>
        <v>19</v>
      </c>
      <c r="M549" s="25"/>
      <c r="N549" s="26"/>
      <c r="O549" s="27">
        <v>0</v>
      </c>
      <c r="P549" s="70">
        <v>42421</v>
      </c>
      <c r="Q549" s="70" t="s">
        <v>339</v>
      </c>
      <c r="R549" s="22">
        <v>2</v>
      </c>
      <c r="S549" s="22"/>
      <c r="T549" s="22">
        <v>3</v>
      </c>
      <c r="AE549">
        <f t="shared" si="56"/>
        <v>42421</v>
      </c>
    </row>
    <row r="550" spans="1:31">
      <c r="A550">
        <v>57</v>
      </c>
      <c r="B550" s="21">
        <v>473</v>
      </c>
      <c r="C550" s="22">
        <v>7680</v>
      </c>
      <c r="D550" s="22" t="s">
        <v>587</v>
      </c>
      <c r="E550" s="23" t="s">
        <v>34</v>
      </c>
      <c r="F550" s="24">
        <v>19530716</v>
      </c>
      <c r="G550" s="16">
        <f t="shared" si="57"/>
        <v>19556</v>
      </c>
      <c r="H550" s="2">
        <f t="shared" si="58"/>
        <v>68</v>
      </c>
      <c r="I550" s="17"/>
      <c r="J550" s="25">
        <v>20011024</v>
      </c>
      <c r="K550" s="16">
        <f t="shared" si="59"/>
        <v>37188</v>
      </c>
      <c r="L550" s="2">
        <f t="shared" si="60"/>
        <v>19</v>
      </c>
      <c r="M550" s="25"/>
      <c r="N550" s="26"/>
      <c r="O550" s="27">
        <v>0</v>
      </c>
      <c r="P550" s="70">
        <v>43221</v>
      </c>
      <c r="Q550" s="70" t="s">
        <v>364</v>
      </c>
      <c r="R550" s="22">
        <v>2</v>
      </c>
      <c r="S550" s="22"/>
      <c r="T550" s="22">
        <v>3</v>
      </c>
      <c r="AE550">
        <f t="shared" si="56"/>
        <v>43221</v>
      </c>
    </row>
    <row r="551" spans="1:31">
      <c r="A551">
        <v>58</v>
      </c>
      <c r="B551" s="21">
        <v>475</v>
      </c>
      <c r="C551" s="22">
        <v>7776</v>
      </c>
      <c r="D551" s="22" t="s">
        <v>588</v>
      </c>
      <c r="E551" s="23" t="s">
        <v>34</v>
      </c>
      <c r="F551" s="24">
        <v>19760203</v>
      </c>
      <c r="G551" s="16">
        <f t="shared" si="57"/>
        <v>27793</v>
      </c>
      <c r="H551" s="2">
        <f t="shared" si="58"/>
        <v>45</v>
      </c>
      <c r="I551" s="17"/>
      <c r="J551" s="25">
        <v>20030903</v>
      </c>
      <c r="K551" s="16">
        <f t="shared" si="59"/>
        <v>37867</v>
      </c>
      <c r="L551" s="2">
        <f t="shared" si="60"/>
        <v>17</v>
      </c>
      <c r="M551" s="25"/>
      <c r="N551" s="26"/>
      <c r="O551" s="27">
        <v>0</v>
      </c>
      <c r="P551" s="70">
        <v>43221</v>
      </c>
      <c r="Q551" s="70" t="s">
        <v>364</v>
      </c>
      <c r="R551" s="22">
        <v>2</v>
      </c>
      <c r="S551" s="22"/>
      <c r="T551" s="22">
        <v>3</v>
      </c>
      <c r="AE551">
        <f t="shared" si="56"/>
        <v>43221</v>
      </c>
    </row>
    <row r="552" spans="1:31">
      <c r="A552">
        <v>59</v>
      </c>
      <c r="B552" s="21">
        <v>477</v>
      </c>
      <c r="C552" s="22">
        <v>7839</v>
      </c>
      <c r="D552" s="22" t="s">
        <v>589</v>
      </c>
      <c r="E552" s="23" t="s">
        <v>34</v>
      </c>
      <c r="F552" s="24">
        <v>19540320</v>
      </c>
      <c r="G552" s="16">
        <f t="shared" si="57"/>
        <v>19803</v>
      </c>
      <c r="H552" s="2">
        <f t="shared" si="58"/>
        <v>67</v>
      </c>
      <c r="I552" s="17"/>
      <c r="J552" s="25">
        <v>20050210</v>
      </c>
      <c r="K552" s="16">
        <f t="shared" si="59"/>
        <v>38393</v>
      </c>
      <c r="L552" s="2">
        <f t="shared" si="60"/>
        <v>16</v>
      </c>
      <c r="M552" s="25"/>
      <c r="N552" s="26"/>
      <c r="O552" s="27">
        <v>0</v>
      </c>
      <c r="P552" s="70">
        <v>43221</v>
      </c>
      <c r="Q552" s="70" t="s">
        <v>364</v>
      </c>
      <c r="R552" s="22">
        <v>2</v>
      </c>
      <c r="S552" s="22"/>
      <c r="T552" s="22">
        <v>3</v>
      </c>
      <c r="AE552">
        <f t="shared" si="56"/>
        <v>43221</v>
      </c>
    </row>
    <row r="553" spans="1:31">
      <c r="A553">
        <v>60</v>
      </c>
      <c r="B553" s="21">
        <v>479</v>
      </c>
      <c r="C553" s="22">
        <v>7874</v>
      </c>
      <c r="D553" s="22" t="s">
        <v>590</v>
      </c>
      <c r="E553" s="23" t="s">
        <v>34</v>
      </c>
      <c r="F553" s="24">
        <v>19540214</v>
      </c>
      <c r="G553" s="16">
        <f t="shared" si="57"/>
        <v>19769</v>
      </c>
      <c r="H553" s="2">
        <f t="shared" si="58"/>
        <v>67</v>
      </c>
      <c r="I553" s="17"/>
      <c r="J553" s="25">
        <v>20051121</v>
      </c>
      <c r="K553" s="16">
        <f t="shared" si="59"/>
        <v>38677</v>
      </c>
      <c r="L553" s="2">
        <f t="shared" si="60"/>
        <v>15</v>
      </c>
      <c r="M553" s="25"/>
      <c r="N553" s="26"/>
      <c r="O553" s="27">
        <v>0</v>
      </c>
      <c r="P553" s="70">
        <v>69221</v>
      </c>
      <c r="Q553" s="70" t="s">
        <v>508</v>
      </c>
      <c r="R553" s="22">
        <v>2</v>
      </c>
      <c r="S553" s="22"/>
      <c r="T553" s="22">
        <v>3</v>
      </c>
      <c r="AE553">
        <f t="shared" si="56"/>
        <v>69221</v>
      </c>
    </row>
    <row r="554" spans="1:31">
      <c r="A554">
        <v>61</v>
      </c>
      <c r="B554" s="21">
        <v>480</v>
      </c>
      <c r="C554" s="22">
        <v>7907</v>
      </c>
      <c r="D554" s="22" t="s">
        <v>591</v>
      </c>
      <c r="E554" s="23" t="s">
        <v>34</v>
      </c>
      <c r="F554" s="24">
        <v>19680111</v>
      </c>
      <c r="G554" s="16">
        <f t="shared" si="57"/>
        <v>24848</v>
      </c>
      <c r="H554" s="2">
        <f t="shared" si="58"/>
        <v>53</v>
      </c>
      <c r="I554" s="17"/>
      <c r="J554" s="25">
        <v>20060727</v>
      </c>
      <c r="K554" s="16">
        <f t="shared" si="59"/>
        <v>38925</v>
      </c>
      <c r="L554" s="2">
        <f t="shared" si="60"/>
        <v>15</v>
      </c>
      <c r="M554" s="25"/>
      <c r="N554" s="26"/>
      <c r="O554" s="27">
        <v>0</v>
      </c>
      <c r="P554" s="70">
        <v>69021</v>
      </c>
      <c r="Q554" s="70" t="s">
        <v>489</v>
      </c>
      <c r="R554" s="22">
        <v>2</v>
      </c>
      <c r="S554" s="22"/>
      <c r="T554" s="22">
        <v>3</v>
      </c>
      <c r="AE554">
        <f t="shared" si="56"/>
        <v>69021</v>
      </c>
    </row>
    <row r="555" spans="1:31">
      <c r="A555">
        <v>62</v>
      </c>
      <c r="B555" s="21">
        <v>482</v>
      </c>
      <c r="C555" s="22">
        <v>7934</v>
      </c>
      <c r="D555" s="22" t="s">
        <v>592</v>
      </c>
      <c r="E555" s="23" t="s">
        <v>34</v>
      </c>
      <c r="F555" s="24">
        <v>19670125</v>
      </c>
      <c r="G555" s="16">
        <f t="shared" si="57"/>
        <v>24497</v>
      </c>
      <c r="H555" s="2">
        <f t="shared" si="58"/>
        <v>54</v>
      </c>
      <c r="I555" s="17"/>
      <c r="J555" s="25">
        <v>20070507</v>
      </c>
      <c r="K555" s="16">
        <f t="shared" si="59"/>
        <v>39209</v>
      </c>
      <c r="L555" s="2">
        <f t="shared" si="60"/>
        <v>14</v>
      </c>
      <c r="M555" s="25"/>
      <c r="N555" s="26"/>
      <c r="O555" s="27">
        <v>0</v>
      </c>
      <c r="P555" s="70">
        <v>43221</v>
      </c>
      <c r="Q555" s="70" t="s">
        <v>364</v>
      </c>
      <c r="R555" s="22">
        <v>2</v>
      </c>
      <c r="S555" s="22"/>
      <c r="T555" s="22">
        <v>3</v>
      </c>
      <c r="AE555">
        <f t="shared" si="56"/>
        <v>43221</v>
      </c>
    </row>
    <row r="556" spans="1:31">
      <c r="A556">
        <v>63</v>
      </c>
      <c r="B556" s="21">
        <v>484</v>
      </c>
      <c r="C556" s="22">
        <v>7941</v>
      </c>
      <c r="D556" s="22" t="s">
        <v>593</v>
      </c>
      <c r="E556" s="23" t="s">
        <v>34</v>
      </c>
      <c r="F556" s="24">
        <v>19771127</v>
      </c>
      <c r="G556" s="16">
        <f t="shared" si="57"/>
        <v>28456</v>
      </c>
      <c r="H556" s="2">
        <f t="shared" si="58"/>
        <v>43</v>
      </c>
      <c r="I556" s="17"/>
      <c r="J556" s="25">
        <v>20070621</v>
      </c>
      <c r="K556" s="16">
        <f t="shared" si="59"/>
        <v>39254</v>
      </c>
      <c r="L556" s="2">
        <f t="shared" si="60"/>
        <v>14</v>
      </c>
      <c r="M556" s="25"/>
      <c r="N556" s="26"/>
      <c r="O556" s="27">
        <v>0</v>
      </c>
      <c r="P556" s="70">
        <v>43021</v>
      </c>
      <c r="Q556" s="70" t="s">
        <v>349</v>
      </c>
      <c r="R556" s="22">
        <v>2</v>
      </c>
      <c r="S556" s="22"/>
      <c r="T556" s="22">
        <v>3</v>
      </c>
      <c r="AE556">
        <f t="shared" si="56"/>
        <v>43021</v>
      </c>
    </row>
    <row r="557" spans="1:31">
      <c r="A557">
        <v>64</v>
      </c>
      <c r="B557" s="21">
        <v>485</v>
      </c>
      <c r="C557" s="22">
        <v>7953</v>
      </c>
      <c r="D557" s="22" t="s">
        <v>594</v>
      </c>
      <c r="E557" s="23" t="s">
        <v>34</v>
      </c>
      <c r="F557" s="24">
        <v>19761028</v>
      </c>
      <c r="G557" s="16">
        <f t="shared" si="57"/>
        <v>28061</v>
      </c>
      <c r="H557" s="2">
        <f t="shared" si="58"/>
        <v>44</v>
      </c>
      <c r="I557" s="17"/>
      <c r="J557" s="25">
        <v>20070806</v>
      </c>
      <c r="K557" s="16">
        <f t="shared" si="59"/>
        <v>39300</v>
      </c>
      <c r="L557" s="2">
        <f t="shared" si="60"/>
        <v>13</v>
      </c>
      <c r="M557" s="25"/>
      <c r="N557" s="26"/>
      <c r="O557" s="27">
        <v>0</v>
      </c>
      <c r="P557" s="70">
        <v>42421</v>
      </c>
      <c r="Q557" s="70" t="s">
        <v>339</v>
      </c>
      <c r="R557" s="22">
        <v>2</v>
      </c>
      <c r="S557" s="22"/>
      <c r="T557" s="22">
        <v>3</v>
      </c>
      <c r="AE557">
        <f t="shared" si="56"/>
        <v>42421</v>
      </c>
    </row>
    <row r="558" spans="1:31">
      <c r="A558">
        <v>65</v>
      </c>
      <c r="B558" s="21">
        <v>486</v>
      </c>
      <c r="C558" s="22">
        <v>7963</v>
      </c>
      <c r="D558" s="22" t="s">
        <v>595</v>
      </c>
      <c r="E558" s="23" t="s">
        <v>34</v>
      </c>
      <c r="F558" s="24">
        <v>19580305</v>
      </c>
      <c r="G558" s="16">
        <f t="shared" si="57"/>
        <v>21249</v>
      </c>
      <c r="H558" s="2">
        <f t="shared" si="58"/>
        <v>63</v>
      </c>
      <c r="I558" s="17"/>
      <c r="J558" s="25">
        <v>20070903</v>
      </c>
      <c r="K558" s="16">
        <f t="shared" si="59"/>
        <v>39328</v>
      </c>
      <c r="L558" s="2">
        <f t="shared" si="60"/>
        <v>13</v>
      </c>
      <c r="M558" s="25"/>
      <c r="N558" s="26"/>
      <c r="O558" s="27">
        <v>0</v>
      </c>
      <c r="P558" s="70">
        <v>44220</v>
      </c>
      <c r="Q558" s="70" t="s">
        <v>114</v>
      </c>
      <c r="R558" s="22">
        <v>2</v>
      </c>
      <c r="S558" s="22"/>
      <c r="T558" s="22">
        <v>3</v>
      </c>
      <c r="AE558">
        <f t="shared" si="56"/>
        <v>44220</v>
      </c>
    </row>
    <row r="559" spans="1:31">
      <c r="A559">
        <v>66</v>
      </c>
      <c r="B559" s="21">
        <v>489</v>
      </c>
      <c r="C559" s="22">
        <v>8033</v>
      </c>
      <c r="D559" s="22" t="s">
        <v>596</v>
      </c>
      <c r="E559" s="23" t="s">
        <v>34</v>
      </c>
      <c r="F559" s="24">
        <v>19710131</v>
      </c>
      <c r="G559" s="16">
        <f t="shared" si="57"/>
        <v>25964</v>
      </c>
      <c r="H559" s="2">
        <f t="shared" si="58"/>
        <v>50</v>
      </c>
      <c r="I559" s="17"/>
      <c r="J559" s="25">
        <v>20100521</v>
      </c>
      <c r="K559" s="16">
        <f t="shared" si="59"/>
        <v>40319</v>
      </c>
      <c r="L559" s="2">
        <f t="shared" si="60"/>
        <v>11</v>
      </c>
      <c r="M559" s="25"/>
      <c r="N559" s="26"/>
      <c r="O559" s="27">
        <v>0</v>
      </c>
      <c r="P559" s="70">
        <v>60421</v>
      </c>
      <c r="Q559" s="70" t="s">
        <v>411</v>
      </c>
      <c r="R559" s="22">
        <v>2</v>
      </c>
      <c r="S559" s="22"/>
      <c r="T559" s="22">
        <v>3</v>
      </c>
      <c r="AE559">
        <f t="shared" si="56"/>
        <v>60421</v>
      </c>
    </row>
    <row r="560" spans="1:31">
      <c r="A560">
        <v>67</v>
      </c>
      <c r="B560" s="21">
        <v>496</v>
      </c>
      <c r="C560" s="22">
        <v>8071</v>
      </c>
      <c r="D560" s="22" t="s">
        <v>597</v>
      </c>
      <c r="E560" s="23" t="s">
        <v>34</v>
      </c>
      <c r="F560" s="24">
        <v>19700223</v>
      </c>
      <c r="G560" s="16">
        <f t="shared" si="57"/>
        <v>25622</v>
      </c>
      <c r="H560" s="2">
        <f t="shared" si="58"/>
        <v>51</v>
      </c>
      <c r="I560" s="17"/>
      <c r="J560" s="25">
        <v>20110621</v>
      </c>
      <c r="K560" s="16">
        <f t="shared" si="59"/>
        <v>40715</v>
      </c>
      <c r="L560" s="2">
        <f t="shared" si="60"/>
        <v>10</v>
      </c>
      <c r="M560" s="25"/>
      <c r="N560" s="26"/>
      <c r="O560" s="27">
        <v>0</v>
      </c>
      <c r="P560" s="70">
        <v>41021</v>
      </c>
      <c r="Q560" s="70" t="s">
        <v>258</v>
      </c>
      <c r="R560" s="22">
        <v>2</v>
      </c>
      <c r="S560" s="22"/>
      <c r="T560" s="22">
        <v>3</v>
      </c>
      <c r="AE560">
        <f t="shared" si="56"/>
        <v>41021</v>
      </c>
    </row>
    <row r="561" spans="1:31">
      <c r="A561">
        <v>68</v>
      </c>
      <c r="B561" s="21">
        <v>500</v>
      </c>
      <c r="C561" s="22">
        <v>8092</v>
      </c>
      <c r="D561" s="22" t="s">
        <v>598</v>
      </c>
      <c r="E561" s="23" t="s">
        <v>34</v>
      </c>
      <c r="F561" s="24">
        <v>19660728</v>
      </c>
      <c r="G561" s="16">
        <f t="shared" si="57"/>
        <v>24316</v>
      </c>
      <c r="H561" s="2">
        <f t="shared" si="58"/>
        <v>55</v>
      </c>
      <c r="I561" s="17"/>
      <c r="J561" s="25">
        <v>20120221</v>
      </c>
      <c r="K561" s="16">
        <f t="shared" si="59"/>
        <v>40960</v>
      </c>
      <c r="L561" s="2">
        <f t="shared" si="60"/>
        <v>9</v>
      </c>
      <c r="M561" s="25"/>
      <c r="N561" s="26"/>
      <c r="O561" s="27">
        <v>0</v>
      </c>
      <c r="P561" s="70">
        <v>65021</v>
      </c>
      <c r="Q561" s="70" t="s">
        <v>433</v>
      </c>
      <c r="R561" s="22">
        <v>2</v>
      </c>
      <c r="S561" s="22"/>
      <c r="T561" s="22">
        <v>3</v>
      </c>
      <c r="AE561">
        <f t="shared" si="56"/>
        <v>65021</v>
      </c>
    </row>
    <row r="562" spans="1:31">
      <c r="A562">
        <v>69</v>
      </c>
      <c r="B562" s="21">
        <v>501</v>
      </c>
      <c r="C562" s="22">
        <v>8093</v>
      </c>
      <c r="D562" s="22" t="s">
        <v>599</v>
      </c>
      <c r="E562" s="23" t="s">
        <v>34</v>
      </c>
      <c r="F562" s="24">
        <v>19650214</v>
      </c>
      <c r="G562" s="16">
        <f t="shared" si="57"/>
        <v>23787</v>
      </c>
      <c r="H562" s="2">
        <f t="shared" si="58"/>
        <v>56</v>
      </c>
      <c r="I562" s="17"/>
      <c r="J562" s="25">
        <v>20120314</v>
      </c>
      <c r="K562" s="16">
        <f t="shared" si="59"/>
        <v>40982</v>
      </c>
      <c r="L562" s="2">
        <f t="shared" si="60"/>
        <v>9</v>
      </c>
      <c r="M562" s="25"/>
      <c r="N562" s="26"/>
      <c r="O562" s="27">
        <v>0</v>
      </c>
      <c r="P562" s="70">
        <v>61220</v>
      </c>
      <c r="Q562" s="70" t="s">
        <v>158</v>
      </c>
      <c r="R562" s="22">
        <v>2</v>
      </c>
      <c r="S562" s="22"/>
      <c r="T562" s="22">
        <v>3</v>
      </c>
      <c r="AE562">
        <f t="shared" si="56"/>
        <v>61220</v>
      </c>
    </row>
    <row r="563" spans="1:31">
      <c r="A563">
        <v>70</v>
      </c>
      <c r="B563" s="21">
        <v>507</v>
      </c>
      <c r="C563" s="22">
        <v>8126</v>
      </c>
      <c r="D563" s="22" t="s">
        <v>600</v>
      </c>
      <c r="E563" s="23" t="s">
        <v>34</v>
      </c>
      <c r="F563" s="24">
        <v>19900319</v>
      </c>
      <c r="G563" s="16">
        <f t="shared" si="57"/>
        <v>32951</v>
      </c>
      <c r="H563" s="2">
        <f t="shared" si="58"/>
        <v>31</v>
      </c>
      <c r="I563" s="17"/>
      <c r="J563" s="25">
        <v>20140107</v>
      </c>
      <c r="K563" s="16">
        <f t="shared" si="59"/>
        <v>41646</v>
      </c>
      <c r="L563" s="2">
        <f t="shared" si="60"/>
        <v>7</v>
      </c>
      <c r="M563" s="25"/>
      <c r="N563" s="26"/>
      <c r="O563" s="27">
        <v>0</v>
      </c>
      <c r="P563" s="70">
        <v>60421</v>
      </c>
      <c r="Q563" s="70" t="s">
        <v>411</v>
      </c>
      <c r="R563" s="22">
        <v>2</v>
      </c>
      <c r="S563" s="22"/>
      <c r="T563" s="22">
        <v>3</v>
      </c>
      <c r="AE563">
        <f t="shared" si="56"/>
        <v>60421</v>
      </c>
    </row>
    <row r="564" spans="1:31">
      <c r="A564">
        <v>71</v>
      </c>
      <c r="B564" s="21">
        <v>510</v>
      </c>
      <c r="C564" s="22">
        <v>8140</v>
      </c>
      <c r="D564" s="22" t="s">
        <v>601</v>
      </c>
      <c r="E564" s="23" t="s">
        <v>34</v>
      </c>
      <c r="F564" s="24">
        <v>19651211</v>
      </c>
      <c r="G564" s="16">
        <f t="shared" si="57"/>
        <v>24087</v>
      </c>
      <c r="H564" s="2">
        <f t="shared" si="58"/>
        <v>55</v>
      </c>
      <c r="I564" s="17"/>
      <c r="J564" s="25">
        <v>20140816</v>
      </c>
      <c r="K564" s="16">
        <f t="shared" si="59"/>
        <v>41867</v>
      </c>
      <c r="L564" s="2">
        <f t="shared" si="60"/>
        <v>6</v>
      </c>
      <c r="M564" s="25"/>
      <c r="N564" s="26"/>
      <c r="O564" s="27">
        <v>0</v>
      </c>
      <c r="P564" s="70">
        <v>69021</v>
      </c>
      <c r="Q564" s="70" t="s">
        <v>489</v>
      </c>
      <c r="R564" s="22">
        <v>2</v>
      </c>
      <c r="S564" s="22"/>
      <c r="T564" s="22">
        <v>3</v>
      </c>
      <c r="AE564">
        <f t="shared" si="56"/>
        <v>69021</v>
      </c>
    </row>
    <row r="565" spans="1:31">
      <c r="A565">
        <v>72</v>
      </c>
      <c r="B565" s="21">
        <v>514</v>
      </c>
      <c r="C565" s="22">
        <v>8148</v>
      </c>
      <c r="D565" s="22" t="s">
        <v>602</v>
      </c>
      <c r="E565" s="23" t="s">
        <v>34</v>
      </c>
      <c r="F565" s="24">
        <v>19840803</v>
      </c>
      <c r="G565" s="16">
        <f t="shared" si="57"/>
        <v>30897</v>
      </c>
      <c r="H565" s="2">
        <f t="shared" si="58"/>
        <v>36</v>
      </c>
      <c r="I565" s="17"/>
      <c r="J565" s="25">
        <v>20150525</v>
      </c>
      <c r="K565" s="16">
        <f t="shared" si="59"/>
        <v>42149</v>
      </c>
      <c r="L565" s="2">
        <f t="shared" si="60"/>
        <v>6</v>
      </c>
      <c r="M565" s="25"/>
      <c r="N565" s="26"/>
      <c r="O565" s="27">
        <v>0</v>
      </c>
      <c r="P565" s="70">
        <v>42421</v>
      </c>
      <c r="Q565" s="70" t="s">
        <v>339</v>
      </c>
      <c r="R565" s="22">
        <v>2</v>
      </c>
      <c r="S565" s="22"/>
      <c r="T565" s="22">
        <v>3</v>
      </c>
      <c r="AE565">
        <f t="shared" si="56"/>
        <v>42421</v>
      </c>
    </row>
    <row r="566" spans="1:31">
      <c r="A566">
        <v>73</v>
      </c>
      <c r="B566" s="21">
        <v>519</v>
      </c>
      <c r="C566" s="22">
        <v>8162</v>
      </c>
      <c r="D566" s="22" t="s">
        <v>603</v>
      </c>
      <c r="E566" s="23" t="s">
        <v>34</v>
      </c>
      <c r="F566" s="24">
        <v>19600902</v>
      </c>
      <c r="G566" s="16">
        <f t="shared" si="57"/>
        <v>22161</v>
      </c>
      <c r="H566" s="2">
        <f t="shared" si="58"/>
        <v>60</v>
      </c>
      <c r="I566" s="17"/>
      <c r="J566" s="25">
        <v>20170313</v>
      </c>
      <c r="K566" s="16">
        <f t="shared" si="59"/>
        <v>42807</v>
      </c>
      <c r="L566" s="2">
        <f t="shared" si="60"/>
        <v>4</v>
      </c>
      <c r="M566" s="25"/>
      <c r="N566" s="26"/>
      <c r="O566" s="27">
        <v>0</v>
      </c>
      <c r="P566" s="70">
        <v>43321</v>
      </c>
      <c r="Q566" s="70" t="s">
        <v>377</v>
      </c>
      <c r="R566" s="22">
        <v>2</v>
      </c>
      <c r="S566" s="22"/>
      <c r="T566" s="22">
        <v>3</v>
      </c>
      <c r="AE566">
        <f t="shared" si="56"/>
        <v>43321</v>
      </c>
    </row>
    <row r="567" spans="1:31">
      <c r="A567">
        <v>74</v>
      </c>
      <c r="B567" s="21">
        <v>521</v>
      </c>
      <c r="C567" s="22">
        <v>8165</v>
      </c>
      <c r="D567" s="22" t="s">
        <v>604</v>
      </c>
      <c r="E567" s="23" t="s">
        <v>34</v>
      </c>
      <c r="F567" s="24">
        <v>19860731</v>
      </c>
      <c r="G567" s="16">
        <f t="shared" si="57"/>
        <v>31624</v>
      </c>
      <c r="H567" s="2">
        <f t="shared" si="58"/>
        <v>35</v>
      </c>
      <c r="I567" s="17"/>
      <c r="J567" s="25">
        <v>20170601</v>
      </c>
      <c r="K567" s="16">
        <f t="shared" si="59"/>
        <v>42887</v>
      </c>
      <c r="L567" s="2">
        <f t="shared" si="60"/>
        <v>4</v>
      </c>
      <c r="M567" s="25"/>
      <c r="N567" s="26"/>
      <c r="O567" s="27">
        <v>0</v>
      </c>
      <c r="P567" s="70">
        <v>60421</v>
      </c>
      <c r="Q567" s="70" t="s">
        <v>411</v>
      </c>
      <c r="R567" s="22">
        <v>2</v>
      </c>
      <c r="S567" s="22"/>
      <c r="T567" s="22">
        <v>3</v>
      </c>
      <c r="AE567">
        <f t="shared" si="56"/>
        <v>60421</v>
      </c>
    </row>
    <row r="568" spans="1:31">
      <c r="A568">
        <v>75</v>
      </c>
      <c r="B568" s="37">
        <v>523</v>
      </c>
      <c r="C568" s="38">
        <v>8169</v>
      </c>
      <c r="D568" s="37" t="s">
        <v>605</v>
      </c>
      <c r="E568" s="39" t="s">
        <v>34</v>
      </c>
      <c r="F568" s="19">
        <v>19560221</v>
      </c>
      <c r="G568" s="16">
        <f t="shared" si="57"/>
        <v>20506</v>
      </c>
      <c r="H568" s="2">
        <f t="shared" si="58"/>
        <v>65</v>
      </c>
      <c r="I568" s="17"/>
      <c r="J568" s="19">
        <v>20171016</v>
      </c>
      <c r="K568" s="16">
        <f t="shared" si="59"/>
        <v>43024</v>
      </c>
      <c r="L568" s="2">
        <f t="shared" si="60"/>
        <v>3</v>
      </c>
      <c r="M568" s="19"/>
      <c r="N568" s="19"/>
      <c r="O568" s="40">
        <v>0</v>
      </c>
      <c r="P568" s="70">
        <v>10020</v>
      </c>
      <c r="Q568" s="70" t="s">
        <v>26</v>
      </c>
      <c r="R568" s="37">
        <v>2</v>
      </c>
      <c r="S568" s="37"/>
      <c r="T568" s="37">
        <v>3</v>
      </c>
      <c r="AE568">
        <f t="shared" si="56"/>
        <v>10020</v>
      </c>
    </row>
    <row r="569" spans="1:31">
      <c r="A569">
        <v>76</v>
      </c>
      <c r="B569" s="37">
        <v>527</v>
      </c>
      <c r="C569" s="38">
        <v>8178</v>
      </c>
      <c r="D569" s="37" t="s">
        <v>606</v>
      </c>
      <c r="E569" s="39" t="s">
        <v>34</v>
      </c>
      <c r="F569" s="19">
        <v>19780919</v>
      </c>
      <c r="G569" s="16">
        <f t="shared" si="57"/>
        <v>28752</v>
      </c>
      <c r="H569" s="2">
        <f t="shared" si="58"/>
        <v>42</v>
      </c>
      <c r="I569" s="17"/>
      <c r="J569" s="19">
        <v>20190108</v>
      </c>
      <c r="K569" s="16">
        <f t="shared" si="59"/>
        <v>43473</v>
      </c>
      <c r="L569" s="2">
        <f t="shared" si="60"/>
        <v>2</v>
      </c>
      <c r="M569" s="19"/>
      <c r="N569" s="19"/>
      <c r="O569" s="40">
        <v>0</v>
      </c>
      <c r="P569" s="70">
        <v>65021</v>
      </c>
      <c r="Q569" s="70" t="s">
        <v>433</v>
      </c>
      <c r="R569" s="37">
        <v>2</v>
      </c>
      <c r="S569" s="37"/>
      <c r="T569" s="37">
        <v>3</v>
      </c>
      <c r="AE569">
        <f t="shared" si="56"/>
        <v>65021</v>
      </c>
    </row>
    <row r="570" spans="1:31">
      <c r="A570">
        <v>77</v>
      </c>
      <c r="B570" s="37">
        <v>528</v>
      </c>
      <c r="C570" s="38">
        <v>8179</v>
      </c>
      <c r="D570" s="37" t="s">
        <v>607</v>
      </c>
      <c r="E570" s="39" t="s">
        <v>34</v>
      </c>
      <c r="F570" s="19">
        <v>19700514</v>
      </c>
      <c r="G570" s="16">
        <f t="shared" si="57"/>
        <v>25702</v>
      </c>
      <c r="H570" s="2">
        <f t="shared" si="58"/>
        <v>51</v>
      </c>
      <c r="I570" s="17"/>
      <c r="J570" s="19">
        <v>20190123</v>
      </c>
      <c r="K570" s="16">
        <f t="shared" si="59"/>
        <v>43488</v>
      </c>
      <c r="L570" s="2">
        <f t="shared" si="60"/>
        <v>2</v>
      </c>
      <c r="M570" s="19"/>
      <c r="N570" s="19"/>
      <c r="O570" s="40">
        <v>0</v>
      </c>
      <c r="P570" s="70">
        <v>60320</v>
      </c>
      <c r="Q570" s="70" t="s">
        <v>138</v>
      </c>
      <c r="R570" s="37">
        <v>2</v>
      </c>
      <c r="S570" s="37"/>
      <c r="T570" s="37">
        <v>3</v>
      </c>
      <c r="AE570">
        <f t="shared" si="56"/>
        <v>60320</v>
      </c>
    </row>
    <row r="571" spans="1:31">
      <c r="A571">
        <v>78</v>
      </c>
      <c r="B571" s="37">
        <v>537</v>
      </c>
      <c r="C571" s="38">
        <v>8191</v>
      </c>
      <c r="D571" s="37" t="s">
        <v>608</v>
      </c>
      <c r="E571" s="39" t="s">
        <v>631</v>
      </c>
      <c r="F571" s="19">
        <v>19600131</v>
      </c>
      <c r="G571" s="16">
        <f t="shared" si="57"/>
        <v>21946</v>
      </c>
      <c r="H571" s="2">
        <f t="shared" si="58"/>
        <v>61</v>
      </c>
      <c r="I571" s="17"/>
      <c r="J571" s="19">
        <v>19910521</v>
      </c>
      <c r="K571" s="16">
        <f t="shared" si="59"/>
        <v>33379</v>
      </c>
      <c r="L571" s="2">
        <f t="shared" si="60"/>
        <v>30</v>
      </c>
      <c r="M571" s="19"/>
      <c r="N571" s="19"/>
      <c r="O571" s="40">
        <v>0</v>
      </c>
      <c r="P571" s="70">
        <v>66021</v>
      </c>
      <c r="Q571" s="70" t="s">
        <v>449</v>
      </c>
      <c r="R571" s="37">
        <v>2</v>
      </c>
      <c r="S571" s="37"/>
      <c r="T571" s="37">
        <v>3</v>
      </c>
      <c r="AE571">
        <f t="shared" si="56"/>
        <v>66021</v>
      </c>
    </row>
    <row r="572" spans="1:31">
      <c r="A572">
        <v>79</v>
      </c>
      <c r="C572" s="42">
        <v>6135</v>
      </c>
      <c r="D572" s="43" t="s">
        <v>609</v>
      </c>
      <c r="P572" s="70">
        <v>1020</v>
      </c>
      <c r="Q572" s="70" t="s">
        <v>17</v>
      </c>
    </row>
  </sheetData>
  <mergeCells count="10">
    <mergeCell ref="C3:C4"/>
    <mergeCell ref="D3:D4"/>
    <mergeCell ref="E3:E4"/>
    <mergeCell ref="F3:F4"/>
    <mergeCell ref="J3:J4"/>
    <mergeCell ref="O3:O4"/>
    <mergeCell ref="R3:R4"/>
    <mergeCell ref="S3:S4"/>
    <mergeCell ref="T3:T4"/>
    <mergeCell ref="D2:F2"/>
  </mergeCells>
  <phoneticPr fontId="2"/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P47" sqref="P47"/>
    </sheetView>
  </sheetViews>
  <sheetFormatPr defaultRowHeight="18"/>
  <cols>
    <col min="1" max="1" width="16.09765625" style="46" customWidth="1"/>
    <col min="2" max="3" width="11" style="46" customWidth="1"/>
    <col min="4" max="4" width="27.19921875" bestFit="1" customWidth="1"/>
  </cols>
  <sheetData>
    <row r="1" spans="1:11">
      <c r="E1" t="s">
        <v>624</v>
      </c>
    </row>
    <row r="3" spans="1:11">
      <c r="E3" s="569" t="s">
        <v>621</v>
      </c>
      <c r="F3" s="569"/>
      <c r="G3" s="569"/>
      <c r="H3" s="569"/>
      <c r="I3" s="569"/>
      <c r="J3" s="569"/>
      <c r="K3" s="569"/>
    </row>
    <row r="4" spans="1:11">
      <c r="A4" s="569" t="s">
        <v>610</v>
      </c>
      <c r="B4" s="48"/>
      <c r="C4" s="52"/>
      <c r="D4" s="570" t="s">
        <v>611</v>
      </c>
      <c r="E4" s="570" t="s">
        <v>612</v>
      </c>
      <c r="F4" s="570"/>
      <c r="G4" s="570" t="s">
        <v>614</v>
      </c>
      <c r="H4" s="570" t="s">
        <v>613</v>
      </c>
      <c r="I4" s="570" t="s">
        <v>622</v>
      </c>
      <c r="J4" s="570" t="s">
        <v>615</v>
      </c>
      <c r="K4" s="570" t="s">
        <v>623</v>
      </c>
    </row>
    <row r="5" spans="1:11">
      <c r="A5" s="569"/>
      <c r="B5" s="48"/>
      <c r="C5" s="52"/>
      <c r="D5" s="570"/>
      <c r="E5" s="1" t="s">
        <v>69</v>
      </c>
      <c r="F5" s="1" t="s">
        <v>42</v>
      </c>
      <c r="G5" s="570"/>
      <c r="H5" s="570"/>
      <c r="I5" s="570"/>
      <c r="J5" s="570"/>
      <c r="K5" s="570"/>
    </row>
    <row r="6" spans="1:11">
      <c r="A6" s="51">
        <v>200</v>
      </c>
      <c r="B6" s="49"/>
      <c r="C6" s="52"/>
      <c r="D6" t="e">
        <f>VLOOKUP(A6,正社員!$P$3:$Q$20,2,FALSE)</f>
        <v>#N/A</v>
      </c>
      <c r="E6">
        <f>COUNTIFS(正社員!$E$5:$P$20,A6)</f>
        <v>0</v>
      </c>
      <c r="F6">
        <f>COUNTIF(正社員!$P$26:$P$32,A6)</f>
        <v>0</v>
      </c>
      <c r="G6">
        <f t="shared" ref="G6:G13" si="0">E6+F6</f>
        <v>0</v>
      </c>
      <c r="H6" t="e">
        <f>COUNTIF(#REF!,B6)</f>
        <v>#REF!</v>
      </c>
      <c r="K6" t="e">
        <f t="shared" ref="K6:K13" si="1">G6+H6+J6</f>
        <v>#REF!</v>
      </c>
    </row>
    <row r="7" spans="1:11">
      <c r="A7" s="51">
        <v>210</v>
      </c>
      <c r="B7" s="49"/>
      <c r="C7" s="52"/>
      <c r="D7" t="e">
        <f>VLOOKUP(A7,正社員!$P$3:$Q$20,2,FALSE)</f>
        <v>#N/A</v>
      </c>
      <c r="E7">
        <f>COUNTIFS(正社員!$E$5:$P$20,A7)</f>
        <v>0</v>
      </c>
      <c r="F7">
        <f>COUNTIF(正社員!$P$26:$P$32,A7)</f>
        <v>0</v>
      </c>
      <c r="G7">
        <f t="shared" si="0"/>
        <v>0</v>
      </c>
      <c r="H7" t="e">
        <f>COUNTIF(#REF!,B7)</f>
        <v>#REF!</v>
      </c>
      <c r="K7" t="e">
        <f t="shared" si="1"/>
        <v>#REF!</v>
      </c>
    </row>
    <row r="8" spans="1:11">
      <c r="A8" s="2">
        <v>10000</v>
      </c>
      <c r="B8" s="46">
        <v>10020</v>
      </c>
      <c r="D8" t="str">
        <f>VLOOKUP(A8,正社員!$P$3:$Q$20,2,FALSE)</f>
        <v>営業部</v>
      </c>
      <c r="E8">
        <f>COUNTIFS(正社員!$E$5:$P$18,A8)</f>
        <v>7</v>
      </c>
      <c r="F8">
        <f>COUNTIF(正社員!$P$26:$P$32,A8)</f>
        <v>3</v>
      </c>
      <c r="G8">
        <f t="shared" si="0"/>
        <v>10</v>
      </c>
      <c r="H8" t="e">
        <f>COUNTIF(#REF!,B8)</f>
        <v>#REF!</v>
      </c>
      <c r="K8" t="e">
        <f t="shared" si="1"/>
        <v>#REF!</v>
      </c>
    </row>
    <row r="9" spans="1:11">
      <c r="A9" s="2">
        <v>11000</v>
      </c>
      <c r="B9" s="46">
        <v>11020</v>
      </c>
      <c r="D9" t="e">
        <f>VLOOKUP(A9,正社員!$P$3:$Q$20,2,FALSE)</f>
        <v>#N/A</v>
      </c>
      <c r="E9">
        <f>COUNTIFS(正社員!$E$5:$P$18,A9)</f>
        <v>0</v>
      </c>
      <c r="F9">
        <f>COUNTIF(正社員!$P$26:$P$32,A9)</f>
        <v>0</v>
      </c>
      <c r="G9">
        <f t="shared" si="0"/>
        <v>0</v>
      </c>
      <c r="H9" t="e">
        <f>COUNTIF(#REF!,B9)</f>
        <v>#REF!</v>
      </c>
      <c r="K9" t="e">
        <f t="shared" si="1"/>
        <v>#REF!</v>
      </c>
    </row>
    <row r="10" spans="1:11">
      <c r="A10" s="2">
        <v>90000</v>
      </c>
      <c r="B10" s="46">
        <v>90020</v>
      </c>
      <c r="D10" t="str">
        <f>VLOOKUP(A10,正社員!$P$39:$Q$195,2,FALSE)</f>
        <v>資材部</v>
      </c>
      <c r="E10">
        <f>COUNTIFS(正社員!$P$38:$P$195,A10)</f>
        <v>8</v>
      </c>
      <c r="F10">
        <f>COUNTIF(正社員!$P$200:$P$226,A10)</f>
        <v>2</v>
      </c>
      <c r="G10">
        <f t="shared" si="0"/>
        <v>10</v>
      </c>
      <c r="H10" t="e">
        <f>COUNTIF(#REF!,B10)</f>
        <v>#REF!</v>
      </c>
      <c r="K10" t="e">
        <f t="shared" si="1"/>
        <v>#REF!</v>
      </c>
    </row>
    <row r="11" spans="1:11">
      <c r="A11" s="2">
        <v>3000</v>
      </c>
      <c r="B11" s="46">
        <v>3020</v>
      </c>
      <c r="D11" t="str">
        <f>VLOOKUP(A11,正社員!$P$3:$Q$20,2,FALSE)</f>
        <v>経理部経理課</v>
      </c>
      <c r="E11">
        <f>COUNTIFS(正社員!$E$5:$P$18,A11)</f>
        <v>1</v>
      </c>
      <c r="F11">
        <f>COUNTIF(正社員!$P$26:$P$32,A11)</f>
        <v>2</v>
      </c>
      <c r="G11">
        <f t="shared" si="0"/>
        <v>3</v>
      </c>
      <c r="H11" t="e">
        <f>COUNTIF(#REF!,B11)</f>
        <v>#REF!</v>
      </c>
      <c r="K11" t="e">
        <f t="shared" si="1"/>
        <v>#REF!</v>
      </c>
    </row>
    <row r="12" spans="1:11">
      <c r="A12" s="46">
        <v>1000</v>
      </c>
      <c r="B12" s="46">
        <v>1020</v>
      </c>
      <c r="D12" t="str">
        <f>VLOOKUP(A12,正社員!$P$3:$Q$20,2,FALSE)</f>
        <v>総務部</v>
      </c>
      <c r="E12">
        <f>COUNTIFS(正社員!$E$5:$P$20,A12)</f>
        <v>4</v>
      </c>
      <c r="F12">
        <f>COUNTIF(正社員!$P$26:$P$32,A12)</f>
        <v>0</v>
      </c>
      <c r="G12">
        <f t="shared" si="0"/>
        <v>4</v>
      </c>
      <c r="H12" t="e">
        <f>COUNTIF(#REF!,B12)</f>
        <v>#REF!</v>
      </c>
      <c r="K12" t="e">
        <f t="shared" si="1"/>
        <v>#REF!</v>
      </c>
    </row>
    <row r="13" spans="1:11">
      <c r="A13" s="2">
        <v>1100</v>
      </c>
      <c r="B13" s="46">
        <v>1120</v>
      </c>
      <c r="D13" t="str">
        <f>VLOOKUP(A13,正社員!$P$3:$Q$20,2,FALSE)</f>
        <v>総務部羽生総務課</v>
      </c>
      <c r="E13">
        <f>COUNTIFS(正社員!$E$5:$P$20,A13)</f>
        <v>2</v>
      </c>
      <c r="F13">
        <f>COUNTIF(正社員!$P$26:$P$32,A13)</f>
        <v>0</v>
      </c>
      <c r="G13">
        <f t="shared" si="0"/>
        <v>2</v>
      </c>
      <c r="H13" t="e">
        <f>COUNTIF(#REF!,B13)</f>
        <v>#REF!</v>
      </c>
      <c r="K13" t="e">
        <f t="shared" si="1"/>
        <v>#REF!</v>
      </c>
    </row>
    <row r="14" spans="1:11">
      <c r="B14" s="56"/>
      <c r="C14" s="56"/>
      <c r="D14" s="57" t="s">
        <v>629</v>
      </c>
      <c r="E14" s="58">
        <f>SUM(E12:E13)</f>
        <v>6</v>
      </c>
      <c r="F14" s="58">
        <f t="shared" ref="F14:K14" si="2">SUM(F12:F13)</f>
        <v>0</v>
      </c>
      <c r="G14" s="58">
        <f t="shared" si="2"/>
        <v>6</v>
      </c>
      <c r="H14" s="58" t="e">
        <f t="shared" si="2"/>
        <v>#REF!</v>
      </c>
      <c r="I14" s="58">
        <f t="shared" si="2"/>
        <v>0</v>
      </c>
      <c r="J14" s="58">
        <f t="shared" si="2"/>
        <v>0</v>
      </c>
      <c r="K14" s="58" t="e">
        <f t="shared" si="2"/>
        <v>#REF!</v>
      </c>
    </row>
    <row r="15" spans="1:11">
      <c r="A15" s="2">
        <v>50000</v>
      </c>
      <c r="B15" s="46">
        <v>50020</v>
      </c>
      <c r="D15" t="str">
        <f>VLOOKUP(A15,正社員!$P$39:$Q$195,2,FALSE)</f>
        <v>品質保証部検査課</v>
      </c>
      <c r="E15">
        <f>COUNTIFS(正社員!$P$38:$P$195,A15)</f>
        <v>3</v>
      </c>
      <c r="F15">
        <f>COUNTIF(正社員!$P$200:$P$226,A15)</f>
        <v>2</v>
      </c>
      <c r="G15">
        <f>E15+F15</f>
        <v>5</v>
      </c>
      <c r="H15" t="e">
        <f>COUNTIF(#REF!,B15)</f>
        <v>#REF!</v>
      </c>
      <c r="K15" t="e">
        <f>G15+H15+J15</f>
        <v>#REF!</v>
      </c>
    </row>
    <row r="16" spans="1:11">
      <c r="A16" s="2">
        <v>51000</v>
      </c>
      <c r="B16" s="46">
        <v>51020</v>
      </c>
      <c r="D16" t="str">
        <f>VLOOKUP(A16,正社員!$P$39:$Q$195,2,FALSE)</f>
        <v>品質保証部品質管理課</v>
      </c>
      <c r="E16">
        <f>COUNTIFS(正社員!$P$38:$P$195,A16)</f>
        <v>7</v>
      </c>
      <c r="F16">
        <f>COUNTIF(正社員!$P$200:$P$226,A16)</f>
        <v>0</v>
      </c>
      <c r="G16">
        <f>E16+F16</f>
        <v>7</v>
      </c>
      <c r="H16" t="e">
        <f>COUNTIF(#REF!,B16)</f>
        <v>#REF!</v>
      </c>
      <c r="K16" t="e">
        <f>G16+H16+J16</f>
        <v>#REF!</v>
      </c>
    </row>
    <row r="17" spans="1:11">
      <c r="A17" s="2">
        <v>63000</v>
      </c>
      <c r="B17" s="46">
        <v>63020</v>
      </c>
      <c r="D17" t="str">
        <f>VLOOKUP(A17,正社員!$P$39:$Q$195,2,FALSE)</f>
        <v>品質保証部（羽生）</v>
      </c>
      <c r="E17">
        <f>COUNTIFS(正社員!$P$38:$P$195,A17)</f>
        <v>7</v>
      </c>
      <c r="F17">
        <f>COUNTIF(正社員!$P$200:$P$226,A17)</f>
        <v>3</v>
      </c>
      <c r="G17">
        <f>E17+F17</f>
        <v>10</v>
      </c>
      <c r="H17" t="e">
        <f>COUNTIF(#REF!,B17)</f>
        <v>#REF!</v>
      </c>
      <c r="K17" t="e">
        <f>G17+H17+J17</f>
        <v>#REF!</v>
      </c>
    </row>
    <row r="18" spans="1:11">
      <c r="B18" s="56"/>
      <c r="C18" s="56"/>
      <c r="D18" s="57" t="s">
        <v>630</v>
      </c>
      <c r="E18" s="58">
        <f>SUM(E15:E17)</f>
        <v>17</v>
      </c>
      <c r="F18" s="58">
        <f t="shared" ref="F18:K18" si="3">SUM(F15:F17)</f>
        <v>5</v>
      </c>
      <c r="G18" s="58">
        <f t="shared" si="3"/>
        <v>22</v>
      </c>
      <c r="H18" s="58" t="e">
        <f t="shared" si="3"/>
        <v>#REF!</v>
      </c>
      <c r="I18" s="58">
        <f t="shared" si="3"/>
        <v>0</v>
      </c>
      <c r="J18" s="58">
        <f t="shared" si="3"/>
        <v>0</v>
      </c>
      <c r="K18" s="58" t="e">
        <f t="shared" si="3"/>
        <v>#REF!</v>
      </c>
    </row>
    <row r="19" spans="1:11">
      <c r="A19" s="2">
        <v>80000</v>
      </c>
      <c r="B19" s="46">
        <v>80020</v>
      </c>
      <c r="D19" t="str">
        <f>VLOOKUP(A19,正社員!$P$39:$Q$195,2,FALSE)</f>
        <v>ＮＥＬ</v>
      </c>
      <c r="E19">
        <f>COUNTIFS(正社員!$P$38:$P$195,A19)</f>
        <v>43</v>
      </c>
      <c r="F19">
        <f>COUNTIF(正社員!$P$200:$P$226,A19)</f>
        <v>3</v>
      </c>
      <c r="G19">
        <f>E19+F19</f>
        <v>46</v>
      </c>
      <c r="H19" t="e">
        <f>COUNTIF(#REF!,B19)</f>
        <v>#REF!</v>
      </c>
      <c r="K19" t="e">
        <f>G19+H19+J19</f>
        <v>#REF!</v>
      </c>
    </row>
    <row r="20" spans="1:11">
      <c r="A20" s="2">
        <v>41111</v>
      </c>
      <c r="B20" s="46">
        <v>41121</v>
      </c>
      <c r="C20" s="569" t="s">
        <v>625</v>
      </c>
      <c r="D20" t="str">
        <f>VLOOKUP(A20,正社員!$P$234:$Q$460,2,FALSE)</f>
        <v>本社工場ＮＣ</v>
      </c>
      <c r="E20">
        <f>COUNTIF(正社員!$P$234:$P$460,A20)</f>
        <v>9</v>
      </c>
      <c r="F20">
        <f>COUNTIF(正社員!$P$467:$P$483,A20)</f>
        <v>0</v>
      </c>
      <c r="G20">
        <f t="shared" ref="G20:G31" si="4">E20+F20</f>
        <v>9</v>
      </c>
      <c r="H20" t="e">
        <f>COUNTIF(#REF!,B20)</f>
        <v>#REF!</v>
      </c>
      <c r="K20" t="e">
        <f t="shared" ref="K20:K31" si="5">G20+H20+J20</f>
        <v>#REF!</v>
      </c>
    </row>
    <row r="21" spans="1:11">
      <c r="A21" s="2">
        <v>43011</v>
      </c>
      <c r="B21" s="46">
        <v>43021</v>
      </c>
      <c r="C21" s="569"/>
      <c r="D21" t="str">
        <f>VLOOKUP(A21,正社員!$P$234:$Q$460,2,FALSE)</f>
        <v>本社工場ＴＰ</v>
      </c>
      <c r="E21">
        <f>COUNTIF(正社員!$P$234:$P$460,A21)</f>
        <v>14</v>
      </c>
      <c r="F21">
        <f>COUNTIF(正社員!$P$467:$P$483,A21)</f>
        <v>0</v>
      </c>
      <c r="G21">
        <f t="shared" si="4"/>
        <v>14</v>
      </c>
      <c r="H21" t="e">
        <f>COUNTIF(#REF!,B21)</f>
        <v>#REF!</v>
      </c>
      <c r="K21" t="e">
        <f t="shared" si="5"/>
        <v>#REF!</v>
      </c>
    </row>
    <row r="22" spans="1:11">
      <c r="A22" s="2">
        <v>41011</v>
      </c>
      <c r="B22" s="46">
        <v>41021</v>
      </c>
      <c r="C22" s="569"/>
      <c r="D22" t="str">
        <f>VLOOKUP(A22,正社員!$P$234:$Q$460,2,FALSE)</f>
        <v>本社工場ＨＹ</v>
      </c>
      <c r="E22">
        <f>COUNTIF(正社員!$P$234:$P$460,A22)</f>
        <v>19</v>
      </c>
      <c r="F22">
        <f>COUNTIF(正社員!$P$467:$P$483,A22)</f>
        <v>0</v>
      </c>
      <c r="G22">
        <f t="shared" si="4"/>
        <v>19</v>
      </c>
      <c r="H22" t="e">
        <f>COUNTIF(#REF!,B22)</f>
        <v>#REF!</v>
      </c>
      <c r="K22" t="e">
        <f t="shared" si="5"/>
        <v>#REF!</v>
      </c>
    </row>
    <row r="23" spans="1:11">
      <c r="A23" s="2">
        <v>42111</v>
      </c>
      <c r="B23" s="46">
        <v>42121</v>
      </c>
      <c r="C23" s="569" t="s">
        <v>626</v>
      </c>
      <c r="D23" t="str">
        <f>VLOOKUP(A23,正社員!$P$234:$Q$460,2,FALSE)</f>
        <v>本社工場組立第１</v>
      </c>
      <c r="E23">
        <f>COUNTIF(正社員!$P$234:$P$460,A23)</f>
        <v>10</v>
      </c>
      <c r="F23">
        <f>COUNTIF(正社員!$P$467:$P$483,A23)</f>
        <v>0</v>
      </c>
      <c r="G23">
        <f t="shared" si="4"/>
        <v>10</v>
      </c>
      <c r="H23" t="e">
        <f>COUNTIF(#REF!,B23)</f>
        <v>#REF!</v>
      </c>
      <c r="K23" t="e">
        <f t="shared" si="5"/>
        <v>#REF!</v>
      </c>
    </row>
    <row r="24" spans="1:11">
      <c r="A24" s="2">
        <v>42411</v>
      </c>
      <c r="B24" s="46">
        <v>42421</v>
      </c>
      <c r="C24" s="569"/>
      <c r="D24" t="str">
        <f>VLOOKUP(A24,正社員!$P$234:$Q$460,2,FALSE)</f>
        <v>本社工場組立第２</v>
      </c>
      <c r="E24">
        <f>COUNTIF(正社員!$P$234:$P$460,A24)</f>
        <v>9</v>
      </c>
      <c r="F24">
        <f>COUNTIF(正社員!$P$467:$P$483,A24)</f>
        <v>0</v>
      </c>
      <c r="G24">
        <f t="shared" si="4"/>
        <v>9</v>
      </c>
      <c r="H24" t="e">
        <f>COUNTIF(#REF!,B24)</f>
        <v>#REF!</v>
      </c>
      <c r="K24" t="e">
        <f t="shared" si="5"/>
        <v>#REF!</v>
      </c>
    </row>
    <row r="25" spans="1:11">
      <c r="A25" s="2">
        <v>42211</v>
      </c>
      <c r="B25" s="46">
        <v>42221</v>
      </c>
      <c r="C25" s="569"/>
      <c r="D25" t="str">
        <f>VLOOKUP(A25,正社員!$P$234:$Q$460,2,FALSE)</f>
        <v>本社工場ＡＣ研磨</v>
      </c>
      <c r="E25">
        <f>COUNTIF(正社員!$P$234:$P$460,A25)</f>
        <v>11</v>
      </c>
      <c r="F25">
        <f>COUNTIF(正社員!$P$467:$P$483,A25)</f>
        <v>0</v>
      </c>
      <c r="G25">
        <f t="shared" si="4"/>
        <v>11</v>
      </c>
      <c r="H25" t="e">
        <f>COUNTIF(#REF!,B25)</f>
        <v>#REF!</v>
      </c>
      <c r="K25" t="e">
        <f t="shared" si="5"/>
        <v>#REF!</v>
      </c>
    </row>
    <row r="26" spans="1:11">
      <c r="A26" s="2">
        <v>42011</v>
      </c>
      <c r="B26" s="46">
        <v>42021</v>
      </c>
      <c r="C26" s="569"/>
      <c r="D26" t="str">
        <f>VLOOKUP(A26,正社員!$P$234:$Q$460,2,FALSE)</f>
        <v>本社工場機械第１</v>
      </c>
      <c r="E26">
        <f>COUNTIF(正社員!$P$234:$P$460,A26)</f>
        <v>13</v>
      </c>
      <c r="F26">
        <f>COUNTIF(正社員!$P$467:$P$483,A26)</f>
        <v>0</v>
      </c>
      <c r="G26">
        <f t="shared" si="4"/>
        <v>13</v>
      </c>
      <c r="H26" t="e">
        <f>COUNTIF(#REF!,B26)</f>
        <v>#REF!</v>
      </c>
      <c r="K26" t="e">
        <f t="shared" si="5"/>
        <v>#REF!</v>
      </c>
    </row>
    <row r="27" spans="1:11">
      <c r="A27" s="2">
        <v>42311</v>
      </c>
      <c r="B27" s="46">
        <v>42321</v>
      </c>
      <c r="C27" s="569"/>
      <c r="D27" t="str">
        <f>VLOOKUP(A27,正社員!$P$234:$Q$460,2,FALSE)</f>
        <v>本社工場機械第２</v>
      </c>
      <c r="E27">
        <f>COUNTIF(正社員!$P$234:$P$460,A27)</f>
        <v>7</v>
      </c>
      <c r="F27">
        <f>COUNTIF(正社員!$P$467:$P$483,A27)</f>
        <v>0</v>
      </c>
      <c r="G27">
        <f t="shared" si="4"/>
        <v>7</v>
      </c>
      <c r="H27" t="e">
        <f>COUNTIF(#REF!,B27)</f>
        <v>#REF!</v>
      </c>
      <c r="K27" t="e">
        <f t="shared" si="5"/>
        <v>#REF!</v>
      </c>
    </row>
    <row r="28" spans="1:11">
      <c r="A28" s="2">
        <v>43211</v>
      </c>
      <c r="B28" s="46">
        <v>43221</v>
      </c>
      <c r="C28" s="569" t="s">
        <v>627</v>
      </c>
      <c r="D28" t="str">
        <f>VLOOKUP(A28,正社員!$P$234:$Q$460,2,FALSE)</f>
        <v>本社工場ＢＶ</v>
      </c>
      <c r="E28">
        <f>COUNTIF(正社員!$P$234:$P$460,A28)</f>
        <v>12</v>
      </c>
      <c r="F28">
        <f>COUNTIF(正社員!$P$467:$P$483,A28)</f>
        <v>6</v>
      </c>
      <c r="G28">
        <f t="shared" si="4"/>
        <v>18</v>
      </c>
      <c r="H28" t="e">
        <f>COUNTIF(#REF!,B28)</f>
        <v>#REF!</v>
      </c>
      <c r="K28" t="e">
        <f t="shared" si="5"/>
        <v>#REF!</v>
      </c>
    </row>
    <row r="29" spans="1:11">
      <c r="A29" s="2">
        <v>43311</v>
      </c>
      <c r="B29" s="46">
        <v>43321</v>
      </c>
      <c r="C29" s="569"/>
      <c r="D29" t="str">
        <f>VLOOKUP(A29,正社員!$P$234:$Q$460,2,FALSE)</f>
        <v>本社工場ＳＰ</v>
      </c>
      <c r="E29">
        <f>COUNTIF(正社員!$P$234:$P$460,A29)</f>
        <v>4</v>
      </c>
      <c r="F29">
        <f>COUNTIF(正社員!$P$467:$P$483,A29)</f>
        <v>0</v>
      </c>
      <c r="G29">
        <f t="shared" si="4"/>
        <v>4</v>
      </c>
      <c r="H29" t="e">
        <f>COUNTIF(#REF!,B29)</f>
        <v>#REF!</v>
      </c>
      <c r="K29" t="e">
        <f t="shared" si="5"/>
        <v>#REF!</v>
      </c>
    </row>
    <row r="30" spans="1:11">
      <c r="A30" s="2">
        <v>41200</v>
      </c>
      <c r="B30" s="46">
        <v>41221</v>
      </c>
      <c r="C30" s="569"/>
      <c r="D30" t="str">
        <f>VLOOKUP(A30,正社員!$P$39:$Q$195,2,FALSE)</f>
        <v>本社工場構内物流</v>
      </c>
      <c r="E30">
        <f>COUNTIFS(正社員!$P$38:$P$195,A30)</f>
        <v>8</v>
      </c>
      <c r="F30">
        <f>COUNTIF(正社員!$P$200:$P$226,A30)</f>
        <v>0</v>
      </c>
      <c r="G30">
        <f t="shared" si="4"/>
        <v>8</v>
      </c>
      <c r="H30" t="e">
        <f>COUNTIF(#REF!,B30)</f>
        <v>#REF!</v>
      </c>
      <c r="K30" t="e">
        <f t="shared" si="5"/>
        <v>#REF!</v>
      </c>
    </row>
    <row r="31" spans="1:11">
      <c r="A31" s="2">
        <v>40400</v>
      </c>
      <c r="B31" s="46">
        <v>40420</v>
      </c>
      <c r="C31" s="569"/>
      <c r="D31" t="str">
        <f>VLOOKUP(A31,正社員!$P$39:$Q$195,2,FALSE)</f>
        <v>本社工場改善</v>
      </c>
      <c r="E31">
        <f>COUNTIFS(正社員!$P$38:$P$195,A31)</f>
        <v>4</v>
      </c>
      <c r="F31">
        <f>COUNTIF(正社員!$P$200:$P$226,A31)</f>
        <v>0</v>
      </c>
      <c r="G31">
        <f t="shared" si="4"/>
        <v>4</v>
      </c>
      <c r="H31" t="e">
        <f>COUNTIF(#REF!,B31)</f>
        <v>#REF!</v>
      </c>
      <c r="K31" t="e">
        <f t="shared" si="5"/>
        <v>#REF!</v>
      </c>
    </row>
    <row r="32" spans="1:11">
      <c r="A32" s="2">
        <v>40000</v>
      </c>
      <c r="B32" s="46">
        <v>40020</v>
      </c>
      <c r="D32" t="str">
        <f>VLOOKUP(A32,正社員!$P$39:$Q$195,2,FALSE)</f>
        <v>本社工場工場管理課</v>
      </c>
      <c r="E32">
        <f>COUNTIFS(正社員!$P$38:$P$195,A32)</f>
        <v>8</v>
      </c>
      <c r="F32">
        <f>COUNTIF(正社員!$P$200:$P$226,A32)</f>
        <v>1</v>
      </c>
      <c r="G32">
        <f>E32+F32</f>
        <v>9</v>
      </c>
      <c r="H32" t="e">
        <f>COUNTIF(#REF!,B32)</f>
        <v>#REF!</v>
      </c>
      <c r="K32" t="e">
        <f>G32+H32+J32</f>
        <v>#REF!</v>
      </c>
    </row>
    <row r="33" spans="1:11">
      <c r="B33" s="56"/>
      <c r="C33" s="56"/>
      <c r="D33" s="57" t="s">
        <v>620</v>
      </c>
      <c r="E33" s="58">
        <f>SUM(E20:E32)</f>
        <v>128</v>
      </c>
      <c r="F33" s="58">
        <f t="shared" ref="F33:K33" si="6">SUM(F20:F32)</f>
        <v>7</v>
      </c>
      <c r="G33" s="58">
        <f>SUM(G20:G32)</f>
        <v>135</v>
      </c>
      <c r="H33" s="61" t="e">
        <f>SUM(H20:H32)</f>
        <v>#REF!</v>
      </c>
      <c r="I33" s="58">
        <f t="shared" si="6"/>
        <v>0</v>
      </c>
      <c r="J33" s="58">
        <f t="shared" si="6"/>
        <v>0</v>
      </c>
      <c r="K33" s="58" t="e">
        <f t="shared" si="6"/>
        <v>#REF!</v>
      </c>
    </row>
    <row r="34" spans="1:11">
      <c r="A34" s="2">
        <v>67211</v>
      </c>
      <c r="B34" s="46">
        <v>67221</v>
      </c>
      <c r="C34" s="569" t="s">
        <v>625</v>
      </c>
      <c r="D34" t="str">
        <f>VLOOKUP(A34,正社員!$P$234:$Q$460,2,FALSE)</f>
        <v>羽生工場ＮＣ</v>
      </c>
      <c r="E34">
        <f>COUNTIF(正社員!$P$234:$P$460,A34)</f>
        <v>6</v>
      </c>
      <c r="F34">
        <f>COUNTIF(正社員!$P$467:$P$483,A34)</f>
        <v>0</v>
      </c>
      <c r="G34">
        <f t="shared" ref="G34:G48" si="7">E34+F34</f>
        <v>6</v>
      </c>
      <c r="H34" t="e">
        <f>COUNTIF(#REF!,B34)</f>
        <v>#REF!</v>
      </c>
      <c r="K34" t="e">
        <f t="shared" ref="K34:K48" si="8">G34+H34+J34</f>
        <v>#REF!</v>
      </c>
    </row>
    <row r="35" spans="1:11">
      <c r="A35" s="2">
        <v>68011</v>
      </c>
      <c r="B35" s="46">
        <v>68021</v>
      </c>
      <c r="C35" s="569"/>
      <c r="D35" t="str">
        <f>VLOOKUP(A35,正社員!$P$234:$Q$460,2,FALSE)</f>
        <v>羽生工場ＣＢ</v>
      </c>
      <c r="E35">
        <f>COUNTIF(正社員!$P$234:$P$460,A35)</f>
        <v>2</v>
      </c>
      <c r="F35">
        <f>COUNTIF(正社員!$P$467:$P$483,A35)</f>
        <v>0</v>
      </c>
      <c r="G35">
        <f t="shared" si="7"/>
        <v>2</v>
      </c>
      <c r="H35" t="e">
        <f>COUNTIF(#REF!,B35)</f>
        <v>#REF!</v>
      </c>
      <c r="K35" t="e">
        <f t="shared" si="8"/>
        <v>#REF!</v>
      </c>
    </row>
    <row r="36" spans="1:11">
      <c r="A36" s="2">
        <v>69211</v>
      </c>
      <c r="B36" s="46">
        <v>69221</v>
      </c>
      <c r="C36" s="569"/>
      <c r="D36" t="str">
        <f>VLOOKUP(A36,正社員!$P$234:$Q$460,2,FALSE)</f>
        <v>羽生工場ＢＰＶ</v>
      </c>
      <c r="E36">
        <f>COUNTIF(正社員!$P$234:$P$460,A36)</f>
        <v>4</v>
      </c>
      <c r="F36">
        <f>COUNTIF(正社員!$P$467:$P$483,A36)</f>
        <v>1</v>
      </c>
      <c r="G36" s="74">
        <f t="shared" si="7"/>
        <v>5</v>
      </c>
      <c r="H36" t="e">
        <f>COUNTIF(#REF!,B36)</f>
        <v>#REF!</v>
      </c>
      <c r="K36" t="e">
        <f t="shared" si="8"/>
        <v>#REF!</v>
      </c>
    </row>
    <row r="37" spans="1:11">
      <c r="A37" s="2">
        <v>69111</v>
      </c>
      <c r="B37" s="46">
        <v>69121</v>
      </c>
      <c r="C37" s="569"/>
      <c r="D37" t="str">
        <f>VLOOKUP(A37,正社員!$P$234:$Q$460,2,FALSE)</f>
        <v>羽生工場ＥＧＲ</v>
      </c>
      <c r="E37">
        <f>COUNTIF(正社員!$P$234:$P$460,A37)</f>
        <v>1</v>
      </c>
      <c r="F37">
        <f>COUNTIF(正社員!$P$467:$P$483,A37)</f>
        <v>0</v>
      </c>
      <c r="G37" s="74">
        <f t="shared" si="7"/>
        <v>1</v>
      </c>
      <c r="H37" t="e">
        <f>COUNTIF(#REF!,B37)</f>
        <v>#REF!</v>
      </c>
      <c r="K37" t="e">
        <f t="shared" si="8"/>
        <v>#REF!</v>
      </c>
    </row>
    <row r="38" spans="1:11">
      <c r="A38" s="2">
        <v>64011</v>
      </c>
      <c r="B38" s="46">
        <v>64021</v>
      </c>
      <c r="C38" s="569" t="s">
        <v>626</v>
      </c>
      <c r="D38" t="str">
        <f>VLOOKUP(A38,正社員!$P$234:$Q$460,2,FALSE)</f>
        <v>羽生工場ＢＣ</v>
      </c>
      <c r="E38">
        <f>COUNTIF(正社員!$P$234:$P$460,A38)</f>
        <v>5</v>
      </c>
      <c r="F38">
        <f>COUNTIF(正社員!$P$467:$P$483,A38)</f>
        <v>0</v>
      </c>
      <c r="G38">
        <f t="shared" si="7"/>
        <v>5</v>
      </c>
      <c r="H38" t="e">
        <f>COUNTIF(#REF!,B38)</f>
        <v>#REF!</v>
      </c>
      <c r="K38" t="e">
        <f t="shared" si="8"/>
        <v>#REF!</v>
      </c>
    </row>
    <row r="39" spans="1:11">
      <c r="A39" s="2">
        <v>64111</v>
      </c>
      <c r="B39" s="46">
        <v>64121</v>
      </c>
      <c r="C39" s="569"/>
      <c r="D39" t="str">
        <f>VLOOKUP(A39,正社員!$P$234:$Q$460,2,FALSE)</f>
        <v>羽生工場ＢＢ</v>
      </c>
      <c r="E39">
        <f>COUNTIF(正社員!$P$234:$P$460,A39)</f>
        <v>4</v>
      </c>
      <c r="F39">
        <f>COUNTIF(正社員!$P$467:$P$483,A39)</f>
        <v>1</v>
      </c>
      <c r="G39">
        <f t="shared" si="7"/>
        <v>5</v>
      </c>
      <c r="H39" t="e">
        <f>COUNTIF(#REF!,B39)</f>
        <v>#REF!</v>
      </c>
      <c r="K39" t="e">
        <f t="shared" si="8"/>
        <v>#REF!</v>
      </c>
    </row>
    <row r="40" spans="1:11">
      <c r="A40" s="2">
        <v>64211</v>
      </c>
      <c r="B40" s="46">
        <v>64221</v>
      </c>
      <c r="C40" s="569"/>
      <c r="D40" t="str">
        <f>VLOOKUP(A40,正社員!$P$234:$Q$460,2,FALSE)</f>
        <v>羽生工場ＡＳ</v>
      </c>
      <c r="E40">
        <f>COUNTIF(正社員!$P$234:$P$460,A40)</f>
        <v>1</v>
      </c>
      <c r="F40">
        <f>COUNTIF(正社員!$P$467:$P$483,A40)</f>
        <v>1</v>
      </c>
      <c r="G40">
        <f t="shared" si="7"/>
        <v>2</v>
      </c>
      <c r="H40" t="e">
        <f>COUNTIF(#REF!,B40)</f>
        <v>#REF!</v>
      </c>
      <c r="K40" t="e">
        <f t="shared" si="8"/>
        <v>#REF!</v>
      </c>
    </row>
    <row r="41" spans="1:11">
      <c r="A41" s="2">
        <v>67011</v>
      </c>
      <c r="B41" s="46">
        <v>67021</v>
      </c>
      <c r="C41" s="569"/>
      <c r="D41" t="str">
        <f>VLOOKUP(A41,正社員!$P$234:$Q$460,2,FALSE)</f>
        <v>羽生工場プレス</v>
      </c>
      <c r="E41">
        <f>COUNTIF(正社員!$P$234:$P$460,A41)</f>
        <v>9</v>
      </c>
      <c r="F41">
        <f>COUNTIF(正社員!$P$467:$P$483,A41)</f>
        <v>0</v>
      </c>
      <c r="G41">
        <f t="shared" si="7"/>
        <v>9</v>
      </c>
      <c r="H41" t="e">
        <f>COUNTIF(#REF!,B41)</f>
        <v>#REF!</v>
      </c>
      <c r="K41" t="e">
        <f t="shared" si="8"/>
        <v>#REF!</v>
      </c>
    </row>
    <row r="42" spans="1:11">
      <c r="A42" s="2">
        <v>68111</v>
      </c>
      <c r="B42" s="46">
        <v>68121</v>
      </c>
      <c r="C42" s="569"/>
      <c r="D42" t="str">
        <f>VLOOKUP(A42,正社員!$P$234:$Q$460,2,FALSE)</f>
        <v>羽生工場ＰＳＨ</v>
      </c>
      <c r="E42">
        <f>COUNTIF(正社員!$P$234:$P$460,A42)</f>
        <v>4</v>
      </c>
      <c r="F42">
        <f>COUNTIF(正社員!$P$467:$P$483,A42)</f>
        <v>1</v>
      </c>
      <c r="G42">
        <f t="shared" si="7"/>
        <v>5</v>
      </c>
      <c r="H42" t="e">
        <f>COUNTIF(#REF!,B42)</f>
        <v>#REF!</v>
      </c>
      <c r="K42" t="e">
        <f t="shared" si="8"/>
        <v>#REF!</v>
      </c>
    </row>
    <row r="43" spans="1:11">
      <c r="A43" s="2">
        <v>64311</v>
      </c>
      <c r="B43" s="46">
        <v>64321</v>
      </c>
      <c r="C43" s="569"/>
      <c r="D43" t="str">
        <f>VLOOKUP(A43,正社員!$P$234:$Q$460,2,FALSE)</f>
        <v>羽生工場ＭＳＵ</v>
      </c>
      <c r="E43">
        <f>COUNTIF(正社員!$P$234:$P$460,A43)</f>
        <v>1</v>
      </c>
      <c r="F43">
        <f>COUNTIF(正社員!$P$467:$P$483,A43)</f>
        <v>0</v>
      </c>
      <c r="G43">
        <f t="shared" si="7"/>
        <v>1</v>
      </c>
      <c r="H43" t="e">
        <f>COUNTIF(#REF!,B43)</f>
        <v>#REF!</v>
      </c>
      <c r="K43" t="e">
        <f t="shared" si="8"/>
        <v>#REF!</v>
      </c>
    </row>
    <row r="44" spans="1:11">
      <c r="A44" s="2">
        <v>69011</v>
      </c>
      <c r="B44" s="46">
        <v>69021</v>
      </c>
      <c r="C44" s="569" t="s">
        <v>627</v>
      </c>
      <c r="D44" t="str">
        <f>VLOOKUP(A44,正社員!$P$234:$Q$460,2,FALSE)</f>
        <v>羽生工場ＴＣ</v>
      </c>
      <c r="E44">
        <f>COUNTIF(正社員!$P$234:$P$480,A44)</f>
        <v>18</v>
      </c>
      <c r="F44">
        <f>COUNTIF(正社員!$P$467:$P$483,A44)</f>
        <v>1</v>
      </c>
      <c r="G44">
        <f t="shared" si="7"/>
        <v>19</v>
      </c>
      <c r="H44" t="e">
        <f>COUNTIF(#REF!,B44)</f>
        <v>#REF!</v>
      </c>
      <c r="K44" t="e">
        <f t="shared" si="8"/>
        <v>#REF!</v>
      </c>
    </row>
    <row r="45" spans="1:11">
      <c r="A45" s="2">
        <v>60300</v>
      </c>
      <c r="B45" s="46">
        <v>60320</v>
      </c>
      <c r="C45" s="569"/>
      <c r="D45" t="str">
        <f>VLOOKUP(A45,正社員!$P$39:$Q$195,2,FALSE)</f>
        <v>羽生工場構内物流</v>
      </c>
      <c r="E45">
        <f>COUNTIFS(正社員!$P$38:$P$195,A45)</f>
        <v>8</v>
      </c>
      <c r="F45">
        <f>COUNTIF(正社員!$P$200:$P$226,A45)</f>
        <v>0</v>
      </c>
      <c r="G45">
        <f t="shared" si="7"/>
        <v>8</v>
      </c>
      <c r="H45" t="e">
        <f>COUNTIF(#REF!,B45)</f>
        <v>#REF!</v>
      </c>
      <c r="K45" t="e">
        <f t="shared" si="8"/>
        <v>#REF!</v>
      </c>
    </row>
    <row r="46" spans="1:11">
      <c r="A46" s="2">
        <v>60411</v>
      </c>
      <c r="B46" s="46">
        <v>60421</v>
      </c>
      <c r="C46" s="569"/>
      <c r="D46" t="str">
        <f>VLOOKUP(A46,正社員!$P$234:$Q$460,2,FALSE)</f>
        <v>羽生工場構内ＳＰ</v>
      </c>
      <c r="E46">
        <f>COUNTIF(正社員!$P$234:$P$460,A46)</f>
        <v>3</v>
      </c>
      <c r="F46">
        <f>COUNTIF(正社員!$P$467:$P$483,A46)</f>
        <v>0</v>
      </c>
      <c r="G46">
        <f t="shared" si="7"/>
        <v>3</v>
      </c>
      <c r="H46" t="e">
        <f>COUNTIF(#REF!,B46)</f>
        <v>#REF!</v>
      </c>
      <c r="K46" t="e">
        <f t="shared" si="8"/>
        <v>#REF!</v>
      </c>
    </row>
    <row r="47" spans="1:11">
      <c r="A47" s="2">
        <v>65011</v>
      </c>
      <c r="B47" s="46">
        <v>65021</v>
      </c>
      <c r="C47" s="569" t="s">
        <v>628</v>
      </c>
      <c r="D47" t="str">
        <f>VLOOKUP(A47,正社員!$P$234:$Q$460,2,FALSE)</f>
        <v>羽生工場ＶＰ－１</v>
      </c>
      <c r="E47">
        <f>COUNTIF(正社員!$P$234:$P$460,A47)</f>
        <v>15</v>
      </c>
      <c r="F47">
        <f>COUNTIF(正社員!$P$467:$P$483,A47)</f>
        <v>1</v>
      </c>
      <c r="G47">
        <f t="shared" si="7"/>
        <v>16</v>
      </c>
      <c r="H47" t="e">
        <f>COUNTIF(#REF!,B47)</f>
        <v>#REF!</v>
      </c>
      <c r="K47" t="e">
        <f t="shared" si="8"/>
        <v>#REF!</v>
      </c>
    </row>
    <row r="48" spans="1:11">
      <c r="A48" s="2">
        <v>66011</v>
      </c>
      <c r="B48" s="46">
        <v>66021</v>
      </c>
      <c r="C48" s="569"/>
      <c r="D48" t="str">
        <f>VLOOKUP(A48,正社員!$P$234:$Q$460,2,FALSE)</f>
        <v>羽生工場ＶＰ－２</v>
      </c>
      <c r="E48">
        <f>COUNTIF(正社員!$P$234:$P$460,A48)</f>
        <v>16</v>
      </c>
      <c r="F48">
        <f>COUNTIF(正社員!$P$467:$P$483,A48)</f>
        <v>3</v>
      </c>
      <c r="G48">
        <f t="shared" si="7"/>
        <v>19</v>
      </c>
      <c r="H48" t="e">
        <f>COUNTIF(#REF!,B48)</f>
        <v>#REF!</v>
      </c>
      <c r="K48" t="e">
        <f t="shared" si="8"/>
        <v>#REF!</v>
      </c>
    </row>
    <row r="49" spans="1:11">
      <c r="A49" s="2">
        <v>61300</v>
      </c>
      <c r="B49" s="46">
        <v>61320</v>
      </c>
      <c r="D49" t="str">
        <f>VLOOKUP(A49,正社員!$P$39:$Q$195,2,FALSE)</f>
        <v>羽生工場工場管理課</v>
      </c>
      <c r="E49">
        <f>COUNTIFS(正社員!$P$38:$P$195,A49)</f>
        <v>3</v>
      </c>
      <c r="F49">
        <f>COUNTIF(正社員!$P$200:$P$226,A49)</f>
        <v>1</v>
      </c>
      <c r="G49">
        <f>E49+F49</f>
        <v>4</v>
      </c>
      <c r="H49" t="e">
        <f>COUNTIF(#REF!,B49)</f>
        <v>#REF!</v>
      </c>
      <c r="K49" t="e">
        <f>G49+H49+J49</f>
        <v>#REF!</v>
      </c>
    </row>
    <row r="50" spans="1:11">
      <c r="B50" s="56"/>
      <c r="C50" s="56"/>
      <c r="D50" s="57" t="s">
        <v>619</v>
      </c>
      <c r="E50" s="58">
        <f>SUM(E34:E49)</f>
        <v>100</v>
      </c>
      <c r="F50" s="58">
        <f t="shared" ref="F50:K50" si="9">SUM(F34:F49)</f>
        <v>10</v>
      </c>
      <c r="G50" s="58">
        <f t="shared" si="9"/>
        <v>110</v>
      </c>
      <c r="H50" s="58" t="e">
        <f t="shared" si="9"/>
        <v>#REF!</v>
      </c>
      <c r="I50" s="58">
        <f t="shared" si="9"/>
        <v>0</v>
      </c>
      <c r="J50" s="58">
        <f t="shared" si="9"/>
        <v>0</v>
      </c>
      <c r="K50" s="58" t="e">
        <f t="shared" si="9"/>
        <v>#REF!</v>
      </c>
    </row>
    <row r="51" spans="1:11">
      <c r="A51" s="2">
        <v>44011</v>
      </c>
      <c r="B51" s="46">
        <v>44021</v>
      </c>
      <c r="C51" s="569" t="s">
        <v>625</v>
      </c>
      <c r="D51" t="str">
        <f>VLOOKUP(A51,正社員!$P$234:$Q$460,2,FALSE)</f>
        <v>川越第二工場１係</v>
      </c>
      <c r="E51">
        <f>COUNTIF(正社員!$P$234:$P$460,A51)</f>
        <v>2</v>
      </c>
      <c r="F51">
        <f>COUNTIF(正社員!$P$467:$P$483,A51)</f>
        <v>0</v>
      </c>
      <c r="G51">
        <f>E51+F51</f>
        <v>2</v>
      </c>
      <c r="H51" t="e">
        <f>COUNTIF(#REF!,B51)</f>
        <v>#REF!</v>
      </c>
      <c r="K51" t="e">
        <f>G51+H51+J51</f>
        <v>#REF!</v>
      </c>
    </row>
    <row r="52" spans="1:11">
      <c r="A52" s="2">
        <v>44111</v>
      </c>
      <c r="B52" s="46">
        <v>44121</v>
      </c>
      <c r="C52" s="569"/>
      <c r="D52" t="str">
        <f>VLOOKUP(A52,正社員!$P$234:$Q$460,2,FALSE)</f>
        <v>川越第二工場２係</v>
      </c>
      <c r="E52">
        <f>COUNTIF(正社員!$P$234:$P$460,A52)</f>
        <v>5</v>
      </c>
      <c r="F52">
        <f>COUNTIF(正社員!$P$467:$P$483,A52)</f>
        <v>0</v>
      </c>
      <c r="G52">
        <f>E52+F52</f>
        <v>5</v>
      </c>
      <c r="H52" t="e">
        <f>COUNTIF(#REF!,B52)</f>
        <v>#REF!</v>
      </c>
      <c r="K52" t="e">
        <f>G52+H52+J52</f>
        <v>#REF!</v>
      </c>
    </row>
    <row r="53" spans="1:11">
      <c r="A53" s="2">
        <v>44511</v>
      </c>
      <c r="B53" s="46">
        <v>44521</v>
      </c>
      <c r="C53" s="569"/>
      <c r="D53" t="str">
        <f>VLOOKUP(A53,正社員!$P$234:$Q$460,2,FALSE)</f>
        <v>川越第二工場５係</v>
      </c>
      <c r="E53">
        <f>COUNTIF(正社員!$P$234:$P$460,A53)</f>
        <v>6</v>
      </c>
      <c r="F53">
        <f>COUNTIF(正社員!$P$467:$P$483,A53)</f>
        <v>0</v>
      </c>
      <c r="G53">
        <f>E53+F53</f>
        <v>6</v>
      </c>
      <c r="H53" t="e">
        <f>COUNTIF(#REF!,B53)</f>
        <v>#REF!</v>
      </c>
      <c r="K53" t="e">
        <f>G53+H53+J53</f>
        <v>#REF!</v>
      </c>
    </row>
    <row r="54" spans="1:11">
      <c r="A54" s="2">
        <v>45111</v>
      </c>
      <c r="B54" s="46">
        <v>45121</v>
      </c>
      <c r="C54" s="569"/>
      <c r="D54" t="str">
        <f>VLOOKUP(A54,正社員!$P$234:$Q$460,2,FALSE)</f>
        <v>川越第二工場鋳造部門</v>
      </c>
      <c r="E54">
        <f>COUNTIF(正社員!$P$234:$P$460,A54)</f>
        <v>14</v>
      </c>
      <c r="F54">
        <f>COUNTIF(正社員!$P$467:$P$483,A54)</f>
        <v>0</v>
      </c>
      <c r="G54">
        <f>E54+F54</f>
        <v>14</v>
      </c>
      <c r="H54" t="e">
        <f>COUNTIF(#REF!,B54)</f>
        <v>#REF!</v>
      </c>
      <c r="K54" t="e">
        <f>G54+H54+J54</f>
        <v>#REF!</v>
      </c>
    </row>
    <row r="55" spans="1:11">
      <c r="A55" s="2">
        <v>44200</v>
      </c>
      <c r="B55" s="46">
        <v>44220</v>
      </c>
      <c r="C55" s="52" t="s">
        <v>626</v>
      </c>
      <c r="D55" t="str">
        <f>VLOOKUP(A55,正社員!$P$39:$Q$195,2,FALSE)</f>
        <v>川越第二工場管理</v>
      </c>
      <c r="E55">
        <f>COUNTIFS(正社員!$P$38:$P$195,A55)</f>
        <v>5</v>
      </c>
      <c r="F55">
        <f>COUNTIF(正社員!$P$200:$P$226,A55)</f>
        <v>2</v>
      </c>
      <c r="G55">
        <f>E55+F55</f>
        <v>7</v>
      </c>
      <c r="H55" t="e">
        <f>COUNTIF(#REF!,B55)</f>
        <v>#REF!</v>
      </c>
      <c r="K55" t="e">
        <f>G55+H55+J55</f>
        <v>#REF!</v>
      </c>
    </row>
    <row r="56" spans="1:11">
      <c r="B56" s="56"/>
      <c r="C56" s="56"/>
      <c r="D56" s="57" t="s">
        <v>618</v>
      </c>
      <c r="E56" s="58">
        <f>SUM(E51:E55)</f>
        <v>32</v>
      </c>
      <c r="F56" s="58">
        <f t="shared" ref="F56:K56" si="10">SUM(F51:F55)</f>
        <v>2</v>
      </c>
      <c r="G56" s="58">
        <f t="shared" si="10"/>
        <v>34</v>
      </c>
      <c r="H56" s="58" t="e">
        <f t="shared" si="10"/>
        <v>#REF!</v>
      </c>
      <c r="I56" s="58">
        <f t="shared" si="10"/>
        <v>0</v>
      </c>
      <c r="J56" s="58">
        <f t="shared" si="10"/>
        <v>0</v>
      </c>
      <c r="K56" s="58" t="e">
        <f t="shared" si="10"/>
        <v>#REF!</v>
      </c>
    </row>
    <row r="57" spans="1:11">
      <c r="A57" s="2">
        <v>20000</v>
      </c>
      <c r="B57" s="46" t="str">
        <f>IFERROR(VLOOKUP(D57,#REF!,2,FALSE),"")</f>
        <v/>
      </c>
      <c r="D57" t="str">
        <f>VLOOKUP(A57,正社員!$P$39:$Q$195,2,FALSE)</f>
        <v>生産管理部製品管理課</v>
      </c>
      <c r="E57">
        <f>COUNTIFS(正社員!$P$38:$P$195,A57)</f>
        <v>2</v>
      </c>
      <c r="F57">
        <f>COUNTIF(正社員!$P$200:$P$226,A57)</f>
        <v>0</v>
      </c>
      <c r="G57">
        <f>E57+F57</f>
        <v>2</v>
      </c>
      <c r="H57" t="e">
        <f>COUNTIF(#REF!,B57)</f>
        <v>#REF!</v>
      </c>
      <c r="K57" t="e">
        <f>G57+H57+J57</f>
        <v>#REF!</v>
      </c>
    </row>
    <row r="58" spans="1:11">
      <c r="A58" s="2"/>
    </row>
    <row r="59" spans="1:11">
      <c r="A59" s="2">
        <v>22000</v>
      </c>
      <c r="B59" s="46">
        <v>22020</v>
      </c>
      <c r="D59" t="str">
        <f>VLOOKUP(A59,正社員!$P$39:$Q$195,2,FALSE)</f>
        <v>生産管理部ＩＴ管理課</v>
      </c>
      <c r="E59">
        <f>COUNTIFS(正社員!$P$38:$P$195,A59)</f>
        <v>3</v>
      </c>
      <c r="F59">
        <f>COUNTIF(正社員!$P$200:$P$226,A59)</f>
        <v>1</v>
      </c>
      <c r="G59">
        <f>E59+F59</f>
        <v>4</v>
      </c>
      <c r="H59" t="e">
        <f>COUNTIF(#REF!,B59)</f>
        <v>#REF!</v>
      </c>
      <c r="K59" t="e">
        <f>G59+H59+J59</f>
        <v>#REF!</v>
      </c>
    </row>
    <row r="60" spans="1:11">
      <c r="A60" s="2">
        <v>60000</v>
      </c>
      <c r="B60" s="46">
        <v>60020</v>
      </c>
      <c r="D60" t="str">
        <f>VLOOKUP(A60,正社員!$P$39:$Q$195,2,FALSE)</f>
        <v>生産管理部製品管理課(羽生)</v>
      </c>
      <c r="E60">
        <f>COUNTIFS(正社員!$P$38:$P$195,A60)</f>
        <v>2</v>
      </c>
      <c r="F60">
        <f>COUNTIF(正社員!$P$200:$P$226,A60)</f>
        <v>2</v>
      </c>
      <c r="G60">
        <f>E60+F60</f>
        <v>4</v>
      </c>
      <c r="H60" t="e">
        <f>COUNTIF(#REF!,B60)</f>
        <v>#REF!</v>
      </c>
      <c r="K60" t="e">
        <f>G60+H60+J60</f>
        <v>#REF!</v>
      </c>
    </row>
    <row r="61" spans="1:11">
      <c r="A61" s="2">
        <v>60200</v>
      </c>
      <c r="B61" s="46">
        <v>60220</v>
      </c>
      <c r="D61" t="str">
        <f>VLOOKUP(A61,正社員!$P$39:$Q$195,2,FALSE)</f>
        <v>生産管理部ＩＴ管理課(羽生)</v>
      </c>
      <c r="E61">
        <f>COUNTIFS(正社員!$P$38:$P$195,A61)</f>
        <v>3</v>
      </c>
      <c r="F61">
        <f>COUNTIF(正社員!$P$200:$P$226,A61)</f>
        <v>1</v>
      </c>
      <c r="G61">
        <f>E61+F61</f>
        <v>4</v>
      </c>
      <c r="H61" t="e">
        <f>COUNTIF(#REF!,B61)</f>
        <v>#REF!</v>
      </c>
      <c r="K61" t="e">
        <f>G61+H61+J61</f>
        <v>#REF!</v>
      </c>
    </row>
    <row r="62" spans="1:11">
      <c r="B62" s="56"/>
      <c r="C62" s="56"/>
      <c r="D62" s="57" t="s">
        <v>616</v>
      </c>
      <c r="E62" s="58">
        <f>SUM(E57:E61)</f>
        <v>10</v>
      </c>
      <c r="F62" s="58">
        <f t="shared" ref="F62:K62" si="11">SUM(F57:F61)</f>
        <v>4</v>
      </c>
      <c r="G62" s="58">
        <f t="shared" si="11"/>
        <v>14</v>
      </c>
      <c r="H62" s="58" t="e">
        <f t="shared" si="11"/>
        <v>#REF!</v>
      </c>
      <c r="I62" s="58">
        <f t="shared" si="11"/>
        <v>0</v>
      </c>
      <c r="J62" s="58">
        <f t="shared" si="11"/>
        <v>0</v>
      </c>
      <c r="K62" s="58" t="e">
        <f t="shared" si="11"/>
        <v>#REF!</v>
      </c>
    </row>
    <row r="63" spans="1:11">
      <c r="A63" s="2">
        <v>30000</v>
      </c>
      <c r="B63" s="46">
        <v>30020</v>
      </c>
      <c r="D63" t="str">
        <f>VLOOKUP(A63,正社員!$P$39:$Q$195,2,FALSE)</f>
        <v>生産技術部１課</v>
      </c>
      <c r="E63">
        <f>COUNTIFS(正社員!$P$38:$P$195,A63)</f>
        <v>14</v>
      </c>
      <c r="F63">
        <f>COUNTIF(正社員!$P$200:$P$226,A63)</f>
        <v>1</v>
      </c>
      <c r="G63">
        <f t="shared" ref="G63:G68" si="12">E63+F63</f>
        <v>15</v>
      </c>
      <c r="H63" s="60" t="e">
        <f>COUNTIF(#REF!,B63)</f>
        <v>#REF!</v>
      </c>
      <c r="K63" t="e">
        <f t="shared" ref="K63:K68" si="13">G63+H63+J63</f>
        <v>#REF!</v>
      </c>
    </row>
    <row r="64" spans="1:11">
      <c r="A64" s="2">
        <v>31000</v>
      </c>
      <c r="B64" s="46">
        <v>31020</v>
      </c>
      <c r="D64" t="str">
        <f>VLOOKUP(A64,正社員!$P$39:$Q$195,2,FALSE)</f>
        <v>生産技術部２課工機係</v>
      </c>
      <c r="E64">
        <f>COUNTIFS(正社員!$P$38:$P$195,A64)</f>
        <v>6</v>
      </c>
      <c r="F64">
        <f>COUNTIF(正社員!$P$200:$P$226,A64)</f>
        <v>1</v>
      </c>
      <c r="G64">
        <f t="shared" si="12"/>
        <v>7</v>
      </c>
      <c r="H64" s="60" t="e">
        <f>COUNTIF(#REF!,B64)</f>
        <v>#REF!</v>
      </c>
      <c r="K64" t="e">
        <f t="shared" si="13"/>
        <v>#REF!</v>
      </c>
    </row>
    <row r="65" spans="1:11">
      <c r="A65" s="2">
        <v>32000</v>
      </c>
      <c r="B65" s="46">
        <v>32020</v>
      </c>
      <c r="D65" t="str">
        <f>VLOOKUP(A65,正社員!$P$39:$Q$195,2,FALSE)</f>
        <v>生産技術部２課試作係</v>
      </c>
      <c r="E65">
        <f>COUNTIFS(正社員!$P$38:$P$195,A65)</f>
        <v>2</v>
      </c>
      <c r="F65">
        <f>COUNTIF(正社員!$P$200:$P$226,A65)</f>
        <v>0</v>
      </c>
      <c r="G65">
        <f t="shared" si="12"/>
        <v>2</v>
      </c>
      <c r="H65" t="e">
        <f>COUNTIF(#REF!,B65)</f>
        <v>#REF!</v>
      </c>
      <c r="K65" t="e">
        <f t="shared" si="13"/>
        <v>#REF!</v>
      </c>
    </row>
    <row r="66" spans="1:11">
      <c r="A66" s="2">
        <v>33000</v>
      </c>
      <c r="B66" s="46">
        <v>33020</v>
      </c>
      <c r="D66" t="str">
        <f>VLOOKUP(A66,正社員!$P$39:$Q$195,2,FALSE)</f>
        <v>生産技術部２課保全係</v>
      </c>
      <c r="E66">
        <f>COUNTIFS(正社員!$P$38:$P$195,A66)</f>
        <v>2</v>
      </c>
      <c r="F66">
        <f>COUNTIF(正社員!$P$200:$P$226,A66)</f>
        <v>0</v>
      </c>
      <c r="G66">
        <f t="shared" si="12"/>
        <v>2</v>
      </c>
      <c r="H66" t="e">
        <f>COUNTIF(#REF!,B66)</f>
        <v>#REF!</v>
      </c>
      <c r="K66" t="e">
        <f t="shared" si="13"/>
        <v>#REF!</v>
      </c>
    </row>
    <row r="67" spans="1:11">
      <c r="A67" s="2">
        <v>61000</v>
      </c>
      <c r="B67" s="46">
        <v>61020</v>
      </c>
      <c r="D67" t="str">
        <f>VLOOKUP(A67,正社員!$P$39:$Q$195,2,FALSE)</f>
        <v>生産技術部（羽生）</v>
      </c>
      <c r="E67">
        <f>COUNTIFS(正社員!$P$38:$P$195,A67)</f>
        <v>10</v>
      </c>
      <c r="F67">
        <f>COUNTIF(正社員!$P$200:$P$226,A67)</f>
        <v>1</v>
      </c>
      <c r="G67">
        <f t="shared" si="12"/>
        <v>11</v>
      </c>
      <c r="H67" t="e">
        <f>COUNTIF(#REF!,B67)</f>
        <v>#REF!</v>
      </c>
      <c r="K67" t="e">
        <f t="shared" si="13"/>
        <v>#REF!</v>
      </c>
    </row>
    <row r="68" spans="1:11">
      <c r="A68" s="2">
        <v>61200</v>
      </c>
      <c r="B68" s="46">
        <v>61220</v>
      </c>
      <c r="D68" t="str">
        <f>VLOOKUP(A68,正社員!$P$39:$Q$195,2,FALSE)</f>
        <v>生産技術部工機（羽生）</v>
      </c>
      <c r="E68">
        <f>COUNTIFS(正社員!$P$38:$P$195,A68)</f>
        <v>3</v>
      </c>
      <c r="F68">
        <f>COUNTIF(正社員!$P$200:$P$226,A68)</f>
        <v>1</v>
      </c>
      <c r="G68">
        <f t="shared" si="12"/>
        <v>4</v>
      </c>
      <c r="H68" t="e">
        <f>COUNTIF(#REF!,B68)</f>
        <v>#REF!</v>
      </c>
      <c r="K68" t="e">
        <f t="shared" si="13"/>
        <v>#REF!</v>
      </c>
    </row>
    <row r="69" spans="1:11">
      <c r="B69" s="56"/>
      <c r="C69" s="56"/>
      <c r="D69" s="57" t="s">
        <v>617</v>
      </c>
      <c r="E69" s="58">
        <f>SUM(E63:E68)</f>
        <v>37</v>
      </c>
      <c r="F69" s="58">
        <f t="shared" ref="F69:K69" si="14">SUM(F63:F68)</f>
        <v>4</v>
      </c>
      <c r="G69" s="58">
        <f t="shared" si="14"/>
        <v>41</v>
      </c>
      <c r="H69" s="58" t="e">
        <f t="shared" si="14"/>
        <v>#REF!</v>
      </c>
      <c r="I69" s="58">
        <f t="shared" si="14"/>
        <v>0</v>
      </c>
      <c r="J69" s="58">
        <f t="shared" si="14"/>
        <v>0</v>
      </c>
      <c r="K69" s="58" t="e">
        <f t="shared" si="14"/>
        <v>#REF!</v>
      </c>
    </row>
    <row r="70" spans="1:11">
      <c r="E70">
        <f t="shared" ref="E70:J70" si="15">E6+E7+E8+E9+E10+E11+E14+E18+E19+E33+E50+E56+E62+E69</f>
        <v>389</v>
      </c>
      <c r="F70">
        <f t="shared" si="15"/>
        <v>42</v>
      </c>
      <c r="G70">
        <f t="shared" si="15"/>
        <v>431</v>
      </c>
      <c r="H70" t="e">
        <f t="shared" si="15"/>
        <v>#REF!</v>
      </c>
      <c r="I70">
        <f t="shared" si="15"/>
        <v>0</v>
      </c>
      <c r="J70">
        <f t="shared" si="15"/>
        <v>0</v>
      </c>
      <c r="K70" t="e">
        <f>K6+K7+K8+K9+K10+K11+K14+K18+K19+K33+K50+K56+K62+K69</f>
        <v>#REF!</v>
      </c>
    </row>
  </sheetData>
  <mergeCells count="17">
    <mergeCell ref="A4:A5"/>
    <mergeCell ref="D4:D5"/>
    <mergeCell ref="H4:H5"/>
    <mergeCell ref="G4:G5"/>
    <mergeCell ref="I4:I5"/>
    <mergeCell ref="E3:K3"/>
    <mergeCell ref="K4:K5"/>
    <mergeCell ref="J4:J5"/>
    <mergeCell ref="E4:F4"/>
    <mergeCell ref="C38:C43"/>
    <mergeCell ref="C44:C46"/>
    <mergeCell ref="C47:C48"/>
    <mergeCell ref="C51:C54"/>
    <mergeCell ref="C20:C22"/>
    <mergeCell ref="C23:C27"/>
    <mergeCell ref="C28:C31"/>
    <mergeCell ref="C34:C37"/>
  </mergeCells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activeCell="G12" sqref="G12"/>
    </sheetView>
  </sheetViews>
  <sheetFormatPr defaultRowHeight="18"/>
  <cols>
    <col min="1" max="1" width="16.09765625" style="46" customWidth="1"/>
    <col min="2" max="3" width="11" style="46" customWidth="1"/>
    <col min="4" max="4" width="25.59765625" style="66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621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6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65"/>
      <c r="C5" s="576"/>
      <c r="D5" s="577"/>
      <c r="E5" s="31" t="s">
        <v>69</v>
      </c>
      <c r="F5" s="31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65">
        <v>202</v>
      </c>
      <c r="C6" s="82"/>
      <c r="D6" s="31" t="e">
        <f>VLOOKUP(A6,正社員!$P$3:$Q$20,2,FALSE)</f>
        <v>#N/A</v>
      </c>
      <c r="E6" s="22">
        <f>COUNTIF(参考1男性!$C$5:$P$367,A6)</f>
        <v>0</v>
      </c>
      <c r="F6" s="22">
        <f>COUNTIF(参考2女性!$C$5:$Q$52,A6)</f>
        <v>0</v>
      </c>
      <c r="G6" s="22">
        <f t="shared" ref="G6:G13" si="0">E6+F6</f>
        <v>0</v>
      </c>
      <c r="H6" s="22">
        <f>COUNTIF(参考3パート嘱託!$C$4:$Q$69,B6)</f>
        <v>0</v>
      </c>
      <c r="I6" s="22">
        <f>SUM(G6:H6)</f>
        <v>0</v>
      </c>
      <c r="J6" s="22"/>
      <c r="K6" s="83">
        <f t="shared" ref="K6:K13" si="1">G6+H6+J6</f>
        <v>0</v>
      </c>
    </row>
    <row r="7" spans="1:11" hidden="1">
      <c r="A7" s="77">
        <v>210</v>
      </c>
      <c r="B7" s="65">
        <v>211</v>
      </c>
      <c r="C7" s="82"/>
      <c r="D7" s="31" t="e">
        <f>VLOOKUP(A7,正社員!$P$3:$Q$20,2,FALSE)</f>
        <v>#N/A</v>
      </c>
      <c r="E7" s="22">
        <f>COUNTIF(参考1男性!$C$5:$P$367,A7)</f>
        <v>0</v>
      </c>
      <c r="F7" s="22">
        <f>COUNTIF(参考2女性!$C$5:$Q$52,A7)</f>
        <v>0</v>
      </c>
      <c r="G7" s="22">
        <f t="shared" si="0"/>
        <v>0</v>
      </c>
      <c r="H7" s="22">
        <f>COUNTIF(参考3パート嘱託!$C$4:$Q$69,B7)</f>
        <v>0</v>
      </c>
      <c r="I7" s="22">
        <f t="shared" ref="I7:I13" si="2">SUM(G7:H7)</f>
        <v>0</v>
      </c>
      <c r="J7" s="22"/>
      <c r="K7" s="83">
        <f t="shared" si="1"/>
        <v>0</v>
      </c>
    </row>
    <row r="8" spans="1:11">
      <c r="A8" s="75">
        <v>10000</v>
      </c>
      <c r="B8" s="46">
        <v>10020</v>
      </c>
      <c r="C8" s="84"/>
      <c r="D8" s="31" t="str">
        <f>VLOOKUP(A8,正社員!$P$3:$Q$20,2,FALSE)</f>
        <v>営業部</v>
      </c>
      <c r="E8" s="22">
        <f>COUNTIF(参考1男性!$C$5:$P$367,A8)</f>
        <v>7</v>
      </c>
      <c r="F8" s="22">
        <f>COUNTIF(参考2女性!$C$5:$Q$52,A8)</f>
        <v>4</v>
      </c>
      <c r="G8" s="22">
        <f t="shared" si="0"/>
        <v>11</v>
      </c>
      <c r="H8" s="22">
        <f>COUNTIF(参考3パート嘱託!$C$4:$Q$69,B8)</f>
        <v>1</v>
      </c>
      <c r="I8" s="22">
        <f t="shared" si="2"/>
        <v>12</v>
      </c>
      <c r="J8" s="22"/>
      <c r="K8" s="83">
        <f t="shared" si="1"/>
        <v>12</v>
      </c>
    </row>
    <row r="9" spans="1:11">
      <c r="A9" s="75">
        <v>11000</v>
      </c>
      <c r="B9" s="46">
        <v>11020</v>
      </c>
      <c r="C9" s="84"/>
      <c r="D9" s="31" t="e">
        <f>VLOOKUP(A9,正社員!$P$3:$Q$20,2,FALSE)</f>
        <v>#N/A</v>
      </c>
      <c r="E9" s="22">
        <f>COUNTIF(参考1男性!$C$5:$P$367,A9)</f>
        <v>0</v>
      </c>
      <c r="F9" s="22">
        <f>COUNTIF(参考2女性!$C$5:$Q$52,A9)</f>
        <v>0</v>
      </c>
      <c r="G9" s="22">
        <f t="shared" si="0"/>
        <v>0</v>
      </c>
      <c r="H9" s="22">
        <f>COUNTIF(参考3パート嘱託!$C$4:$Q$69,B9)</f>
        <v>0</v>
      </c>
      <c r="I9" s="22">
        <f t="shared" si="2"/>
        <v>0</v>
      </c>
      <c r="J9" s="22"/>
      <c r="K9" s="83">
        <f t="shared" si="1"/>
        <v>0</v>
      </c>
    </row>
    <row r="10" spans="1:11">
      <c r="A10" s="75">
        <v>90000</v>
      </c>
      <c r="B10" s="46">
        <v>90020</v>
      </c>
      <c r="C10" s="84"/>
      <c r="D10" s="31" t="str">
        <f>VLOOKUP(A10,正社員!$P$39:$Q$195,2,FALSE)</f>
        <v>資材部</v>
      </c>
      <c r="E10" s="22">
        <f>COUNTIF(参考1男性!$C$5:$P$367,A10)</f>
        <v>0</v>
      </c>
      <c r="F10" s="22">
        <f>COUNTIF(参考2女性!$C$5:$Q$52,A10)</f>
        <v>0</v>
      </c>
      <c r="G10" s="22">
        <f t="shared" si="0"/>
        <v>0</v>
      </c>
      <c r="H10" s="22">
        <f>COUNTIF(参考3パート嘱託!$C$4:$Q$69,B10)</f>
        <v>0</v>
      </c>
      <c r="I10" s="22">
        <f t="shared" si="2"/>
        <v>0</v>
      </c>
      <c r="J10" s="22"/>
      <c r="K10" s="83">
        <f t="shared" si="1"/>
        <v>0</v>
      </c>
    </row>
    <row r="11" spans="1:11">
      <c r="A11" s="75">
        <v>3000</v>
      </c>
      <c r="B11" s="46">
        <v>3020</v>
      </c>
      <c r="C11" s="85"/>
      <c r="D11" s="31" t="s">
        <v>715</v>
      </c>
      <c r="E11" s="22">
        <f>COUNTIF(参考1男性!$C$5:$P$367,A11)</f>
        <v>2</v>
      </c>
      <c r="F11" s="22">
        <f>COUNTIF(参考2女性!$C$5:$Q$52,A11)</f>
        <v>2</v>
      </c>
      <c r="G11" s="22">
        <f t="shared" si="0"/>
        <v>4</v>
      </c>
      <c r="H11" s="22">
        <f>COUNTIF(参考3パート嘱託!$C$4:$Q$69,B11)</f>
        <v>1</v>
      </c>
      <c r="I11" s="22">
        <f t="shared" si="2"/>
        <v>5</v>
      </c>
      <c r="J11" s="22"/>
      <c r="K11" s="83">
        <f t="shared" si="1"/>
        <v>5</v>
      </c>
    </row>
    <row r="12" spans="1:11">
      <c r="A12" s="76">
        <v>1000</v>
      </c>
      <c r="B12" s="46">
        <v>1020</v>
      </c>
      <c r="C12" s="85"/>
      <c r="D12" s="31" t="str">
        <f>VLOOKUP(A12,正社員!$P$3:$Q$20,2,FALSE)</f>
        <v>総務部</v>
      </c>
      <c r="E12" s="22">
        <f>COUNTIF(参考1男性!$C$5:$P$367,A12)</f>
        <v>5</v>
      </c>
      <c r="F12" s="22">
        <f>COUNTIF(参考2女性!$C$5:$Q$52,A12)</f>
        <v>1</v>
      </c>
      <c r="G12" s="22">
        <f t="shared" si="0"/>
        <v>6</v>
      </c>
      <c r="H12" s="22">
        <f>COUNTIF(参考3パート嘱託!$C$4:$Q$69,B12)</f>
        <v>1</v>
      </c>
      <c r="I12" s="22">
        <f t="shared" si="2"/>
        <v>7</v>
      </c>
      <c r="J12" s="22"/>
      <c r="K12" s="83">
        <f t="shared" si="1"/>
        <v>7</v>
      </c>
    </row>
    <row r="13" spans="1:11">
      <c r="A13" s="75">
        <v>1100</v>
      </c>
      <c r="B13" s="46">
        <v>1120</v>
      </c>
      <c r="C13" s="85"/>
      <c r="D13" s="31" t="str">
        <f>VLOOKUP(A13,正社員!$P$3:$Q$20,2,FALSE)</f>
        <v>総務部羽生総務課</v>
      </c>
      <c r="E13" s="22">
        <f>COUNTIF(参考1男性!$C$5:$P$367,A13)</f>
        <v>1</v>
      </c>
      <c r="F13" s="22">
        <f>COUNTIF(参考2女性!$C$5:$Q$52,A13)</f>
        <v>1</v>
      </c>
      <c r="G13" s="22">
        <f t="shared" si="0"/>
        <v>2</v>
      </c>
      <c r="H13" s="22">
        <f>COUNTIF(参考3パート嘱託!$C$4:$Q$69,B13)</f>
        <v>1</v>
      </c>
      <c r="I13" s="22">
        <f t="shared" si="2"/>
        <v>3</v>
      </c>
      <c r="J13" s="22"/>
      <c r="K13" s="83">
        <f t="shared" si="1"/>
        <v>3</v>
      </c>
    </row>
    <row r="14" spans="1:11">
      <c r="A14" s="76"/>
      <c r="B14" s="56"/>
      <c r="C14" s="86"/>
      <c r="D14" s="80" t="s">
        <v>629</v>
      </c>
      <c r="E14" s="78">
        <f>SUM(E12:E13)</f>
        <v>6</v>
      </c>
      <c r="F14" s="78">
        <f t="shared" ref="F14:K14" si="3">SUM(F12:F13)</f>
        <v>2</v>
      </c>
      <c r="G14" s="78">
        <f t="shared" si="3"/>
        <v>8</v>
      </c>
      <c r="H14" s="78">
        <f t="shared" si="3"/>
        <v>2</v>
      </c>
      <c r="I14" s="78">
        <f t="shared" si="3"/>
        <v>10</v>
      </c>
      <c r="J14" s="78">
        <f t="shared" si="3"/>
        <v>0</v>
      </c>
      <c r="K14" s="87">
        <f t="shared" si="3"/>
        <v>10</v>
      </c>
    </row>
    <row r="15" spans="1:11">
      <c r="A15" s="75">
        <v>50000</v>
      </c>
      <c r="B15" s="46">
        <v>50020</v>
      </c>
      <c r="C15" s="84"/>
      <c r="D15" s="31" t="str">
        <f>VLOOKUP(A15,正社員!$P$39:$Q$195,2,FALSE)</f>
        <v>品質保証部検査課</v>
      </c>
      <c r="E15" s="22">
        <f>COUNTIF(参考1男性!$C$5:$P$367,A15)</f>
        <v>3</v>
      </c>
      <c r="F15" s="22">
        <f>COUNTIF(参考2女性!$C$5:$Q$52,A15)</f>
        <v>2</v>
      </c>
      <c r="G15" s="22">
        <f>E15+F15</f>
        <v>5</v>
      </c>
      <c r="H15" s="22">
        <f>COUNTIF(参考3パート嘱託!$C$4:$Q$69,B15)</f>
        <v>0</v>
      </c>
      <c r="I15" s="22">
        <f>SUM(G15:H15)</f>
        <v>5</v>
      </c>
      <c r="J15" s="22"/>
      <c r="K15" s="83">
        <f>G15+H15+J15</f>
        <v>5</v>
      </c>
    </row>
    <row r="16" spans="1:11">
      <c r="A16" s="75">
        <v>51000</v>
      </c>
      <c r="B16" s="46">
        <v>51020</v>
      </c>
      <c r="C16" s="84"/>
      <c r="D16" s="31" t="str">
        <f>VLOOKUP(A16,正社員!$P$39:$Q$195,2,FALSE)</f>
        <v>品質保証部品質管理課</v>
      </c>
      <c r="E16" s="22">
        <f>COUNTIF(参考1男性!$C$5:$P$367,A16)</f>
        <v>6</v>
      </c>
      <c r="F16" s="22">
        <f>COUNTIF(参考2女性!$C$5:$Q$52,A16)</f>
        <v>0</v>
      </c>
      <c r="G16" s="22">
        <f>E16+F16</f>
        <v>6</v>
      </c>
      <c r="H16" s="22">
        <f>COUNTIF(参考3パート嘱託!$C$4:$Q$69,B16)</f>
        <v>0</v>
      </c>
      <c r="I16" s="22">
        <f>SUM(G16:H16)</f>
        <v>6</v>
      </c>
      <c r="J16" s="22"/>
      <c r="K16" s="83">
        <f>G16+H16+J16</f>
        <v>6</v>
      </c>
    </row>
    <row r="17" spans="1:11">
      <c r="A17" s="75">
        <v>63000</v>
      </c>
      <c r="B17" s="46">
        <v>63020</v>
      </c>
      <c r="C17" s="84"/>
      <c r="D17" s="31" t="str">
        <f>VLOOKUP(A17,正社員!$P$39:$Q$195,2,FALSE)</f>
        <v>品質保証部（羽生）</v>
      </c>
      <c r="E17" s="22">
        <f>COUNTIF(参考1男性!$C$5:$P$367,A17)</f>
        <v>9</v>
      </c>
      <c r="F17" s="22">
        <f>COUNTIF(参考2女性!$C$5:$Q$52,A17)</f>
        <v>1</v>
      </c>
      <c r="G17" s="22">
        <f>E17+F17</f>
        <v>10</v>
      </c>
      <c r="H17" s="22">
        <f>COUNTIF(参考3パート嘱託!$C$4:$Q$69,B17)</f>
        <v>0</v>
      </c>
      <c r="I17" s="22">
        <f>SUM(G17:H17)</f>
        <v>10</v>
      </c>
      <c r="J17" s="22"/>
      <c r="K17" s="83">
        <f>G17+H17+J17</f>
        <v>10</v>
      </c>
    </row>
    <row r="18" spans="1:11">
      <c r="A18" s="76"/>
      <c r="B18" s="56"/>
      <c r="C18" s="86"/>
      <c r="D18" s="80" t="s">
        <v>630</v>
      </c>
      <c r="E18" s="78">
        <f>SUM(E15:E17)</f>
        <v>18</v>
      </c>
      <c r="F18" s="78">
        <f t="shared" ref="F18:K18" si="4">SUM(F15:F17)</f>
        <v>3</v>
      </c>
      <c r="G18" s="78">
        <f t="shared" si="4"/>
        <v>21</v>
      </c>
      <c r="H18" s="78">
        <f t="shared" si="4"/>
        <v>0</v>
      </c>
      <c r="I18" s="78">
        <f t="shared" si="4"/>
        <v>21</v>
      </c>
      <c r="J18" s="78">
        <f t="shared" si="4"/>
        <v>0</v>
      </c>
      <c r="K18" s="87">
        <f t="shared" si="4"/>
        <v>21</v>
      </c>
    </row>
    <row r="19" spans="1:11">
      <c r="A19" s="75">
        <v>80000</v>
      </c>
      <c r="B19" s="46">
        <v>80020</v>
      </c>
      <c r="C19" s="84"/>
      <c r="D19" s="31" t="str">
        <f>VLOOKUP(A19,正社員!$P$39:$Q$195,2,FALSE)</f>
        <v>ＮＥＬ</v>
      </c>
      <c r="E19" s="22">
        <f>COUNTIF(参考1男性!$C$5:$P$367,A19)</f>
        <v>34</v>
      </c>
      <c r="F19" s="22">
        <f>COUNTIF(参考2女性!$C$5:$Q$52,A19)</f>
        <v>3</v>
      </c>
      <c r="G19" s="22">
        <f t="shared" ref="G19:G32" si="5">E19+F19</f>
        <v>37</v>
      </c>
      <c r="H19" s="22">
        <f>COUNTIF(参考3パート嘱託!$C$4:$Q$69,B19)</f>
        <v>0</v>
      </c>
      <c r="I19" s="22">
        <f>SUM(G19:H19)</f>
        <v>37</v>
      </c>
      <c r="J19" s="22"/>
      <c r="K19" s="83">
        <f t="shared" ref="K19:K32" si="6">G19+H19+J19</f>
        <v>37</v>
      </c>
    </row>
    <row r="20" spans="1:11">
      <c r="A20" s="75">
        <v>41111</v>
      </c>
      <c r="B20" s="46">
        <v>41121</v>
      </c>
      <c r="C20" s="571" t="s">
        <v>625</v>
      </c>
      <c r="D20" s="31" t="str">
        <f>VLOOKUP(A20,正社員!$P$234:$Q$460,2,FALSE)</f>
        <v>本社工場ＮＣ</v>
      </c>
      <c r="E20" s="22">
        <f>COUNTIF(参考1男性!$C$5:$P$367,A20)</f>
        <v>8</v>
      </c>
      <c r="F20" s="22">
        <f>COUNTIF(参考2女性!$C$5:$Q$52,A20)</f>
        <v>0</v>
      </c>
      <c r="G20" s="22">
        <f t="shared" si="5"/>
        <v>8</v>
      </c>
      <c r="H20" s="22">
        <f>COUNTIF(参考3パート嘱託!$C$4:$Q$69,B20)</f>
        <v>3</v>
      </c>
      <c r="I20" s="22">
        <f t="shared" ref="I20:I32" si="7">SUM(G20:H20)</f>
        <v>11</v>
      </c>
      <c r="J20" s="22"/>
      <c r="K20" s="83">
        <f t="shared" si="6"/>
        <v>11</v>
      </c>
    </row>
    <row r="21" spans="1:11">
      <c r="A21" s="75">
        <v>43011</v>
      </c>
      <c r="B21" s="46">
        <v>43021</v>
      </c>
      <c r="C21" s="571"/>
      <c r="D21" s="31" t="str">
        <f>VLOOKUP(A21,正社員!$P$234:$Q$460,2,FALSE)</f>
        <v>本社工場ＴＰ</v>
      </c>
      <c r="E21" s="22">
        <f>COUNTIF(参考1男性!$C$5:$P$367,A21)</f>
        <v>17</v>
      </c>
      <c r="F21" s="22">
        <f>COUNTIF(参考2女性!$C$5:$Q$52,A21)</f>
        <v>0</v>
      </c>
      <c r="G21" s="22">
        <f t="shared" si="5"/>
        <v>17</v>
      </c>
      <c r="H21" s="22">
        <f>COUNTIF(参考3パート嘱託!$C$4:$Q$69,B21)</f>
        <v>2</v>
      </c>
      <c r="I21" s="22">
        <f t="shared" si="7"/>
        <v>19</v>
      </c>
      <c r="J21" s="22"/>
      <c r="K21" s="83">
        <f t="shared" si="6"/>
        <v>19</v>
      </c>
    </row>
    <row r="22" spans="1:11">
      <c r="A22" s="75">
        <v>41011</v>
      </c>
      <c r="B22" s="46">
        <v>41021</v>
      </c>
      <c r="C22" s="571"/>
      <c r="D22" s="31" t="str">
        <f>VLOOKUP(A22,正社員!$P$234:$Q$460,2,FALSE)</f>
        <v>本社工場ＨＹ</v>
      </c>
      <c r="E22" s="22">
        <f>COUNTIF(参考1男性!$C$5:$P$367,A22)</f>
        <v>21</v>
      </c>
      <c r="F22" s="22">
        <f>COUNTIF(参考2女性!$C$5:$Q$52,A22)</f>
        <v>0</v>
      </c>
      <c r="G22" s="22">
        <f t="shared" si="5"/>
        <v>21</v>
      </c>
      <c r="H22" s="22">
        <f>COUNTIF(参考3パート嘱託!$C$4:$Q$69,B22)</f>
        <v>3</v>
      </c>
      <c r="I22" s="22">
        <f t="shared" si="7"/>
        <v>24</v>
      </c>
      <c r="J22" s="22"/>
      <c r="K22" s="83">
        <f t="shared" si="6"/>
        <v>24</v>
      </c>
    </row>
    <row r="23" spans="1:11">
      <c r="A23" s="75">
        <v>42111</v>
      </c>
      <c r="B23" s="46">
        <v>42121</v>
      </c>
      <c r="C23" s="571" t="s">
        <v>626</v>
      </c>
      <c r="D23" s="31" t="str">
        <f>VLOOKUP(A23,正社員!$P$234:$Q$460,2,FALSE)</f>
        <v>本社工場組立第１</v>
      </c>
      <c r="E23" s="22">
        <f>COUNTIF(参考1男性!$C$5:$P$367,A23)</f>
        <v>14</v>
      </c>
      <c r="F23" s="22">
        <f>COUNTIF(参考2女性!$C$5:$Q$52,A23)</f>
        <v>1</v>
      </c>
      <c r="G23" s="22">
        <f t="shared" si="5"/>
        <v>15</v>
      </c>
      <c r="H23" s="22">
        <f>COUNTIF(参考3パート嘱託!$C$4:$Q$69,B23)</f>
        <v>3</v>
      </c>
      <c r="I23" s="22">
        <f t="shared" si="7"/>
        <v>18</v>
      </c>
      <c r="J23" s="22"/>
      <c r="K23" s="83">
        <f t="shared" si="6"/>
        <v>18</v>
      </c>
    </row>
    <row r="24" spans="1:11">
      <c r="A24" s="75">
        <v>42411</v>
      </c>
      <c r="B24" s="46">
        <v>42421</v>
      </c>
      <c r="C24" s="571"/>
      <c r="D24" s="31" t="str">
        <f>VLOOKUP(A24,正社員!$P$234:$Q$460,2,FALSE)</f>
        <v>本社工場組立第２</v>
      </c>
      <c r="E24" s="22">
        <f>COUNTIF(参考1男性!$C$5:$P$367,A24)</f>
        <v>0</v>
      </c>
      <c r="F24" s="22">
        <f>COUNTIF(参考2女性!$C$5:$Q$52,A24)</f>
        <v>0</v>
      </c>
      <c r="G24" s="22">
        <f t="shared" si="5"/>
        <v>0</v>
      </c>
      <c r="H24" s="22">
        <f>COUNTIF(参考3パート嘱託!$C$4:$Q$69,B24)</f>
        <v>0</v>
      </c>
      <c r="I24" s="22">
        <f t="shared" si="7"/>
        <v>0</v>
      </c>
      <c r="J24" s="22"/>
      <c r="K24" s="83">
        <f t="shared" si="6"/>
        <v>0</v>
      </c>
    </row>
    <row r="25" spans="1:11">
      <c r="A25" s="75">
        <v>42211</v>
      </c>
      <c r="B25" s="46">
        <v>42221</v>
      </c>
      <c r="C25" s="571"/>
      <c r="D25" s="31" t="str">
        <f>VLOOKUP(A25,正社員!$P$234:$Q$460,2,FALSE)</f>
        <v>本社工場ＡＣ研磨</v>
      </c>
      <c r="E25" s="22">
        <f>COUNTIF(参考1男性!$C$5:$P$367,A25)</f>
        <v>11</v>
      </c>
      <c r="F25" s="22">
        <f>COUNTIF(参考2女性!$C$5:$Q$52,A25)</f>
        <v>0</v>
      </c>
      <c r="G25" s="22">
        <f t="shared" si="5"/>
        <v>11</v>
      </c>
      <c r="H25" s="22">
        <f>COUNTIF(参考3パート嘱託!$C$4:$Q$69,B25)</f>
        <v>1</v>
      </c>
      <c r="I25" s="22">
        <f t="shared" si="7"/>
        <v>12</v>
      </c>
      <c r="J25" s="22"/>
      <c r="K25" s="83">
        <f t="shared" si="6"/>
        <v>12</v>
      </c>
    </row>
    <row r="26" spans="1:11">
      <c r="A26" s="75">
        <v>42011</v>
      </c>
      <c r="B26" s="46">
        <v>42021</v>
      </c>
      <c r="C26" s="571"/>
      <c r="D26" s="31" t="str">
        <f>VLOOKUP(A26,正社員!$P$234:$Q$460,2,FALSE)</f>
        <v>本社工場機械第１</v>
      </c>
      <c r="E26" s="22">
        <f>COUNTIF(参考1男性!$C$5:$P$367,A26)</f>
        <v>10</v>
      </c>
      <c r="F26" s="22">
        <f>COUNTIF(参考2女性!$C$5:$Q$52,A26)</f>
        <v>0</v>
      </c>
      <c r="G26" s="22">
        <f t="shared" si="5"/>
        <v>10</v>
      </c>
      <c r="H26" s="22">
        <f>COUNTIF(参考3パート嘱託!$C$4:$Q$69,B26)</f>
        <v>1</v>
      </c>
      <c r="I26" s="22">
        <f t="shared" si="7"/>
        <v>11</v>
      </c>
      <c r="J26" s="22"/>
      <c r="K26" s="83">
        <f t="shared" si="6"/>
        <v>11</v>
      </c>
    </row>
    <row r="27" spans="1:11">
      <c r="A27" s="75">
        <v>42311</v>
      </c>
      <c r="B27" s="46">
        <v>42321</v>
      </c>
      <c r="C27" s="571"/>
      <c r="D27" s="31" t="str">
        <f>VLOOKUP(A27,正社員!$P$234:$Q$460,2,FALSE)</f>
        <v>本社工場機械第２</v>
      </c>
      <c r="E27" s="22">
        <f>COUNTIF(参考1男性!$C$5:$P$367,A27)</f>
        <v>6</v>
      </c>
      <c r="F27" s="22">
        <f>COUNTIF(参考2女性!$C$5:$Q$52,A27)</f>
        <v>0</v>
      </c>
      <c r="G27" s="22">
        <f t="shared" si="5"/>
        <v>6</v>
      </c>
      <c r="H27" s="22">
        <f>COUNTIF(参考3パート嘱託!$C$4:$Q$69,B27)</f>
        <v>0</v>
      </c>
      <c r="I27" s="22">
        <f t="shared" si="7"/>
        <v>6</v>
      </c>
      <c r="J27" s="22"/>
      <c r="K27" s="83">
        <f t="shared" si="6"/>
        <v>6</v>
      </c>
    </row>
    <row r="28" spans="1:11">
      <c r="A28" s="75">
        <v>43211</v>
      </c>
      <c r="B28" s="46">
        <v>43221</v>
      </c>
      <c r="C28" s="571" t="s">
        <v>627</v>
      </c>
      <c r="D28" s="31" t="str">
        <f>VLOOKUP(A28,正社員!$P$234:$Q$460,2,FALSE)</f>
        <v>本社工場ＢＶ</v>
      </c>
      <c r="E28" s="22">
        <f>COUNTIF(参考1男性!$C$5:$P$367,A28)</f>
        <v>8</v>
      </c>
      <c r="F28" s="22">
        <f>COUNTIF(参考2女性!$C$5:$Q$52,A28)</f>
        <v>6</v>
      </c>
      <c r="G28" s="22">
        <f t="shared" si="5"/>
        <v>14</v>
      </c>
      <c r="H28" s="22">
        <f>COUNTIF(参考3パート嘱託!$C$4:$Q$69,B28)</f>
        <v>2</v>
      </c>
      <c r="I28" s="22">
        <f t="shared" si="7"/>
        <v>16</v>
      </c>
      <c r="J28" s="22"/>
      <c r="K28" s="83">
        <f t="shared" si="6"/>
        <v>16</v>
      </c>
    </row>
    <row r="29" spans="1:11">
      <c r="A29" s="75">
        <v>43311</v>
      </c>
      <c r="B29" s="46">
        <v>43321</v>
      </c>
      <c r="C29" s="571"/>
      <c r="D29" s="31" t="str">
        <f>VLOOKUP(A29,正社員!$P$234:$Q$460,2,FALSE)</f>
        <v>本社工場ＳＰ</v>
      </c>
      <c r="E29" s="22">
        <f>COUNTIF(参考1男性!$C$5:$P$367,A29)</f>
        <v>3</v>
      </c>
      <c r="F29" s="22">
        <f>COUNTIF(参考2女性!$C$5:$Q$52,A29)</f>
        <v>0</v>
      </c>
      <c r="G29" s="22">
        <f t="shared" si="5"/>
        <v>3</v>
      </c>
      <c r="H29" s="22">
        <f>COUNTIF(参考3パート嘱託!$C$4:$Q$69,B29)</f>
        <v>2</v>
      </c>
      <c r="I29" s="22">
        <f t="shared" si="7"/>
        <v>5</v>
      </c>
      <c r="J29" s="22"/>
      <c r="K29" s="83">
        <f t="shared" si="6"/>
        <v>5</v>
      </c>
    </row>
    <row r="30" spans="1:11">
      <c r="A30" s="75">
        <v>41200</v>
      </c>
      <c r="B30" s="46">
        <v>41220</v>
      </c>
      <c r="C30" s="571"/>
      <c r="D30" s="31" t="str">
        <f>VLOOKUP(A30,正社員!$P$39:$Q$195,2,FALSE)</f>
        <v>本社工場構内物流</v>
      </c>
      <c r="E30" s="22">
        <f>COUNTIF(参考1男性!$C$5:$P$367,A30)</f>
        <v>8</v>
      </c>
      <c r="F30" s="22">
        <f>COUNTIF(参考2女性!$C$5:$Q$52,A30)</f>
        <v>0</v>
      </c>
      <c r="G30" s="22">
        <f t="shared" si="5"/>
        <v>8</v>
      </c>
      <c r="H30" s="22">
        <f>COUNTIF(参考3パート嘱託!$C$4:$Q$69,B30)</f>
        <v>2</v>
      </c>
      <c r="I30" s="22">
        <f t="shared" si="7"/>
        <v>10</v>
      </c>
      <c r="J30" s="22"/>
      <c r="K30" s="83">
        <f t="shared" si="6"/>
        <v>10</v>
      </c>
    </row>
    <row r="31" spans="1:11">
      <c r="A31" s="75">
        <v>40400</v>
      </c>
      <c r="B31" s="46">
        <v>40420</v>
      </c>
      <c r="C31" s="571"/>
      <c r="D31" s="31" t="str">
        <f>VLOOKUP(A31,正社員!$P$39:$Q$195,2,FALSE)</f>
        <v>本社工場改善</v>
      </c>
      <c r="E31" s="22">
        <f>COUNTIF(参考1男性!$C$5:$P$367,A31)</f>
        <v>3</v>
      </c>
      <c r="F31" s="22">
        <f>COUNTIF(参考2女性!$C$5:$Q$52,A31)</f>
        <v>0</v>
      </c>
      <c r="G31" s="22">
        <f t="shared" si="5"/>
        <v>3</v>
      </c>
      <c r="H31" s="22">
        <f>COUNTIF(参考3パート嘱託!$C$4:$Q$69,B31)</f>
        <v>1</v>
      </c>
      <c r="I31" s="22">
        <f t="shared" si="7"/>
        <v>4</v>
      </c>
      <c r="J31" s="22"/>
      <c r="K31" s="83">
        <f t="shared" si="6"/>
        <v>4</v>
      </c>
    </row>
    <row r="32" spans="1:11">
      <c r="A32" s="75">
        <v>40000</v>
      </c>
      <c r="B32" s="46">
        <v>40020</v>
      </c>
      <c r="C32" s="84"/>
      <c r="D32" s="31" t="str">
        <f>VLOOKUP(A32,正社員!$P$39:$Q$195,2,FALSE)</f>
        <v>本社工場工場管理課</v>
      </c>
      <c r="E32" s="22">
        <f>COUNTIF(参考1男性!$C$5:$P$367,A32)</f>
        <v>6</v>
      </c>
      <c r="F32" s="22">
        <f>COUNTIF(参考2女性!$C$5:$Q$52,A32)</f>
        <v>1</v>
      </c>
      <c r="G32" s="22">
        <f t="shared" si="5"/>
        <v>7</v>
      </c>
      <c r="H32" s="22">
        <f>COUNTIF(参考3パート嘱託!$C$4:$Q$69,B32)</f>
        <v>0</v>
      </c>
      <c r="I32" s="22">
        <f t="shared" si="7"/>
        <v>7</v>
      </c>
      <c r="J32" s="22"/>
      <c r="K32" s="83">
        <f t="shared" si="6"/>
        <v>7</v>
      </c>
    </row>
    <row r="33" spans="1:11">
      <c r="A33" s="76"/>
      <c r="B33" s="56"/>
      <c r="C33" s="86"/>
      <c r="D33" s="80" t="s">
        <v>620</v>
      </c>
      <c r="E33" s="78">
        <f>SUM(E20:E32)</f>
        <v>115</v>
      </c>
      <c r="F33" s="78">
        <f t="shared" ref="F33:K33" si="8">SUM(F20:F32)</f>
        <v>8</v>
      </c>
      <c r="G33" s="78">
        <f>SUM(G20:G32)</f>
        <v>123</v>
      </c>
      <c r="H33" s="78">
        <f>SUM(H20:H32)</f>
        <v>20</v>
      </c>
      <c r="I33" s="78">
        <f t="shared" si="8"/>
        <v>143</v>
      </c>
      <c r="J33" s="78">
        <f t="shared" si="8"/>
        <v>0</v>
      </c>
      <c r="K33" s="87">
        <f t="shared" si="8"/>
        <v>143</v>
      </c>
    </row>
    <row r="34" spans="1:11">
      <c r="A34" s="75">
        <v>67211</v>
      </c>
      <c r="B34" s="46">
        <v>67221</v>
      </c>
      <c r="C34" s="571" t="s">
        <v>625</v>
      </c>
      <c r="D34" s="31" t="str">
        <f>VLOOKUP(A34,正社員!$P$234:$Q$460,2,FALSE)</f>
        <v>羽生工場ＮＣ</v>
      </c>
      <c r="E34" s="22">
        <f>COUNTIF(参考1男性!$C$5:$P$367,A34)</f>
        <v>6</v>
      </c>
      <c r="F34" s="22">
        <f>COUNTIF(参考2女性!$C$5:$Q$52,A34)</f>
        <v>0</v>
      </c>
      <c r="G34" s="22">
        <f t="shared" ref="G34:G49" si="9">E34+F34</f>
        <v>6</v>
      </c>
      <c r="H34" s="22">
        <f>COUNTIF(参考3パート嘱託!$C$4:$Q$69,B34)</f>
        <v>2</v>
      </c>
      <c r="I34" s="22">
        <f>SUM(G34:H34)</f>
        <v>8</v>
      </c>
      <c r="J34" s="22"/>
      <c r="K34" s="83">
        <f t="shared" ref="K34:K49" si="10">G34+H34+J34</f>
        <v>8</v>
      </c>
    </row>
    <row r="35" spans="1:11">
      <c r="A35" s="75">
        <v>68011</v>
      </c>
      <c r="B35" s="46">
        <v>68021</v>
      </c>
      <c r="C35" s="571"/>
      <c r="D35" s="31" t="str">
        <f>VLOOKUP(A35,正社員!$P$234:$Q$460,2,FALSE)</f>
        <v>羽生工場ＣＢ</v>
      </c>
      <c r="E35" s="22">
        <f>COUNTIF(参考1男性!$C$5:$P$367,A35)</f>
        <v>2</v>
      </c>
      <c r="F35" s="22">
        <f>COUNTIF(参考2女性!$C$5:$Q$52,A35)</f>
        <v>0</v>
      </c>
      <c r="G35" s="22">
        <f t="shared" si="9"/>
        <v>2</v>
      </c>
      <c r="H35" s="22">
        <f>COUNTIF(参考3パート嘱託!$C$4:$Q$69,B35)</f>
        <v>1</v>
      </c>
      <c r="I35" s="22">
        <f t="shared" ref="I35:I49" si="11">SUM(G35:H35)</f>
        <v>3</v>
      </c>
      <c r="J35" s="22"/>
      <c r="K35" s="83">
        <f t="shared" si="10"/>
        <v>3</v>
      </c>
    </row>
    <row r="36" spans="1:11">
      <c r="A36" s="75">
        <v>69211</v>
      </c>
      <c r="B36" s="46">
        <v>69221</v>
      </c>
      <c r="C36" s="571"/>
      <c r="D36" s="31" t="str">
        <f>VLOOKUP(A36,正社員!$P$234:$Q$460,2,FALSE)</f>
        <v>羽生工場ＢＰＶ</v>
      </c>
      <c r="E36" s="22">
        <f>COUNTIF(参考1男性!$C$5:$P$367,A36)</f>
        <v>2</v>
      </c>
      <c r="F36" s="22">
        <f>COUNTIF(参考2女性!$C$5:$Q$52,A36)</f>
        <v>0</v>
      </c>
      <c r="G36" s="79">
        <f t="shared" si="9"/>
        <v>2</v>
      </c>
      <c r="H36" s="22">
        <f>COUNTIF(参考3パート嘱託!$C$4:$Q$69,B36)</f>
        <v>1</v>
      </c>
      <c r="I36" s="22">
        <f t="shared" si="11"/>
        <v>3</v>
      </c>
      <c r="J36" s="22"/>
      <c r="K36" s="83">
        <f t="shared" si="10"/>
        <v>3</v>
      </c>
    </row>
    <row r="37" spans="1:11">
      <c r="A37" s="75">
        <v>69111</v>
      </c>
      <c r="B37" s="46">
        <v>69121</v>
      </c>
      <c r="C37" s="571"/>
      <c r="D37" s="31" t="str">
        <f>VLOOKUP(A37,正社員!$P$234:$Q$460,2,FALSE)</f>
        <v>羽生工場ＥＧＲ</v>
      </c>
      <c r="E37" s="22">
        <f>COUNTIF(参考1男性!$C$5:$P$367,A37)</f>
        <v>1</v>
      </c>
      <c r="F37" s="22">
        <f>COUNTIF(参考2女性!$C$5:$Q$52,A37)</f>
        <v>0</v>
      </c>
      <c r="G37" s="79">
        <f t="shared" si="9"/>
        <v>1</v>
      </c>
      <c r="H37" s="22">
        <f>COUNTIF(参考3パート嘱託!$C$4:$Q$69,B37)</f>
        <v>0</v>
      </c>
      <c r="I37" s="22">
        <f t="shared" si="11"/>
        <v>1</v>
      </c>
      <c r="J37" s="22"/>
      <c r="K37" s="83">
        <f t="shared" si="10"/>
        <v>1</v>
      </c>
    </row>
    <row r="38" spans="1:11">
      <c r="A38" s="75">
        <v>64011</v>
      </c>
      <c r="B38" s="46">
        <v>64021</v>
      </c>
      <c r="C38" s="571" t="s">
        <v>626</v>
      </c>
      <c r="D38" s="31" t="str">
        <f>VLOOKUP(A38,正社員!$P$234:$Q$460,2,FALSE)</f>
        <v>羽生工場ＢＣ</v>
      </c>
      <c r="E38" s="22">
        <f>COUNTIF(参考1男性!$C$5:$P$367,A38)</f>
        <v>6</v>
      </c>
      <c r="F38" s="22">
        <f>COUNTIF(参考2女性!$C$5:$Q$52,A38)</f>
        <v>0</v>
      </c>
      <c r="G38" s="22">
        <f t="shared" si="9"/>
        <v>6</v>
      </c>
      <c r="H38" s="22">
        <f>COUNTIF(参考3パート嘱託!$C$4:$Q$69,B38)</f>
        <v>2</v>
      </c>
      <c r="I38" s="22">
        <f t="shared" si="11"/>
        <v>8</v>
      </c>
      <c r="J38" s="22"/>
      <c r="K38" s="83">
        <f t="shared" si="10"/>
        <v>8</v>
      </c>
    </row>
    <row r="39" spans="1:11">
      <c r="A39" s="75">
        <v>64111</v>
      </c>
      <c r="B39" s="46">
        <v>64121</v>
      </c>
      <c r="C39" s="571"/>
      <c r="D39" s="31" t="str">
        <f>VLOOKUP(A39,正社員!$P$234:$Q$460,2,FALSE)</f>
        <v>羽生工場ＢＢ</v>
      </c>
      <c r="E39" s="22">
        <f>COUNTIF(参考1男性!$C$5:$P$367,A39)</f>
        <v>2</v>
      </c>
      <c r="F39" s="22">
        <f>COUNTIF(参考2女性!$C$5:$Q$52,A39)</f>
        <v>1</v>
      </c>
      <c r="G39" s="22">
        <f t="shared" si="9"/>
        <v>3</v>
      </c>
      <c r="H39" s="22">
        <f>COUNTIF(参考3パート嘱託!$C$4:$Q$69,B39)</f>
        <v>0</v>
      </c>
      <c r="I39" s="22">
        <f t="shared" si="11"/>
        <v>3</v>
      </c>
      <c r="J39" s="22"/>
      <c r="K39" s="83">
        <f t="shared" si="10"/>
        <v>3</v>
      </c>
    </row>
    <row r="40" spans="1:11">
      <c r="A40" s="75">
        <v>64211</v>
      </c>
      <c r="B40" s="46">
        <v>64221</v>
      </c>
      <c r="C40" s="571"/>
      <c r="D40" s="31" t="str">
        <f>VLOOKUP(A40,正社員!$P$234:$Q$460,2,FALSE)</f>
        <v>羽生工場ＡＳ</v>
      </c>
      <c r="E40" s="22">
        <f>COUNTIF(参考1男性!$C$5:$P$367,A40)</f>
        <v>1</v>
      </c>
      <c r="F40" s="22">
        <f>COUNTIF(参考2女性!$C$5:$Q$52,A40)</f>
        <v>0</v>
      </c>
      <c r="G40" s="22">
        <f t="shared" si="9"/>
        <v>1</v>
      </c>
      <c r="H40" s="22">
        <f>COUNTIF(参考3パート嘱託!$C$4:$Q$69,B40)</f>
        <v>0</v>
      </c>
      <c r="I40" s="22">
        <f t="shared" si="11"/>
        <v>1</v>
      </c>
      <c r="J40" s="22"/>
      <c r="K40" s="83">
        <f t="shared" si="10"/>
        <v>1</v>
      </c>
    </row>
    <row r="41" spans="1:11">
      <c r="A41" s="75">
        <v>67011</v>
      </c>
      <c r="B41" s="46">
        <v>67021</v>
      </c>
      <c r="C41" s="571"/>
      <c r="D41" s="31" t="str">
        <f>VLOOKUP(A41,正社員!$P$234:$Q$460,2,FALSE)</f>
        <v>羽生工場プレス</v>
      </c>
      <c r="E41" s="22">
        <f>COUNTIF(参考1男性!$C$5:$P$367,A41)</f>
        <v>10</v>
      </c>
      <c r="F41" s="22">
        <f>COUNTIF(参考2女性!$C$5:$Q$52,A41)</f>
        <v>0</v>
      </c>
      <c r="G41" s="22">
        <f t="shared" si="9"/>
        <v>10</v>
      </c>
      <c r="H41" s="22">
        <f>COUNTIF(参考3パート嘱託!$C$4:$Q$69,B41)</f>
        <v>1</v>
      </c>
      <c r="I41" s="22">
        <f t="shared" si="11"/>
        <v>11</v>
      </c>
      <c r="J41" s="22"/>
      <c r="K41" s="83">
        <f t="shared" si="10"/>
        <v>11</v>
      </c>
    </row>
    <row r="42" spans="1:11">
      <c r="A42" s="75">
        <v>68111</v>
      </c>
      <c r="B42" s="46">
        <v>68121</v>
      </c>
      <c r="C42" s="571"/>
      <c r="D42" s="31" t="str">
        <f>VLOOKUP(A42,正社員!$P$234:$Q$460,2,FALSE)</f>
        <v>羽生工場ＰＳＨ</v>
      </c>
      <c r="E42" s="22">
        <f>COUNTIF(参考1男性!$C$5:$P$367,A42)</f>
        <v>3</v>
      </c>
      <c r="F42" s="22">
        <f>COUNTIF(参考2女性!$C$5:$Q$52,A42)</f>
        <v>1</v>
      </c>
      <c r="G42" s="22">
        <f t="shared" si="9"/>
        <v>4</v>
      </c>
      <c r="H42" s="22">
        <f>COUNTIF(参考3パート嘱託!$C$4:$Q$69,B42)</f>
        <v>0</v>
      </c>
      <c r="I42" s="22">
        <f t="shared" si="11"/>
        <v>4</v>
      </c>
      <c r="J42" s="22"/>
      <c r="K42" s="83">
        <f t="shared" si="10"/>
        <v>4</v>
      </c>
    </row>
    <row r="43" spans="1:11">
      <c r="A43" s="75">
        <v>64311</v>
      </c>
      <c r="B43" s="46">
        <v>64321</v>
      </c>
      <c r="C43" s="571"/>
      <c r="D43" s="31" t="str">
        <f>VLOOKUP(A43,正社員!$P$234:$Q$460,2,FALSE)</f>
        <v>羽生工場ＭＳＵ</v>
      </c>
      <c r="E43" s="22">
        <f>COUNTIF(参考1男性!$C$5:$P$367,A43)</f>
        <v>1</v>
      </c>
      <c r="F43" s="22">
        <f>COUNTIF(参考2女性!$C$5:$Q$52,A43)</f>
        <v>1</v>
      </c>
      <c r="G43" s="22">
        <f t="shared" si="9"/>
        <v>2</v>
      </c>
      <c r="H43" s="22">
        <f>COUNTIF(参考3パート嘱託!$C$4:$Q$69,B43)</f>
        <v>0</v>
      </c>
      <c r="I43" s="22">
        <f t="shared" si="11"/>
        <v>2</v>
      </c>
      <c r="J43" s="22"/>
      <c r="K43" s="83">
        <f t="shared" si="10"/>
        <v>2</v>
      </c>
    </row>
    <row r="44" spans="1:11">
      <c r="A44" s="75">
        <v>69011</v>
      </c>
      <c r="B44" s="46">
        <v>69021</v>
      </c>
      <c r="C44" s="571" t="s">
        <v>627</v>
      </c>
      <c r="D44" s="31" t="str">
        <f>VLOOKUP(A44,正社員!$P$234:$Q$460,2,FALSE)</f>
        <v>羽生工場ＴＣ</v>
      </c>
      <c r="E44" s="22">
        <f>COUNTIF(参考1男性!$C$5:$P$367,A44)</f>
        <v>21</v>
      </c>
      <c r="F44" s="22">
        <f>COUNTIF(参考2女性!$C$5:$Q$52,A44)</f>
        <v>1</v>
      </c>
      <c r="G44" s="22">
        <f t="shared" si="9"/>
        <v>22</v>
      </c>
      <c r="H44" s="22">
        <f>COUNTIF(参考3パート嘱託!$C$4:$Q$69,B44)</f>
        <v>2</v>
      </c>
      <c r="I44" s="22">
        <f t="shared" si="11"/>
        <v>24</v>
      </c>
      <c r="J44" s="22"/>
      <c r="K44" s="83">
        <f t="shared" si="10"/>
        <v>24</v>
      </c>
    </row>
    <row r="45" spans="1:11">
      <c r="A45" s="75">
        <v>60300</v>
      </c>
      <c r="B45" s="46">
        <v>60320</v>
      </c>
      <c r="C45" s="571"/>
      <c r="D45" s="31" t="str">
        <f>VLOOKUP(A45,正社員!$P$39:$Q$195,2,FALSE)</f>
        <v>羽生工場構内物流</v>
      </c>
      <c r="E45" s="22">
        <f>COUNTIF(参考1男性!$C$5:$P$367,A45)</f>
        <v>8</v>
      </c>
      <c r="F45" s="22">
        <f>COUNTIF(参考2女性!$C$5:$Q$52,A45)</f>
        <v>0</v>
      </c>
      <c r="G45" s="22">
        <f t="shared" si="9"/>
        <v>8</v>
      </c>
      <c r="H45" s="22">
        <f>COUNTIF(参考3パート嘱託!$C$4:$Q$69,B45)</f>
        <v>1</v>
      </c>
      <c r="I45" s="22">
        <f t="shared" si="11"/>
        <v>9</v>
      </c>
      <c r="J45" s="22"/>
      <c r="K45" s="83">
        <f t="shared" si="10"/>
        <v>9</v>
      </c>
    </row>
    <row r="46" spans="1:11">
      <c r="A46" s="75">
        <v>60411</v>
      </c>
      <c r="B46" s="46">
        <v>60421</v>
      </c>
      <c r="C46" s="571"/>
      <c r="D46" s="31" t="str">
        <f>VLOOKUP(A46,正社員!$P$234:$Q$460,2,FALSE)</f>
        <v>羽生工場構内ＳＰ</v>
      </c>
      <c r="E46" s="22">
        <f>COUNTIF(参考1男性!$C$5:$P$367,A46)</f>
        <v>2</v>
      </c>
      <c r="F46" s="22">
        <f>COUNTIF(参考2女性!$C$5:$Q$52,A46)</f>
        <v>1</v>
      </c>
      <c r="G46" s="22">
        <f t="shared" si="9"/>
        <v>3</v>
      </c>
      <c r="H46" s="22">
        <f>COUNTIF(参考3パート嘱託!$C$4:$Q$69,B46)</f>
        <v>2</v>
      </c>
      <c r="I46" s="22">
        <f t="shared" si="11"/>
        <v>5</v>
      </c>
      <c r="J46" s="22"/>
      <c r="K46" s="83">
        <f t="shared" si="10"/>
        <v>5</v>
      </c>
    </row>
    <row r="47" spans="1:11">
      <c r="A47" s="75">
        <v>65011</v>
      </c>
      <c r="B47" s="46">
        <v>65021</v>
      </c>
      <c r="C47" s="571" t="s">
        <v>628</v>
      </c>
      <c r="D47" s="31" t="str">
        <f>VLOOKUP(A47,正社員!$P$234:$Q$460,2,FALSE)</f>
        <v>羽生工場ＶＰ－１</v>
      </c>
      <c r="E47" s="22">
        <f>COUNTIF(参考1男性!$C$5:$P$367,A47)</f>
        <v>11</v>
      </c>
      <c r="F47" s="22">
        <f>COUNTIF(参考2女性!$C$5:$Q$52,A47)</f>
        <v>1</v>
      </c>
      <c r="G47" s="22">
        <f t="shared" si="9"/>
        <v>12</v>
      </c>
      <c r="H47" s="22">
        <f>COUNTIF(参考3パート嘱託!$C$4:$Q$69,B47)</f>
        <v>3</v>
      </c>
      <c r="I47" s="22">
        <f t="shared" si="11"/>
        <v>15</v>
      </c>
      <c r="J47" s="22"/>
      <c r="K47" s="83">
        <f t="shared" si="10"/>
        <v>15</v>
      </c>
    </row>
    <row r="48" spans="1:11">
      <c r="A48" s="75">
        <v>66011</v>
      </c>
      <c r="B48" s="46">
        <v>66021</v>
      </c>
      <c r="C48" s="571"/>
      <c r="D48" s="31" t="str">
        <f>VLOOKUP(A48,正社員!$P$234:$Q$460,2,FALSE)</f>
        <v>羽生工場ＶＰ－２</v>
      </c>
      <c r="E48" s="22">
        <f>COUNTIF(参考1男性!$C$5:$P$367,A48)</f>
        <v>10</v>
      </c>
      <c r="F48" s="22">
        <f>COUNTIF(参考2女性!$C$5:$Q$52,A48)</f>
        <v>3</v>
      </c>
      <c r="G48" s="22">
        <f t="shared" si="9"/>
        <v>13</v>
      </c>
      <c r="H48" s="22">
        <f>COUNTIF(参考3パート嘱託!$C$4:$Q$69,B48)</f>
        <v>2</v>
      </c>
      <c r="I48" s="22">
        <f t="shared" si="11"/>
        <v>15</v>
      </c>
      <c r="J48" s="22"/>
      <c r="K48" s="83">
        <f t="shared" si="10"/>
        <v>15</v>
      </c>
    </row>
    <row r="49" spans="1:11">
      <c r="A49" s="75">
        <v>61300</v>
      </c>
      <c r="B49" s="46">
        <v>61320</v>
      </c>
      <c r="C49" s="84"/>
      <c r="D49" s="31" t="str">
        <f>VLOOKUP(A49,正社員!$P$39:$Q$195,2,FALSE)</f>
        <v>羽生工場工場管理課</v>
      </c>
      <c r="E49" s="22">
        <f>COUNTIF(参考1男性!$C$5:$P$367,A49)</f>
        <v>7</v>
      </c>
      <c r="F49" s="22">
        <f>COUNTIF(参考2女性!$C$5:$Q$52,A49)</f>
        <v>1</v>
      </c>
      <c r="G49" s="22">
        <f t="shared" si="9"/>
        <v>8</v>
      </c>
      <c r="H49" s="22">
        <f>COUNTIF(参考3パート嘱託!$C$4:$Q$69,B49)</f>
        <v>1</v>
      </c>
      <c r="I49" s="22">
        <f t="shared" si="11"/>
        <v>9</v>
      </c>
      <c r="J49" s="22"/>
      <c r="K49" s="83">
        <f t="shared" si="10"/>
        <v>9</v>
      </c>
    </row>
    <row r="50" spans="1:11">
      <c r="A50" s="76"/>
      <c r="B50" s="56"/>
      <c r="C50" s="86"/>
      <c r="D50" s="80" t="s">
        <v>619</v>
      </c>
      <c r="E50" s="78">
        <f>SUM(E34:E49)</f>
        <v>93</v>
      </c>
      <c r="F50" s="78">
        <f t="shared" ref="F50:K50" si="12">SUM(F34:F49)</f>
        <v>10</v>
      </c>
      <c r="G50" s="78">
        <f t="shared" si="12"/>
        <v>103</v>
      </c>
      <c r="H50" s="78">
        <f t="shared" si="12"/>
        <v>18</v>
      </c>
      <c r="I50" s="78">
        <f t="shared" si="12"/>
        <v>121</v>
      </c>
      <c r="J50" s="78">
        <f t="shared" si="12"/>
        <v>0</v>
      </c>
      <c r="K50" s="87">
        <f t="shared" si="12"/>
        <v>121</v>
      </c>
    </row>
    <row r="51" spans="1:11">
      <c r="A51" s="75">
        <v>44011</v>
      </c>
      <c r="B51" s="46">
        <v>44021</v>
      </c>
      <c r="C51" s="571" t="s">
        <v>625</v>
      </c>
      <c r="D51" s="31" t="str">
        <f>VLOOKUP(A51,正社員!$P$234:$Q$460,2,FALSE)</f>
        <v>川越第二工場１係</v>
      </c>
      <c r="E51" s="22">
        <f>COUNTIF(参考1男性!$C$5:$P$367,A51)</f>
        <v>2</v>
      </c>
      <c r="F51" s="22">
        <f>COUNTIF(参考2女性!$C$5:$Q$52,A51)</f>
        <v>0</v>
      </c>
      <c r="G51" s="22">
        <f>E51+F51</f>
        <v>2</v>
      </c>
      <c r="H51" s="22">
        <f>COUNTIF(参考3パート嘱託!$C$4:$Q$69,B51)</f>
        <v>0</v>
      </c>
      <c r="I51" s="22">
        <f>SUM(G51:H51)</f>
        <v>2</v>
      </c>
      <c r="J51" s="22"/>
      <c r="K51" s="83">
        <f>G51+H51+J51</f>
        <v>2</v>
      </c>
    </row>
    <row r="52" spans="1:11">
      <c r="A52" s="75">
        <v>44111</v>
      </c>
      <c r="B52" s="46">
        <v>44121</v>
      </c>
      <c r="C52" s="571"/>
      <c r="D52" s="31" t="str">
        <f>VLOOKUP(A52,正社員!$P$234:$Q$460,2,FALSE)</f>
        <v>川越第二工場２係</v>
      </c>
      <c r="E52" s="22">
        <f>COUNTIF(参考1男性!$C$5:$P$367,A52)</f>
        <v>4</v>
      </c>
      <c r="F52" s="22">
        <f>COUNTIF(参考2女性!$C$5:$Q$52,A52)</f>
        <v>0</v>
      </c>
      <c r="G52" s="22">
        <f>E52+F52</f>
        <v>4</v>
      </c>
      <c r="H52" s="22">
        <f>COUNTIF(参考3パート嘱託!$C$4:$Q$69,B52)</f>
        <v>1</v>
      </c>
      <c r="I52" s="22">
        <f>SUM(G52:H52)</f>
        <v>5</v>
      </c>
      <c r="J52" s="22"/>
      <c r="K52" s="83">
        <f>G52+H52+J52</f>
        <v>5</v>
      </c>
    </row>
    <row r="53" spans="1:11">
      <c r="A53" s="75">
        <v>44511</v>
      </c>
      <c r="B53" s="46">
        <v>44521</v>
      </c>
      <c r="C53" s="571"/>
      <c r="D53" s="31" t="str">
        <f>VLOOKUP(A53,正社員!$P$234:$Q$460,2,FALSE)</f>
        <v>川越第二工場５係</v>
      </c>
      <c r="E53" s="22">
        <f>COUNTIF(参考1男性!$C$5:$P$367,A53)</f>
        <v>4</v>
      </c>
      <c r="F53" s="22">
        <f>COUNTIF(参考2女性!$C$5:$Q$52,A53)</f>
        <v>0</v>
      </c>
      <c r="G53" s="22">
        <f>E53+F53</f>
        <v>4</v>
      </c>
      <c r="H53" s="22">
        <f>COUNTIF(参考3パート嘱託!$C$4:$Q$69,B53)</f>
        <v>2</v>
      </c>
      <c r="I53" s="22">
        <f>SUM(G53:H53)</f>
        <v>6</v>
      </c>
      <c r="J53" s="22"/>
      <c r="K53" s="83">
        <f>G53+H53+J53</f>
        <v>6</v>
      </c>
    </row>
    <row r="54" spans="1:11">
      <c r="A54" s="75">
        <v>45111</v>
      </c>
      <c r="B54" s="46">
        <v>45121</v>
      </c>
      <c r="C54" s="571"/>
      <c r="D54" s="31" t="str">
        <f>VLOOKUP(A54,正社員!$P$234:$Q$460,2,FALSE)</f>
        <v>川越第二工場鋳造部門</v>
      </c>
      <c r="E54" s="22">
        <f>COUNTIF(参考1男性!$C$5:$P$367,A54)</f>
        <v>15</v>
      </c>
      <c r="F54" s="22">
        <f>COUNTIF(参考2女性!$C$5:$Q$52,A54)</f>
        <v>0</v>
      </c>
      <c r="G54" s="22">
        <f>E54+F54</f>
        <v>15</v>
      </c>
      <c r="H54" s="22">
        <f>COUNTIF(参考3パート嘱託!$C$4:$Q$69,B54)</f>
        <v>1</v>
      </c>
      <c r="I54" s="22">
        <f>SUM(G54:H54)</f>
        <v>16</v>
      </c>
      <c r="J54" s="22"/>
      <c r="K54" s="83">
        <f>G54+H54+J54</f>
        <v>16</v>
      </c>
    </row>
    <row r="55" spans="1:11">
      <c r="A55" s="75">
        <v>44200</v>
      </c>
      <c r="B55" s="46">
        <v>44220</v>
      </c>
      <c r="C55" s="82" t="s">
        <v>626</v>
      </c>
      <c r="D55" s="31" t="str">
        <f>VLOOKUP(A55,正社員!$P$39:$Q$195,2,FALSE)</f>
        <v>川越第二工場管理</v>
      </c>
      <c r="E55" s="22">
        <f>COUNTIF(参考1男性!$C$5:$P$367,A55)</f>
        <v>5</v>
      </c>
      <c r="F55" s="22">
        <f>COUNTIF(参考2女性!$C$5:$Q$52,A55)</f>
        <v>2</v>
      </c>
      <c r="G55" s="22">
        <f>E55+F55</f>
        <v>7</v>
      </c>
      <c r="H55" s="22">
        <f>COUNTIF(参考3パート嘱託!$C$4:$Q$69,B55)</f>
        <v>2</v>
      </c>
      <c r="I55" s="22">
        <f>SUM(G55:H55)</f>
        <v>9</v>
      </c>
      <c r="J55" s="22"/>
      <c r="K55" s="83">
        <f>G55+H55+J55</f>
        <v>9</v>
      </c>
    </row>
    <row r="56" spans="1:11">
      <c r="A56" s="76"/>
      <c r="B56" s="56"/>
      <c r="C56" s="86"/>
      <c r="D56" s="80" t="s">
        <v>618</v>
      </c>
      <c r="E56" s="78">
        <f>SUM(E51:E55)</f>
        <v>30</v>
      </c>
      <c r="F56" s="78">
        <f t="shared" ref="F56:K56" si="13">SUM(F51:F55)</f>
        <v>2</v>
      </c>
      <c r="G56" s="78">
        <f t="shared" si="13"/>
        <v>32</v>
      </c>
      <c r="H56" s="78">
        <f t="shared" si="13"/>
        <v>6</v>
      </c>
      <c r="I56" s="78">
        <f t="shared" si="13"/>
        <v>38</v>
      </c>
      <c r="J56" s="78">
        <f t="shared" si="13"/>
        <v>0</v>
      </c>
      <c r="K56" s="87">
        <f t="shared" si="13"/>
        <v>38</v>
      </c>
    </row>
    <row r="57" spans="1:11">
      <c r="A57" s="75">
        <v>20000</v>
      </c>
      <c r="B57" s="46">
        <v>20020</v>
      </c>
      <c r="C57" s="84"/>
      <c r="D57" s="31" t="str">
        <f>VLOOKUP(A57,正社員!$P$39:$Q$195,2,FALSE)</f>
        <v>生産管理部製品管理課</v>
      </c>
      <c r="E57" s="22">
        <f>COUNTIF(参考1男性!$C$5:$P$367,A57)</f>
        <v>2</v>
      </c>
      <c r="F57" s="22">
        <f>COUNTIF(参考2女性!$C$5:$Q$52,A57)</f>
        <v>1</v>
      </c>
      <c r="G57" s="22">
        <f t="shared" ref="G57:G62" si="14">E57+F57</f>
        <v>3</v>
      </c>
      <c r="H57" s="22">
        <f>COUNTIF(参考3パート嘱託!$C$4:$Q$69,B57)</f>
        <v>0</v>
      </c>
      <c r="I57" s="22">
        <f t="shared" ref="I57:I62" si="15">SUM(G57:H57)</f>
        <v>3</v>
      </c>
      <c r="J57" s="22"/>
      <c r="K57" s="83">
        <f t="shared" ref="K57:K62" si="16">G57+H57+J57</f>
        <v>3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f>COUNTIF(参考1男性!$C$5:$P$367,A58)</f>
        <v>3</v>
      </c>
      <c r="F58" s="22">
        <f>COUNTIF(参考2女性!$C$5:$Q$52,A58)</f>
        <v>1</v>
      </c>
      <c r="G58" s="22">
        <f t="shared" si="14"/>
        <v>4</v>
      </c>
      <c r="H58" s="22">
        <f>COUNTIF(参考3パート嘱託!$C$4:$Q$69,B58)</f>
        <v>0</v>
      </c>
      <c r="I58" s="22">
        <f t="shared" si="15"/>
        <v>4</v>
      </c>
      <c r="J58" s="22"/>
      <c r="K58" s="83">
        <f t="shared" si="16"/>
        <v>4</v>
      </c>
    </row>
    <row r="59" spans="1:11">
      <c r="A59" s="75">
        <v>22000</v>
      </c>
      <c r="B59" s="46">
        <v>22020</v>
      </c>
      <c r="C59" s="84"/>
      <c r="D59" s="31" t="str">
        <f>VLOOKUP(A59,正社員!$P$39:$Q$195,2,FALSE)</f>
        <v>生産管理部ＩＴ管理課</v>
      </c>
      <c r="E59" s="22">
        <f>COUNTIF(参考1男性!$C$5:$P$367,A59)</f>
        <v>4</v>
      </c>
      <c r="F59" s="22">
        <f>COUNTIF(参考2女性!$C$5:$Q$52,A59)</f>
        <v>2</v>
      </c>
      <c r="G59" s="22">
        <f t="shared" si="14"/>
        <v>6</v>
      </c>
      <c r="H59" s="22">
        <f>COUNTIF(参考3パート嘱託!$C$4:$Q$69,B59)</f>
        <v>0</v>
      </c>
      <c r="I59" s="22">
        <f t="shared" si="15"/>
        <v>6</v>
      </c>
      <c r="J59" s="22"/>
      <c r="K59" s="83">
        <f t="shared" si="16"/>
        <v>6</v>
      </c>
    </row>
    <row r="60" spans="1:11">
      <c r="A60" s="75">
        <v>60000</v>
      </c>
      <c r="B60" s="46">
        <v>60020</v>
      </c>
      <c r="C60" s="84"/>
      <c r="D60" s="31" t="str">
        <f>VLOOKUP(A60,正社員!$P$39:$Q$195,2,FALSE)</f>
        <v>生産管理部製品管理課(羽生)</v>
      </c>
      <c r="E60" s="22">
        <f>COUNTIF(参考1男性!$C$5:$P$367,A60)</f>
        <v>2</v>
      </c>
      <c r="F60" s="22">
        <f>COUNTIF(参考2女性!$C$5:$Q$52,A60)</f>
        <v>2</v>
      </c>
      <c r="G60" s="22">
        <f t="shared" si="14"/>
        <v>4</v>
      </c>
      <c r="H60" s="22">
        <f>COUNTIF(参考3パート嘱託!$C$4:$Q$69,B60)</f>
        <v>1</v>
      </c>
      <c r="I60" s="22">
        <f t="shared" si="15"/>
        <v>5</v>
      </c>
      <c r="J60" s="22"/>
      <c r="K60" s="83">
        <f t="shared" si="16"/>
        <v>5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f>COUNTIF(参考1男性!$C$5:$P$367,A61)</f>
        <v>1</v>
      </c>
      <c r="F61" s="22">
        <f>COUNTIF(参考2女性!$C$5:$Q$52,A61)</f>
        <v>2</v>
      </c>
      <c r="G61" s="22">
        <f t="shared" si="14"/>
        <v>3</v>
      </c>
      <c r="H61" s="22">
        <f>COUNTIF(参考3パート嘱託!$C$4:$Q$69,B61)</f>
        <v>0</v>
      </c>
      <c r="I61" s="22">
        <f t="shared" si="15"/>
        <v>3</v>
      </c>
      <c r="J61" s="22"/>
      <c r="K61" s="83">
        <f t="shared" si="16"/>
        <v>3</v>
      </c>
    </row>
    <row r="62" spans="1:11">
      <c r="A62" s="75">
        <v>60200</v>
      </c>
      <c r="B62" s="46">
        <v>60220</v>
      </c>
      <c r="C62" s="84"/>
      <c r="D62" s="31" t="str">
        <f>VLOOKUP(A62,正社員!$P$39:$Q$195,2,FALSE)</f>
        <v>生産管理部ＩＴ管理課(羽生)</v>
      </c>
      <c r="E62" s="22">
        <f>COUNTIF(参考1男性!$C$5:$P$367,A62)</f>
        <v>1</v>
      </c>
      <c r="F62" s="22">
        <f>COUNTIF(参考2女性!$C$5:$Q$52,A62)</f>
        <v>1</v>
      </c>
      <c r="G62" s="22">
        <f t="shared" si="14"/>
        <v>2</v>
      </c>
      <c r="H62" s="22" t="e">
        <f>COUNTIF(#REF!,B62)</f>
        <v>#REF!</v>
      </c>
      <c r="I62" s="22" t="e">
        <f t="shared" si="15"/>
        <v>#REF!</v>
      </c>
      <c r="J62" s="22"/>
      <c r="K62" s="83" t="e">
        <f t="shared" si="16"/>
        <v>#REF!</v>
      </c>
    </row>
    <row r="63" spans="1:11">
      <c r="A63" s="76"/>
      <c r="B63" s="56"/>
      <c r="C63" s="86"/>
      <c r="D63" s="80" t="s">
        <v>616</v>
      </c>
      <c r="E63" s="78">
        <f>SUM(E57:E62)</f>
        <v>13</v>
      </c>
      <c r="F63" s="78">
        <f t="shared" ref="F63:K63" si="17">SUM(F57:F62)</f>
        <v>9</v>
      </c>
      <c r="G63" s="78">
        <f t="shared" si="17"/>
        <v>22</v>
      </c>
      <c r="H63" s="78" t="e">
        <f t="shared" si="17"/>
        <v>#REF!</v>
      </c>
      <c r="I63" s="78" t="e">
        <f t="shared" si="17"/>
        <v>#REF!</v>
      </c>
      <c r="J63" s="78">
        <f t="shared" si="17"/>
        <v>0</v>
      </c>
      <c r="K63" s="87" t="e">
        <f t="shared" si="17"/>
        <v>#REF!</v>
      </c>
    </row>
    <row r="64" spans="1:11">
      <c r="A64" s="75">
        <v>30000</v>
      </c>
      <c r="B64" s="46">
        <v>30020</v>
      </c>
      <c r="C64" s="84"/>
      <c r="D64" s="31" t="str">
        <f>VLOOKUP(A64,正社員!$P$39:$Q$195,2,FALSE)</f>
        <v>生産技術部１課</v>
      </c>
      <c r="E64" s="22">
        <f>COUNTIF(参考1男性!$C$5:$P$367,A64)</f>
        <v>13</v>
      </c>
      <c r="F64" s="22">
        <f>COUNTIF(参考2女性!$C$5:$Q$52,A64)</f>
        <v>0</v>
      </c>
      <c r="G64" s="22">
        <f t="shared" ref="G64:G69" si="18">E64+F64</f>
        <v>13</v>
      </c>
      <c r="H64" s="22">
        <f>COUNTIF(参考3パート嘱託!$C$4:$Q$69,B64)</f>
        <v>2</v>
      </c>
      <c r="I64" s="22">
        <f t="shared" ref="I64:I69" si="19">SUM(G64:H64)</f>
        <v>15</v>
      </c>
      <c r="J64" s="22"/>
      <c r="K64" s="83">
        <f t="shared" ref="K64:K69" si="20">G64+H64+J64</f>
        <v>15</v>
      </c>
    </row>
    <row r="65" spans="1:11">
      <c r="A65" s="75">
        <v>31000</v>
      </c>
      <c r="B65" s="46">
        <v>31020</v>
      </c>
      <c r="C65" s="84"/>
      <c r="D65" s="31" t="str">
        <f>VLOOKUP(A65,正社員!$P$39:$Q$195,2,FALSE)</f>
        <v>生産技術部２課工機係</v>
      </c>
      <c r="E65" s="22">
        <f>COUNTIF(参考1男性!$C$5:$P$367,A65)</f>
        <v>8</v>
      </c>
      <c r="F65" s="22">
        <f>COUNTIF(参考2女性!$C$5:$Q$52,A65)</f>
        <v>1</v>
      </c>
      <c r="G65" s="22">
        <f t="shared" si="18"/>
        <v>9</v>
      </c>
      <c r="H65" s="22">
        <f>COUNTIF(参考3パート嘱託!$C$4:$Q$69,B65)</f>
        <v>0</v>
      </c>
      <c r="I65" s="22">
        <f t="shared" si="19"/>
        <v>9</v>
      </c>
      <c r="J65" s="22"/>
      <c r="K65" s="83">
        <f t="shared" si="20"/>
        <v>9</v>
      </c>
    </row>
    <row r="66" spans="1:11">
      <c r="A66" s="75">
        <v>32000</v>
      </c>
      <c r="B66" s="46">
        <v>32020</v>
      </c>
      <c r="C66" s="84"/>
      <c r="D66" s="31" t="str">
        <f>VLOOKUP(A66,正社員!$P$39:$Q$195,2,FALSE)</f>
        <v>生産技術部２課試作係</v>
      </c>
      <c r="E66" s="22">
        <f>COUNTIF(参考1男性!$C$5:$P$367,A66)</f>
        <v>2</v>
      </c>
      <c r="F66" s="22">
        <f>COUNTIF(参考2女性!$C$5:$Q$52,A66)</f>
        <v>0</v>
      </c>
      <c r="G66" s="22">
        <f t="shared" si="18"/>
        <v>2</v>
      </c>
      <c r="H66" s="22">
        <f>COUNTIF(参考3パート嘱託!$C$4:$Q$69,B66)</f>
        <v>0</v>
      </c>
      <c r="I66" s="22">
        <f t="shared" si="19"/>
        <v>2</v>
      </c>
      <c r="J66" s="22"/>
      <c r="K66" s="83">
        <f t="shared" si="20"/>
        <v>2</v>
      </c>
    </row>
    <row r="67" spans="1:11">
      <c r="A67" s="75">
        <v>33000</v>
      </c>
      <c r="B67" s="46">
        <v>33020</v>
      </c>
      <c r="C67" s="84"/>
      <c r="D67" s="31" t="str">
        <f>VLOOKUP(A67,正社員!$P$39:$Q$195,2,FALSE)</f>
        <v>生産技術部２課保全係</v>
      </c>
      <c r="E67" s="22">
        <f>COUNTIF(参考1男性!$C$5:$P$367,A67)</f>
        <v>1</v>
      </c>
      <c r="F67" s="22">
        <f>COUNTIF(参考2女性!$C$5:$Q$52,A67)</f>
        <v>0</v>
      </c>
      <c r="G67" s="22">
        <f t="shared" si="18"/>
        <v>1</v>
      </c>
      <c r="H67" s="22">
        <f>COUNTIF(参考3パート嘱託!$C$4:$Q$69,B67)</f>
        <v>0</v>
      </c>
      <c r="I67" s="22">
        <f t="shared" si="19"/>
        <v>1</v>
      </c>
      <c r="J67" s="22"/>
      <c r="K67" s="83">
        <f t="shared" si="20"/>
        <v>1</v>
      </c>
    </row>
    <row r="68" spans="1:11">
      <c r="A68" s="75">
        <v>61000</v>
      </c>
      <c r="B68" s="46">
        <v>61020</v>
      </c>
      <c r="C68" s="84"/>
      <c r="D68" s="31" t="str">
        <f>VLOOKUP(A68,正社員!$P$39:$Q$195,2,FALSE)</f>
        <v>生産技術部（羽生）</v>
      </c>
      <c r="E68" s="22">
        <f>COUNTIF(参考1男性!$C$5:$P$367,A68)</f>
        <v>10</v>
      </c>
      <c r="F68" s="22">
        <f>COUNTIF(参考2女性!$C$5:$Q$52,A68)</f>
        <v>1</v>
      </c>
      <c r="G68" s="22">
        <f t="shared" si="18"/>
        <v>11</v>
      </c>
      <c r="H68" s="22">
        <f>COUNTIF(参考3パート嘱託!$C$4:$Q$69,B68)</f>
        <v>1</v>
      </c>
      <c r="I68" s="22">
        <f t="shared" si="19"/>
        <v>12</v>
      </c>
      <c r="J68" s="22"/>
      <c r="K68" s="83">
        <f t="shared" si="20"/>
        <v>12</v>
      </c>
    </row>
    <row r="69" spans="1:11">
      <c r="A69" s="2">
        <v>61200</v>
      </c>
      <c r="B69" s="46">
        <v>61220</v>
      </c>
      <c r="C69" s="84"/>
      <c r="D69" s="31" t="str">
        <f>VLOOKUP(A69,正社員!$P$39:$Q$195,2,FALSE)</f>
        <v>生産技術部工機（羽生）</v>
      </c>
      <c r="E69" s="22">
        <f>COUNTIF(参考1男性!$C$5:$P$367,A69)</f>
        <v>4</v>
      </c>
      <c r="F69" s="22">
        <f>COUNTIF(参考2女性!$C$5:$Q$52,A69)</f>
        <v>1</v>
      </c>
      <c r="G69" s="22">
        <f t="shared" si="18"/>
        <v>5</v>
      </c>
      <c r="H69" s="22">
        <f>COUNTIF(参考3パート嘱託!$C$4:$Q$69,B69)</f>
        <v>2</v>
      </c>
      <c r="I69" s="22">
        <f t="shared" si="19"/>
        <v>7</v>
      </c>
      <c r="J69" s="22"/>
      <c r="K69" s="83">
        <f t="shared" si="20"/>
        <v>7</v>
      </c>
    </row>
    <row r="70" spans="1:11">
      <c r="B70" s="56"/>
      <c r="C70" s="86"/>
      <c r="D70" s="80" t="s">
        <v>617</v>
      </c>
      <c r="E70" s="78">
        <f>SUM(E64:E69)</f>
        <v>38</v>
      </c>
      <c r="F70" s="78">
        <f t="shared" ref="F70:K70" si="21">SUM(F64:F69)</f>
        <v>3</v>
      </c>
      <c r="G70" s="78">
        <f t="shared" si="21"/>
        <v>41</v>
      </c>
      <c r="H70" s="78">
        <f t="shared" si="21"/>
        <v>5</v>
      </c>
      <c r="I70" s="78">
        <f t="shared" si="21"/>
        <v>46</v>
      </c>
      <c r="J70" s="78">
        <f t="shared" si="21"/>
        <v>0</v>
      </c>
      <c r="K70" s="87">
        <f t="shared" si="21"/>
        <v>46</v>
      </c>
    </row>
    <row r="71" spans="1:11" ht="18.600000000000001" thickBot="1">
      <c r="C71" s="89"/>
      <c r="D71" s="64" t="s">
        <v>642</v>
      </c>
      <c r="E71" s="90">
        <f t="shared" ref="E71:J71" si="22">E6+E7+E8+E9+E10+E11+E14+E18+E19+E33+E50+E56+E63+E70</f>
        <v>356</v>
      </c>
      <c r="F71" s="90">
        <f t="shared" si="22"/>
        <v>46</v>
      </c>
      <c r="G71" s="90">
        <f t="shared" si="22"/>
        <v>402</v>
      </c>
      <c r="H71" s="90" t="e">
        <f t="shared" si="22"/>
        <v>#REF!</v>
      </c>
      <c r="I71" s="90" t="e">
        <f t="shared" si="22"/>
        <v>#REF!</v>
      </c>
      <c r="J71" s="90">
        <f t="shared" si="22"/>
        <v>0</v>
      </c>
      <c r="K71" s="91" t="e">
        <f>K6+K7+K8+K9+K10+K11+K14+K18+K19+K33+K50+K56+K63+K70</f>
        <v>#REF!</v>
      </c>
    </row>
  </sheetData>
  <mergeCells count="18">
    <mergeCell ref="A4:A5"/>
    <mergeCell ref="D4:D5"/>
    <mergeCell ref="E4:F4"/>
    <mergeCell ref="G4:G5"/>
    <mergeCell ref="H4:H5"/>
    <mergeCell ref="C47:C48"/>
    <mergeCell ref="C51:C54"/>
    <mergeCell ref="D3:K3"/>
    <mergeCell ref="C3:C5"/>
    <mergeCell ref="C20:C22"/>
    <mergeCell ref="C23:C27"/>
    <mergeCell ref="C28:C31"/>
    <mergeCell ref="C34:C37"/>
    <mergeCell ref="C38:C43"/>
    <mergeCell ref="C44:C46"/>
    <mergeCell ref="I4:I5"/>
    <mergeCell ref="J4:J5"/>
    <mergeCell ref="K4:K5"/>
  </mergeCells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Q22" sqref="Q22"/>
    </sheetView>
  </sheetViews>
  <sheetFormatPr defaultRowHeight="18"/>
  <sheetData>
    <row r="1" spans="1:2">
      <c r="A1" t="s">
        <v>732</v>
      </c>
      <c r="B1" t="s">
        <v>1613</v>
      </c>
    </row>
    <row r="2" spans="1:2">
      <c r="A2">
        <v>34020</v>
      </c>
      <c r="B2" t="s">
        <v>956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91"/>
  <sheetViews>
    <sheetView tabSelected="1" topLeftCell="A71" workbookViewId="0">
      <selection activeCell="H23" sqref="H23"/>
    </sheetView>
  </sheetViews>
  <sheetFormatPr defaultRowHeight="18"/>
  <cols>
    <col min="1" max="1" width="16.09765625" style="46" customWidth="1"/>
    <col min="2" max="3" width="11" style="46" customWidth="1"/>
    <col min="4" max="4" width="25.59765625" style="536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53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535"/>
      <c r="C5" s="576"/>
      <c r="D5" s="577"/>
      <c r="E5" s="538" t="s">
        <v>69</v>
      </c>
      <c r="F5" s="53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535">
        <v>202</v>
      </c>
      <c r="C6" s="537"/>
      <c r="D6" s="538" t="e">
        <f>VLOOKUP(A6,正社員!$P$3:$Q$20,2,FALSE)</f>
        <v>#N/A</v>
      </c>
      <c r="E6" s="271">
        <f>COUNTIF(参考1男性!$C$5:$P$367,A6)</f>
        <v>0</v>
      </c>
      <c r="F6" s="271">
        <f>COUNTIF(参考2女性!$C$5:$Q$52,A6)</f>
        <v>0</v>
      </c>
      <c r="G6" s="271">
        <f>E6+F6</f>
        <v>0</v>
      </c>
      <c r="H6" s="271">
        <f>COUNTIF(参考3パート嘱託!$C$4:$Q$69,B6)</f>
        <v>0</v>
      </c>
      <c r="I6" s="271">
        <f>SUM(G6:H6)</f>
        <v>0</v>
      </c>
      <c r="J6" s="271"/>
      <c r="K6" s="277">
        <f>G6+H6+J6</f>
        <v>0</v>
      </c>
    </row>
    <row r="7" spans="1:11" ht="16.5" hidden="1" customHeight="1">
      <c r="A7" s="77">
        <v>210</v>
      </c>
      <c r="B7" s="535">
        <v>211</v>
      </c>
      <c r="C7" s="537"/>
      <c r="D7" s="538" t="e">
        <f>VLOOKUP(A7,正社員!$P$3:$Q$20,2,FALSE)</f>
        <v>#N/A</v>
      </c>
      <c r="E7" s="271">
        <f>COUNTIF(参考1男性!$C$5:$P$367,A7)</f>
        <v>0</v>
      </c>
      <c r="F7" s="271">
        <f>COUNTIF(参考2女性!$C$5:$Q$52,A7)</f>
        <v>0</v>
      </c>
      <c r="G7" s="271">
        <f>E7+F7</f>
        <v>0</v>
      </c>
      <c r="H7" s="271">
        <f>COUNTIF(参考3パート嘱託!$C$4:$Q$69,B7)</f>
        <v>0</v>
      </c>
      <c r="I7" s="271">
        <f t="shared" ref="I7" si="0">SUM(G7:H7)</f>
        <v>0</v>
      </c>
      <c r="J7" s="271"/>
      <c r="K7" s="277">
        <f>G7+H7+J7</f>
        <v>0</v>
      </c>
    </row>
    <row r="8" spans="1:11">
      <c r="A8" s="75">
        <v>10000</v>
      </c>
      <c r="B8" s="46">
        <v>10020</v>
      </c>
      <c r="C8" s="548" t="s">
        <v>651</v>
      </c>
      <c r="D8" s="549"/>
      <c r="E8" s="549"/>
      <c r="F8" s="549"/>
      <c r="G8" s="549"/>
      <c r="H8" s="549"/>
      <c r="I8" s="549"/>
      <c r="J8" s="549"/>
      <c r="K8" s="286">
        <v>12</v>
      </c>
    </row>
    <row r="9" spans="1:11">
      <c r="A9" s="75">
        <v>11000</v>
      </c>
      <c r="B9" s="46">
        <v>11020</v>
      </c>
      <c r="C9" s="278"/>
      <c r="D9" s="538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538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48" t="s">
        <v>655</v>
      </c>
      <c r="D11" s="549"/>
      <c r="E11" s="549"/>
      <c r="F11" s="549"/>
      <c r="G11" s="549"/>
      <c r="H11" s="549"/>
      <c r="I11" s="549"/>
      <c r="J11" s="549"/>
      <c r="K11" s="288">
        <v>11</v>
      </c>
    </row>
    <row r="12" spans="1:11">
      <c r="A12" s="76">
        <v>1000</v>
      </c>
      <c r="B12" s="46">
        <v>1020</v>
      </c>
      <c r="C12" s="278"/>
      <c r="D12" s="538" t="s">
        <v>218</v>
      </c>
      <c r="E12" s="271">
        <v>9</v>
      </c>
      <c r="F12" s="271">
        <v>1</v>
      </c>
      <c r="G12" s="271">
        <v>10</v>
      </c>
      <c r="H12" s="271">
        <v>1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50" t="s">
        <v>641</v>
      </c>
      <c r="D13" s="551"/>
      <c r="E13" s="551"/>
      <c r="F13" s="551"/>
      <c r="G13" s="551"/>
      <c r="H13" s="551"/>
      <c r="I13" s="551"/>
      <c r="J13" s="551"/>
      <c r="K13" s="289">
        <v>15</v>
      </c>
    </row>
    <row r="14" spans="1:11">
      <c r="A14" s="76"/>
      <c r="B14" s="56"/>
      <c r="C14" s="279"/>
      <c r="D14" s="538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538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538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42" t="s">
        <v>654</v>
      </c>
      <c r="D18" s="543"/>
      <c r="E18" s="543"/>
      <c r="F18" s="543"/>
      <c r="G18" s="543"/>
      <c r="H18" s="543"/>
      <c r="I18" s="543"/>
      <c r="J18" s="543"/>
      <c r="K18" s="290">
        <v>21</v>
      </c>
    </row>
    <row r="19" spans="1:15">
      <c r="A19" s="75">
        <v>80000</v>
      </c>
      <c r="B19" s="46">
        <v>80020</v>
      </c>
      <c r="C19" s="586" t="s">
        <v>643</v>
      </c>
      <c r="D19" s="538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538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540" t="s">
        <v>647</v>
      </c>
      <c r="D21" s="538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42" t="s">
        <v>653</v>
      </c>
      <c r="D22" s="543"/>
      <c r="E22" s="543"/>
      <c r="F22" s="543"/>
      <c r="G22" s="543"/>
      <c r="H22" s="543"/>
      <c r="I22" s="543"/>
      <c r="J22" s="543"/>
      <c r="K22" s="287">
        <v>50</v>
      </c>
    </row>
    <row r="23" spans="1:15">
      <c r="A23" s="75">
        <v>42111</v>
      </c>
      <c r="B23" s="46">
        <v>42121</v>
      </c>
      <c r="C23" s="278"/>
      <c r="D23" s="538" t="s">
        <v>172</v>
      </c>
      <c r="E23" s="271">
        <v>38</v>
      </c>
      <c r="F23" s="271">
        <v>3</v>
      </c>
      <c r="G23" s="271">
        <v>41</v>
      </c>
      <c r="H23" s="271"/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548" t="s">
        <v>645</v>
      </c>
      <c r="D24" s="549"/>
      <c r="E24" s="549"/>
      <c r="F24" s="549"/>
      <c r="G24" s="549"/>
      <c r="H24" s="549"/>
      <c r="I24" s="549"/>
      <c r="J24" s="549"/>
      <c r="K24" s="286">
        <v>376</v>
      </c>
    </row>
    <row r="25" spans="1:15">
      <c r="A25" s="75">
        <v>42211</v>
      </c>
      <c r="B25" s="46">
        <v>42221</v>
      </c>
      <c r="C25" s="546" t="s">
        <v>620</v>
      </c>
      <c r="D25" s="547"/>
      <c r="E25" s="273">
        <v>129</v>
      </c>
      <c r="F25" s="273">
        <v>11</v>
      </c>
      <c r="G25" s="273">
        <v>140</v>
      </c>
      <c r="H25" s="273">
        <v>34</v>
      </c>
      <c r="I25" s="273">
        <v>174</v>
      </c>
      <c r="J25" s="273">
        <v>0</v>
      </c>
      <c r="K25" s="281">
        <v>174</v>
      </c>
      <c r="L25" s="94"/>
    </row>
    <row r="26" spans="1:15">
      <c r="A26" s="75">
        <v>42011</v>
      </c>
      <c r="B26" s="46">
        <v>42021</v>
      </c>
      <c r="C26" s="586"/>
      <c r="D26" s="538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538" t="s">
        <v>349</v>
      </c>
      <c r="E27" s="271">
        <v>18</v>
      </c>
      <c r="F27" s="271">
        <v>0</v>
      </c>
      <c r="G27" s="271">
        <v>18</v>
      </c>
      <c r="H27" s="271">
        <v>3</v>
      </c>
      <c r="I27" s="271">
        <v>21</v>
      </c>
      <c r="J27" s="285"/>
      <c r="K27" s="277">
        <v>21</v>
      </c>
    </row>
    <row r="28" spans="1:15">
      <c r="A28" s="75">
        <v>43211</v>
      </c>
      <c r="B28" s="46">
        <v>43221</v>
      </c>
      <c r="C28" s="576"/>
      <c r="D28" s="538" t="s">
        <v>258</v>
      </c>
      <c r="E28" s="271">
        <v>23</v>
      </c>
      <c r="F28" s="271">
        <v>0</v>
      </c>
      <c r="G28" s="271">
        <v>23</v>
      </c>
      <c r="H28" s="271">
        <v>5</v>
      </c>
      <c r="I28" s="271">
        <v>28</v>
      </c>
      <c r="J28" s="285"/>
      <c r="K28" s="277">
        <v>28</v>
      </c>
    </row>
    <row r="29" spans="1:15">
      <c r="A29" s="75">
        <v>43311</v>
      </c>
      <c r="B29" s="46">
        <v>43321</v>
      </c>
      <c r="C29" s="571"/>
      <c r="D29" s="538" t="s">
        <v>305</v>
      </c>
      <c r="E29" s="271">
        <v>16</v>
      </c>
      <c r="F29" s="271">
        <v>2</v>
      </c>
      <c r="G29" s="271">
        <v>18</v>
      </c>
      <c r="H29" s="271">
        <v>3</v>
      </c>
      <c r="I29" s="271">
        <v>21</v>
      </c>
      <c r="J29" s="285"/>
      <c r="K29" s="277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538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538"/>
      <c r="E31" s="271"/>
      <c r="F31" s="271"/>
      <c r="G31" s="271"/>
      <c r="H31" s="271"/>
      <c r="I31" s="271"/>
      <c r="J31" s="285"/>
      <c r="K31" s="277"/>
      <c r="L31" s="539"/>
      <c r="M31" s="539"/>
      <c r="N31" s="539"/>
      <c r="O31" s="539"/>
    </row>
    <row r="32" spans="1:15">
      <c r="A32" s="75">
        <v>40400</v>
      </c>
      <c r="B32" s="46">
        <v>40420</v>
      </c>
      <c r="C32" s="571"/>
      <c r="D32" s="538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34000</v>
      </c>
      <c r="B33" s="46">
        <v>34020</v>
      </c>
      <c r="C33" s="571"/>
      <c r="D33" s="538" t="s">
        <v>290</v>
      </c>
      <c r="E33" s="271">
        <v>12</v>
      </c>
      <c r="F33" s="271">
        <v>0</v>
      </c>
      <c r="G33" s="271">
        <v>12</v>
      </c>
      <c r="H33" s="271">
        <v>1</v>
      </c>
      <c r="I33" s="271">
        <v>13</v>
      </c>
      <c r="J33" s="285"/>
      <c r="K33" s="277">
        <v>13</v>
      </c>
    </row>
    <row r="34" spans="1:14">
      <c r="A34" s="76">
        <v>40000</v>
      </c>
      <c r="B34" s="56">
        <v>40020</v>
      </c>
      <c r="C34" s="571"/>
      <c r="D34" s="538" t="s">
        <v>674</v>
      </c>
      <c r="E34" s="271">
        <v>9</v>
      </c>
      <c r="F34" s="271">
        <v>0</v>
      </c>
      <c r="G34" s="271">
        <v>9</v>
      </c>
      <c r="H34" s="271">
        <v>0</v>
      </c>
      <c r="I34" s="271">
        <v>9</v>
      </c>
      <c r="J34" s="285"/>
      <c r="K34" s="277">
        <v>9</v>
      </c>
    </row>
    <row r="35" spans="1:14">
      <c r="A35" s="75">
        <v>67211</v>
      </c>
      <c r="B35" s="46">
        <v>67221</v>
      </c>
      <c r="C35" s="571"/>
      <c r="D35" s="538" t="s">
        <v>364</v>
      </c>
      <c r="E35" s="271">
        <v>9</v>
      </c>
      <c r="F35" s="271">
        <v>7</v>
      </c>
      <c r="G35" s="271">
        <v>16</v>
      </c>
      <c r="H35" s="271">
        <v>6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538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538" t="s">
        <v>103</v>
      </c>
      <c r="E37" s="271">
        <v>8</v>
      </c>
      <c r="F37" s="271">
        <v>0</v>
      </c>
      <c r="G37" s="271">
        <v>8</v>
      </c>
      <c r="H37" s="271">
        <v>4</v>
      </c>
      <c r="I37" s="271">
        <v>12</v>
      </c>
      <c r="J37" s="285"/>
      <c r="K37" s="277">
        <v>12</v>
      </c>
    </row>
    <row r="38" spans="1:14">
      <c r="A38" s="75">
        <v>69111</v>
      </c>
      <c r="B38" s="46">
        <v>69121</v>
      </c>
      <c r="C38" s="571"/>
      <c r="D38" s="538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537"/>
      <c r="D39" s="538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538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46" t="s">
        <v>619</v>
      </c>
      <c r="D41" s="547"/>
      <c r="E41" s="273">
        <v>101</v>
      </c>
      <c r="F41" s="273">
        <v>10</v>
      </c>
      <c r="G41" s="273">
        <v>111</v>
      </c>
      <c r="H41" s="273">
        <v>26</v>
      </c>
      <c r="I41" s="273">
        <v>137</v>
      </c>
      <c r="J41" s="273">
        <v>0</v>
      </c>
      <c r="K41" s="281">
        <v>137</v>
      </c>
    </row>
    <row r="42" spans="1:14">
      <c r="A42" s="75">
        <v>64211</v>
      </c>
      <c r="B42" s="46">
        <v>64221</v>
      </c>
      <c r="C42" s="586"/>
      <c r="D42" s="538" t="s">
        <v>476</v>
      </c>
      <c r="E42" s="271">
        <v>6</v>
      </c>
      <c r="F42" s="271">
        <v>0</v>
      </c>
      <c r="G42" s="271">
        <v>6</v>
      </c>
      <c r="H42" s="271">
        <v>3</v>
      </c>
      <c r="I42" s="271">
        <v>9</v>
      </c>
      <c r="J42" s="271"/>
      <c r="K42" s="277">
        <v>9</v>
      </c>
    </row>
    <row r="43" spans="1:14">
      <c r="A43" s="75">
        <v>67011</v>
      </c>
      <c r="B43" s="46">
        <v>67021</v>
      </c>
      <c r="C43" s="575"/>
      <c r="D43" s="538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538" t="s">
        <v>508</v>
      </c>
      <c r="E44" s="271">
        <v>2</v>
      </c>
      <c r="F44" s="271">
        <v>0</v>
      </c>
      <c r="G44" s="291">
        <v>2</v>
      </c>
      <c r="H44" s="271">
        <v>3</v>
      </c>
      <c r="I44" s="271">
        <v>5</v>
      </c>
      <c r="J44" s="271"/>
      <c r="K44" s="277">
        <v>5</v>
      </c>
    </row>
    <row r="45" spans="1:14">
      <c r="A45" s="75">
        <v>64311</v>
      </c>
      <c r="B45" s="46">
        <v>64321</v>
      </c>
      <c r="C45" s="576"/>
      <c r="D45" s="538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538" t="s">
        <v>416</v>
      </c>
      <c r="E46" s="271">
        <v>8</v>
      </c>
      <c r="F46" s="271">
        <v>0</v>
      </c>
      <c r="G46" s="271">
        <v>8</v>
      </c>
      <c r="H46" s="271">
        <v>3</v>
      </c>
      <c r="I46" s="271">
        <v>11</v>
      </c>
      <c r="J46" s="271"/>
      <c r="K46" s="277"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538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538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538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538" t="s">
        <v>466</v>
      </c>
      <c r="E50" s="271">
        <v>10</v>
      </c>
      <c r="F50" s="271">
        <v>0</v>
      </c>
      <c r="G50" s="271">
        <v>10</v>
      </c>
      <c r="H50" s="271">
        <v>2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538" t="s">
        <v>485</v>
      </c>
      <c r="E51" s="271">
        <v>3</v>
      </c>
      <c r="F51" s="271">
        <v>1</v>
      </c>
      <c r="G51" s="271">
        <v>4</v>
      </c>
      <c r="H51" s="271">
        <v>0</v>
      </c>
      <c r="I51" s="271">
        <v>4</v>
      </c>
      <c r="J51" s="271"/>
      <c r="K51" s="277">
        <v>4</v>
      </c>
    </row>
    <row r="52" spans="1:12">
      <c r="A52" s="75">
        <v>61300</v>
      </c>
      <c r="B52" s="46">
        <v>61320</v>
      </c>
      <c r="C52" s="571"/>
      <c r="D52" s="538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538" t="s">
        <v>489</v>
      </c>
      <c r="E53" s="271">
        <v>23</v>
      </c>
      <c r="F53" s="271">
        <v>1</v>
      </c>
      <c r="G53" s="271">
        <v>24</v>
      </c>
      <c r="H53" s="271">
        <v>3</v>
      </c>
      <c r="I53" s="271">
        <v>27</v>
      </c>
      <c r="J53" s="271"/>
      <c r="K53" s="277">
        <v>27</v>
      </c>
    </row>
    <row r="54" spans="1:12">
      <c r="A54" s="75">
        <v>44011</v>
      </c>
      <c r="B54" s="46">
        <v>44021</v>
      </c>
      <c r="C54" s="571"/>
      <c r="D54" s="538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538" t="s">
        <v>411</v>
      </c>
      <c r="E55" s="271">
        <v>2</v>
      </c>
      <c r="F55" s="271">
        <v>1</v>
      </c>
      <c r="G55" s="271">
        <v>3</v>
      </c>
      <c r="H55" s="271">
        <v>2</v>
      </c>
      <c r="I55" s="271">
        <v>5</v>
      </c>
      <c r="J55" s="271"/>
      <c r="K55" s="277">
        <v>5</v>
      </c>
    </row>
    <row r="56" spans="1:12">
      <c r="A56" s="75">
        <v>44511</v>
      </c>
      <c r="B56" s="46">
        <v>44521</v>
      </c>
      <c r="C56" s="571"/>
      <c r="D56" s="538" t="s">
        <v>433</v>
      </c>
      <c r="E56" s="271">
        <v>14</v>
      </c>
      <c r="F56" s="271">
        <v>1</v>
      </c>
      <c r="G56" s="271">
        <v>15</v>
      </c>
      <c r="H56" s="271">
        <v>4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538" t="s">
        <v>449</v>
      </c>
      <c r="E57" s="271">
        <v>11</v>
      </c>
      <c r="F57" s="271">
        <v>3</v>
      </c>
      <c r="G57" s="271">
        <v>14</v>
      </c>
      <c r="H57" s="271">
        <v>3</v>
      </c>
      <c r="I57" s="271">
        <v>17</v>
      </c>
      <c r="J57" s="271"/>
      <c r="K57" s="277">
        <v>17</v>
      </c>
    </row>
    <row r="58" spans="1:12">
      <c r="A58" s="75">
        <v>44200</v>
      </c>
      <c r="B58" s="46">
        <v>44220</v>
      </c>
      <c r="C58" s="278"/>
      <c r="D58" s="538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46" t="s">
        <v>618</v>
      </c>
      <c r="D59" s="547"/>
      <c r="E59" s="273">
        <v>31</v>
      </c>
      <c r="F59" s="273">
        <v>2</v>
      </c>
      <c r="G59" s="273">
        <v>33</v>
      </c>
      <c r="H59" s="273">
        <v>7</v>
      </c>
      <c r="I59" s="273">
        <v>40</v>
      </c>
      <c r="J59" s="273">
        <v>0</v>
      </c>
      <c r="K59" s="281">
        <v>40</v>
      </c>
      <c r="L59" s="94"/>
    </row>
    <row r="60" spans="1:12">
      <c r="A60" s="75">
        <v>20000</v>
      </c>
      <c r="B60" s="46">
        <v>20020</v>
      </c>
      <c r="C60" s="586" t="s">
        <v>625</v>
      </c>
      <c r="D60" s="538" t="s">
        <v>381</v>
      </c>
      <c r="E60" s="271">
        <v>2</v>
      </c>
      <c r="F60" s="271">
        <v>0</v>
      </c>
      <c r="G60" s="271">
        <v>2</v>
      </c>
      <c r="H60" s="271">
        <v>0</v>
      </c>
      <c r="I60" s="271">
        <v>2</v>
      </c>
      <c r="J60" s="271"/>
      <c r="K60" s="277">
        <v>2</v>
      </c>
    </row>
    <row r="61" spans="1:12">
      <c r="A61" s="75">
        <v>21000</v>
      </c>
      <c r="B61" s="46">
        <v>21020</v>
      </c>
      <c r="C61" s="575"/>
      <c r="D61" s="538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538" t="s">
        <v>389</v>
      </c>
      <c r="E62" s="271">
        <v>5</v>
      </c>
      <c r="F62" s="271">
        <v>0</v>
      </c>
      <c r="G62" s="271">
        <v>5</v>
      </c>
      <c r="H62" s="271">
        <v>2</v>
      </c>
      <c r="I62" s="271">
        <v>7</v>
      </c>
      <c r="J62" s="271"/>
      <c r="K62" s="277">
        <v>7</v>
      </c>
    </row>
    <row r="63" spans="1:12">
      <c r="A63" s="75">
        <v>60000</v>
      </c>
      <c r="B63" s="46">
        <v>60020</v>
      </c>
      <c r="C63" s="576"/>
      <c r="D63" s="538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537" t="s">
        <v>626</v>
      </c>
      <c r="D64" s="538" t="s">
        <v>114</v>
      </c>
      <c r="E64" s="271">
        <v>5</v>
      </c>
      <c r="F64" s="271">
        <v>2</v>
      </c>
      <c r="G64" s="271">
        <v>7</v>
      </c>
      <c r="H64" s="271">
        <v>2</v>
      </c>
      <c r="I64" s="271">
        <v>9</v>
      </c>
      <c r="J64" s="271"/>
      <c r="K64" s="277">
        <v>9</v>
      </c>
    </row>
    <row r="65" spans="1:12">
      <c r="A65" s="75">
        <v>60200</v>
      </c>
      <c r="B65" s="46">
        <v>60220</v>
      </c>
      <c r="C65" s="546" t="s">
        <v>616</v>
      </c>
      <c r="D65" s="547"/>
      <c r="E65" s="273">
        <v>13</v>
      </c>
      <c r="F65" s="273">
        <v>10</v>
      </c>
      <c r="G65" s="273">
        <v>23</v>
      </c>
      <c r="H65" s="273">
        <v>2</v>
      </c>
      <c r="I65" s="273">
        <v>25</v>
      </c>
      <c r="J65" s="273">
        <v>0</v>
      </c>
      <c r="K65" s="281">
        <v>25</v>
      </c>
      <c r="L65" s="94"/>
    </row>
    <row r="66" spans="1:12">
      <c r="A66" s="76"/>
      <c r="B66" s="56"/>
      <c r="C66" s="586" t="s">
        <v>643</v>
      </c>
      <c r="D66" s="538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3</v>
      </c>
      <c r="F67" s="271">
        <v>1</v>
      </c>
      <c r="G67" s="271">
        <v>4</v>
      </c>
      <c r="H67" s="271">
        <v>1</v>
      </c>
      <c r="I67" s="271">
        <v>5</v>
      </c>
      <c r="J67" s="271"/>
      <c r="K67" s="277">
        <v>5</v>
      </c>
    </row>
    <row r="68" spans="1:12">
      <c r="A68" s="75">
        <v>31000</v>
      </c>
      <c r="B68" s="46">
        <v>31020</v>
      </c>
      <c r="C68" s="576"/>
      <c r="D68" s="538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538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538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42" t="s">
        <v>652</v>
      </c>
      <c r="D72" s="543"/>
      <c r="E72" s="543"/>
      <c r="F72" s="543"/>
      <c r="G72" s="543"/>
      <c r="H72" s="543"/>
      <c r="I72" s="543"/>
      <c r="J72" s="543"/>
      <c r="K72" s="287">
        <v>49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7</v>
      </c>
      <c r="I73" s="273">
        <v>49</v>
      </c>
      <c r="J73" s="273">
        <v>0</v>
      </c>
      <c r="K73" s="281">
        <v>49</v>
      </c>
      <c r="L73" s="37"/>
    </row>
    <row r="74" spans="1:12">
      <c r="B74" s="56"/>
      <c r="C74" s="586" t="s">
        <v>643</v>
      </c>
      <c r="D74" s="538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538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575"/>
      <c r="D76" s="538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538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538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538" t="s">
        <v>158</v>
      </c>
      <c r="E79" s="271">
        <v>4</v>
      </c>
      <c r="F79" s="271">
        <v>1</v>
      </c>
      <c r="G79" s="271">
        <v>5</v>
      </c>
      <c r="H79" s="271">
        <v>4</v>
      </c>
      <c r="I79" s="271">
        <v>9</v>
      </c>
      <c r="J79" s="271"/>
      <c r="K79" s="277">
        <v>9</v>
      </c>
    </row>
    <row r="80" spans="1:12" ht="18.600000000000001" thickBot="1">
      <c r="C80" s="544" t="s">
        <v>642</v>
      </c>
      <c r="D80" s="545"/>
      <c r="E80" s="282">
        <v>392</v>
      </c>
      <c r="F80" s="282">
        <v>52</v>
      </c>
      <c r="G80" s="282">
        <v>444</v>
      </c>
      <c r="H80" s="282">
        <v>90</v>
      </c>
      <c r="I80" s="282">
        <v>534</v>
      </c>
      <c r="J80" s="282">
        <v>0</v>
      </c>
      <c r="K80" s="283">
        <v>534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534" t="s">
        <v>69</v>
      </c>
      <c r="F83" s="534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468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468" t="s">
        <v>849</v>
      </c>
      <c r="N86" s="264" t="s">
        <v>850</v>
      </c>
      <c r="O86" s="264" t="s">
        <v>851</v>
      </c>
      <c r="P86" s="264" t="s">
        <v>852</v>
      </c>
    </row>
    <row r="87" spans="3:16">
      <c r="C87" s="46" t="s">
        <v>1690</v>
      </c>
      <c r="D87" s="467" t="s">
        <v>1911</v>
      </c>
      <c r="L87" s="264" t="s">
        <v>853</v>
      </c>
      <c r="M87" s="264" t="s">
        <v>858</v>
      </c>
    </row>
    <row r="88" spans="3:16">
      <c r="C88" s="46" t="s">
        <v>1691</v>
      </c>
      <c r="D88" s="467" t="s">
        <v>1912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D89" s="467"/>
      <c r="M89" s="264" t="s">
        <v>1660</v>
      </c>
    </row>
    <row r="90" spans="3:16">
      <c r="C90" s="46" t="s">
        <v>1692</v>
      </c>
      <c r="D90" s="467" t="s">
        <v>1913</v>
      </c>
    </row>
    <row r="91" spans="3:16">
      <c r="C91" s="46" t="s">
        <v>1693</v>
      </c>
      <c r="D91" s="467"/>
    </row>
  </sheetData>
  <mergeCells count="36">
    <mergeCell ref="C19:C20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L46:N47"/>
    <mergeCell ref="C53:C55"/>
    <mergeCell ref="C56:C57"/>
    <mergeCell ref="C26:C28"/>
    <mergeCell ref="C29:C34"/>
    <mergeCell ref="L29:O30"/>
    <mergeCell ref="C35:C38"/>
    <mergeCell ref="C60:C63"/>
    <mergeCell ref="C66:C68"/>
    <mergeCell ref="C69:C71"/>
    <mergeCell ref="C42:C45"/>
    <mergeCell ref="C46:C52"/>
    <mergeCell ref="I82:I83"/>
    <mergeCell ref="J82:J83"/>
    <mergeCell ref="K82:K83"/>
    <mergeCell ref="C84:K84"/>
    <mergeCell ref="C73:D73"/>
    <mergeCell ref="C74:C77"/>
    <mergeCell ref="C78:C79"/>
    <mergeCell ref="C81:C83"/>
    <mergeCell ref="D81:K81"/>
    <mergeCell ref="D82:D83"/>
    <mergeCell ref="E82:F82"/>
    <mergeCell ref="G82:G83"/>
    <mergeCell ref="H82:H83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92"/>
  <sheetViews>
    <sheetView tabSelected="1" topLeftCell="A59" workbookViewId="0">
      <selection activeCell="H23" sqref="H23"/>
    </sheetView>
  </sheetViews>
  <sheetFormatPr defaultRowHeight="18"/>
  <cols>
    <col min="1" max="1" width="16.09765625" style="46" customWidth="1"/>
    <col min="2" max="3" width="11" style="46" customWidth="1"/>
    <col min="4" max="4" width="25.59765625" style="436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t="18" hidden="1" customHeight="1"/>
    <row r="2" spans="1:11" ht="6.75" customHeight="1" thickBot="1"/>
    <row r="3" spans="1:11">
      <c r="C3" s="441"/>
      <c r="D3" s="439" t="s">
        <v>689</v>
      </c>
      <c r="E3" s="439"/>
      <c r="F3" s="439"/>
      <c r="G3" s="439"/>
      <c r="H3" s="439"/>
      <c r="I3" s="439"/>
      <c r="J3" s="439"/>
      <c r="K3" s="440"/>
    </row>
    <row r="4" spans="1:11" ht="18" customHeight="1">
      <c r="A4" s="569" t="s">
        <v>610</v>
      </c>
      <c r="B4" s="435"/>
      <c r="C4" s="442"/>
      <c r="D4" s="437" t="s">
        <v>611</v>
      </c>
      <c r="E4" s="437" t="s">
        <v>612</v>
      </c>
      <c r="F4" s="437"/>
      <c r="G4" s="437" t="s">
        <v>614</v>
      </c>
      <c r="H4" s="437" t="s">
        <v>613</v>
      </c>
      <c r="I4" s="437" t="s">
        <v>622</v>
      </c>
      <c r="J4" s="448" t="s">
        <v>656</v>
      </c>
      <c r="K4" s="444" t="s">
        <v>623</v>
      </c>
    </row>
    <row r="5" spans="1:11" ht="18" customHeight="1">
      <c r="A5" s="569"/>
      <c r="B5" s="435"/>
      <c r="C5" s="443"/>
      <c r="D5" s="437"/>
      <c r="E5" s="437" t="s">
        <v>69</v>
      </c>
      <c r="F5" s="437" t="s">
        <v>650</v>
      </c>
      <c r="G5" s="437"/>
      <c r="H5" s="437"/>
      <c r="I5" s="437"/>
      <c r="J5" s="459"/>
      <c r="K5" s="444"/>
    </row>
    <row r="6" spans="1:11" ht="18" hidden="1" customHeight="1">
      <c r="A6" s="77">
        <v>200</v>
      </c>
      <c r="B6" s="435">
        <v>202</v>
      </c>
      <c r="C6" s="438"/>
      <c r="D6" s="437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435">
        <v>211</v>
      </c>
      <c r="C7" s="438"/>
      <c r="D7" s="437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454" t="s">
        <v>651</v>
      </c>
      <c r="D8" s="455"/>
      <c r="E8" s="455"/>
      <c r="F8" s="455"/>
      <c r="G8" s="455"/>
      <c r="H8" s="455"/>
      <c r="I8" s="455"/>
      <c r="J8" s="455"/>
      <c r="K8" s="286">
        <v>12</v>
      </c>
    </row>
    <row r="9" spans="1:11">
      <c r="A9" s="75">
        <v>11000</v>
      </c>
      <c r="B9" s="46">
        <v>11020</v>
      </c>
      <c r="C9" s="278"/>
      <c r="D9" s="437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437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454" t="s">
        <v>655</v>
      </c>
      <c r="D11" s="455"/>
      <c r="E11" s="455"/>
      <c r="F11" s="455"/>
      <c r="G11" s="455"/>
      <c r="H11" s="455"/>
      <c r="I11" s="455"/>
      <c r="J11" s="455"/>
      <c r="K11" s="288">
        <v>12</v>
      </c>
    </row>
    <row r="12" spans="1:11">
      <c r="A12" s="76">
        <v>1000</v>
      </c>
      <c r="B12" s="46">
        <v>1020</v>
      </c>
      <c r="C12" s="278"/>
      <c r="D12" s="437" t="s">
        <v>218</v>
      </c>
      <c r="E12" s="271">
        <v>9</v>
      </c>
      <c r="F12" s="271">
        <v>2</v>
      </c>
      <c r="G12" s="271">
        <v>11</v>
      </c>
      <c r="H12" s="271">
        <v>1</v>
      </c>
      <c r="I12" s="271">
        <v>12</v>
      </c>
      <c r="J12" s="271"/>
      <c r="K12" s="277">
        <v>12</v>
      </c>
    </row>
    <row r="13" spans="1:11">
      <c r="A13" s="75">
        <v>1100</v>
      </c>
      <c r="B13" s="46">
        <v>1120</v>
      </c>
      <c r="C13" s="460" t="s">
        <v>641</v>
      </c>
      <c r="D13" s="461"/>
      <c r="E13" s="461"/>
      <c r="F13" s="461"/>
      <c r="G13" s="461"/>
      <c r="H13" s="461"/>
      <c r="I13" s="461"/>
      <c r="J13" s="461"/>
      <c r="K13" s="289">
        <v>15</v>
      </c>
    </row>
    <row r="14" spans="1:11">
      <c r="A14" s="76"/>
      <c r="B14" s="56"/>
      <c r="C14" s="279"/>
      <c r="D14" s="437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437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437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452" t="s">
        <v>654</v>
      </c>
      <c r="D18" s="453"/>
      <c r="E18" s="453"/>
      <c r="F18" s="453"/>
      <c r="G18" s="453"/>
      <c r="H18" s="453"/>
      <c r="I18" s="453"/>
      <c r="J18" s="453"/>
      <c r="K18" s="290">
        <v>21</v>
      </c>
    </row>
    <row r="19" spans="1:15">
      <c r="A19" s="75">
        <v>80000</v>
      </c>
      <c r="B19" s="46">
        <v>80020</v>
      </c>
      <c r="C19" s="458" t="s">
        <v>643</v>
      </c>
      <c r="D19" s="437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443"/>
      <c r="D20" s="437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458" t="s">
        <v>647</v>
      </c>
      <c r="D21" s="437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452" t="s">
        <v>653</v>
      </c>
      <c r="D22" s="453"/>
      <c r="E22" s="453"/>
      <c r="F22" s="453"/>
      <c r="G22" s="453"/>
      <c r="H22" s="453"/>
      <c r="I22" s="453"/>
      <c r="J22" s="453"/>
      <c r="K22" s="287">
        <v>50</v>
      </c>
    </row>
    <row r="23" spans="1:15">
      <c r="A23" s="75">
        <v>42111</v>
      </c>
      <c r="B23" s="46">
        <v>42121</v>
      </c>
      <c r="C23" s="278"/>
      <c r="D23" s="437" t="s">
        <v>172</v>
      </c>
      <c r="E23" s="271">
        <v>38</v>
      </c>
      <c r="F23" s="271">
        <v>3</v>
      </c>
      <c r="G23" s="271">
        <v>41</v>
      </c>
      <c r="H23" s="271"/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454" t="s">
        <v>645</v>
      </c>
      <c r="D24" s="455"/>
      <c r="E24" s="455"/>
      <c r="F24" s="455"/>
      <c r="G24" s="455"/>
      <c r="H24" s="455"/>
      <c r="I24" s="455"/>
      <c r="J24" s="455"/>
      <c r="K24" s="286">
        <v>376</v>
      </c>
    </row>
    <row r="25" spans="1:15">
      <c r="A25" s="75">
        <v>42211</v>
      </c>
      <c r="B25" s="46">
        <v>42221</v>
      </c>
      <c r="C25" s="456" t="s">
        <v>620</v>
      </c>
      <c r="D25" s="457"/>
      <c r="E25" s="273">
        <v>131</v>
      </c>
      <c r="F25" s="273">
        <v>11</v>
      </c>
      <c r="G25" s="273">
        <v>142</v>
      </c>
      <c r="H25" s="273">
        <v>34</v>
      </c>
      <c r="I25" s="273">
        <v>176</v>
      </c>
      <c r="J25" s="273">
        <v>0</v>
      </c>
      <c r="K25" s="281">
        <v>176</v>
      </c>
      <c r="L25" s="94"/>
    </row>
    <row r="26" spans="1:15">
      <c r="A26" s="75">
        <v>42011</v>
      </c>
      <c r="B26" s="46">
        <v>42021</v>
      </c>
      <c r="C26" s="458"/>
      <c r="D26" s="437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442"/>
      <c r="D27" s="437" t="s">
        <v>349</v>
      </c>
      <c r="E27" s="271">
        <v>18</v>
      </c>
      <c r="F27" s="271">
        <v>0</v>
      </c>
      <c r="G27" s="271">
        <v>18</v>
      </c>
      <c r="H27" s="271">
        <v>3</v>
      </c>
      <c r="I27" s="271">
        <v>21</v>
      </c>
      <c r="J27" s="285"/>
      <c r="K27" s="277">
        <v>21</v>
      </c>
    </row>
    <row r="28" spans="1:15">
      <c r="A28" s="75">
        <v>43211</v>
      </c>
      <c r="B28" s="46">
        <v>43221</v>
      </c>
      <c r="C28" s="443"/>
      <c r="D28" s="437" t="s">
        <v>258</v>
      </c>
      <c r="E28" s="271">
        <v>23</v>
      </c>
      <c r="F28" s="271">
        <v>0</v>
      </c>
      <c r="G28" s="271">
        <v>23</v>
      </c>
      <c r="H28" s="271">
        <v>5</v>
      </c>
      <c r="I28" s="271">
        <v>28</v>
      </c>
      <c r="J28" s="285"/>
      <c r="K28" s="277">
        <v>28</v>
      </c>
    </row>
    <row r="29" spans="1:15">
      <c r="A29" s="75">
        <v>43311</v>
      </c>
      <c r="B29" s="46">
        <v>43321</v>
      </c>
      <c r="C29" s="438"/>
      <c r="D29" s="437" t="s">
        <v>305</v>
      </c>
      <c r="E29" s="271">
        <v>18</v>
      </c>
      <c r="F29" s="271">
        <v>2</v>
      </c>
      <c r="G29" s="271">
        <v>20</v>
      </c>
      <c r="H29" s="271">
        <v>3</v>
      </c>
      <c r="I29" s="271">
        <v>23</v>
      </c>
      <c r="J29" s="285"/>
      <c r="K29" s="277">
        <v>23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438"/>
      <c r="D30" s="437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438"/>
      <c r="D31" s="437"/>
      <c r="E31" s="271"/>
      <c r="F31" s="271"/>
      <c r="G31" s="271"/>
      <c r="H31" s="271"/>
      <c r="I31" s="271"/>
      <c r="J31" s="285"/>
      <c r="K31" s="277"/>
      <c r="L31" s="451"/>
      <c r="M31" s="451"/>
      <c r="N31" s="451"/>
      <c r="O31" s="451"/>
    </row>
    <row r="32" spans="1:15">
      <c r="A32" s="75">
        <v>40400</v>
      </c>
      <c r="B32" s="46">
        <v>40420</v>
      </c>
      <c r="C32" s="438"/>
      <c r="D32" s="437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34000</v>
      </c>
      <c r="B33" s="46">
        <v>34020</v>
      </c>
      <c r="C33" s="438"/>
      <c r="D33" s="437" t="s">
        <v>290</v>
      </c>
      <c r="E33" s="271">
        <v>12</v>
      </c>
      <c r="F33" s="271">
        <v>0</v>
      </c>
      <c r="G33" s="271">
        <v>12</v>
      </c>
      <c r="H33" s="271">
        <v>1</v>
      </c>
      <c r="I33" s="271">
        <v>13</v>
      </c>
      <c r="J33" s="285"/>
      <c r="K33" s="277">
        <v>13</v>
      </c>
    </row>
    <row r="34" spans="1:14">
      <c r="A34" s="76">
        <v>40000</v>
      </c>
      <c r="B34" s="56">
        <v>40020</v>
      </c>
      <c r="C34" s="438"/>
      <c r="D34" s="437" t="s">
        <v>674</v>
      </c>
      <c r="E34" s="271">
        <v>9</v>
      </c>
      <c r="F34" s="271">
        <v>0</v>
      </c>
      <c r="G34" s="271">
        <v>9</v>
      </c>
      <c r="H34" s="271">
        <v>0</v>
      </c>
      <c r="I34" s="271">
        <v>9</v>
      </c>
      <c r="J34" s="285"/>
      <c r="K34" s="277">
        <v>9</v>
      </c>
    </row>
    <row r="35" spans="1:14">
      <c r="A35" s="75">
        <v>67211</v>
      </c>
      <c r="B35" s="46">
        <v>67221</v>
      </c>
      <c r="C35" s="438"/>
      <c r="D35" s="437" t="s">
        <v>364</v>
      </c>
      <c r="E35" s="271">
        <v>9</v>
      </c>
      <c r="F35" s="271">
        <v>7</v>
      </c>
      <c r="G35" s="271">
        <v>16</v>
      </c>
      <c r="H35" s="271">
        <v>6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438"/>
      <c r="D36" s="437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438"/>
      <c r="D37" s="437" t="s">
        <v>103</v>
      </c>
      <c r="E37" s="271">
        <v>8</v>
      </c>
      <c r="F37" s="271">
        <v>0</v>
      </c>
      <c r="G37" s="271">
        <v>8</v>
      </c>
      <c r="H37" s="271">
        <v>4</v>
      </c>
      <c r="I37" s="271">
        <v>12</v>
      </c>
      <c r="J37" s="285"/>
      <c r="K37" s="277">
        <v>12</v>
      </c>
    </row>
    <row r="38" spans="1:14">
      <c r="A38" s="75">
        <v>69111</v>
      </c>
      <c r="B38" s="46">
        <v>69121</v>
      </c>
      <c r="C38" s="438"/>
      <c r="D38" s="437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438"/>
      <c r="D39" s="437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437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456" t="s">
        <v>619</v>
      </c>
      <c r="D41" s="457"/>
      <c r="E41" s="273">
        <v>99</v>
      </c>
      <c r="F41" s="273">
        <v>10</v>
      </c>
      <c r="G41" s="273">
        <v>109</v>
      </c>
      <c r="H41" s="273">
        <v>26</v>
      </c>
      <c r="I41" s="273">
        <v>135</v>
      </c>
      <c r="J41" s="273">
        <v>0</v>
      </c>
      <c r="K41" s="281">
        <v>135</v>
      </c>
    </row>
    <row r="42" spans="1:14">
      <c r="A42" s="75">
        <v>64211</v>
      </c>
      <c r="B42" s="46">
        <v>64221</v>
      </c>
      <c r="C42" s="458"/>
      <c r="D42" s="437" t="s">
        <v>476</v>
      </c>
      <c r="E42" s="271">
        <v>6</v>
      </c>
      <c r="F42" s="271">
        <v>0</v>
      </c>
      <c r="G42" s="271">
        <v>6</v>
      </c>
      <c r="H42" s="271">
        <v>3</v>
      </c>
      <c r="I42" s="271">
        <v>9</v>
      </c>
      <c r="J42" s="271"/>
      <c r="K42" s="277">
        <v>9</v>
      </c>
    </row>
    <row r="43" spans="1:14">
      <c r="A43" s="75">
        <v>67011</v>
      </c>
      <c r="B43" s="46">
        <v>67021</v>
      </c>
      <c r="C43" s="442"/>
      <c r="D43" s="437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442"/>
      <c r="D44" s="437" t="s">
        <v>508</v>
      </c>
      <c r="E44" s="271">
        <v>2</v>
      </c>
      <c r="F44" s="271">
        <v>0</v>
      </c>
      <c r="G44" s="291">
        <v>2</v>
      </c>
      <c r="H44" s="271">
        <v>3</v>
      </c>
      <c r="I44" s="271">
        <v>5</v>
      </c>
      <c r="J44" s="271"/>
      <c r="K44" s="277">
        <v>5</v>
      </c>
    </row>
    <row r="45" spans="1:14">
      <c r="A45" s="75">
        <v>64311</v>
      </c>
      <c r="B45" s="46">
        <v>64321</v>
      </c>
      <c r="C45" s="443"/>
      <c r="D45" s="437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438"/>
      <c r="D46" s="437" t="s">
        <v>416</v>
      </c>
      <c r="E46" s="271">
        <v>8</v>
      </c>
      <c r="F46" s="271">
        <v>0</v>
      </c>
      <c r="G46" s="271">
        <v>8</v>
      </c>
      <c r="H46" s="271">
        <v>3</v>
      </c>
      <c r="I46" s="271">
        <v>11</v>
      </c>
      <c r="J46" s="271"/>
      <c r="K46" s="277"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438"/>
      <c r="D47" s="437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438"/>
      <c r="D48" s="437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438"/>
      <c r="D49" s="437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438"/>
      <c r="D50" s="437" t="s">
        <v>466</v>
      </c>
      <c r="E50" s="271">
        <v>10</v>
      </c>
      <c r="F50" s="271">
        <v>0</v>
      </c>
      <c r="G50" s="271">
        <v>10</v>
      </c>
      <c r="H50" s="271">
        <v>2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438"/>
      <c r="D51" s="437" t="s">
        <v>485</v>
      </c>
      <c r="E51" s="271">
        <v>3</v>
      </c>
      <c r="F51" s="271">
        <v>1</v>
      </c>
      <c r="G51" s="271">
        <v>4</v>
      </c>
      <c r="H51" s="271">
        <v>0</v>
      </c>
      <c r="I51" s="271">
        <v>4</v>
      </c>
      <c r="J51" s="271"/>
      <c r="K51" s="277">
        <v>4</v>
      </c>
    </row>
    <row r="52" spans="1:12">
      <c r="A52" s="75">
        <v>61300</v>
      </c>
      <c r="B52" s="46">
        <v>61320</v>
      </c>
      <c r="C52" s="438"/>
      <c r="D52" s="437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438"/>
      <c r="D53" s="437" t="s">
        <v>489</v>
      </c>
      <c r="E53" s="271">
        <v>23</v>
      </c>
      <c r="F53" s="271">
        <v>1</v>
      </c>
      <c r="G53" s="271">
        <v>24</v>
      </c>
      <c r="H53" s="271">
        <v>3</v>
      </c>
      <c r="I53" s="271">
        <v>27</v>
      </c>
      <c r="J53" s="271"/>
      <c r="K53" s="277">
        <v>27</v>
      </c>
    </row>
    <row r="54" spans="1:12">
      <c r="A54" s="75">
        <v>44011</v>
      </c>
      <c r="B54" s="46">
        <v>44021</v>
      </c>
      <c r="C54" s="438"/>
      <c r="D54" s="437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438"/>
      <c r="D55" s="437" t="s">
        <v>411</v>
      </c>
      <c r="E55" s="271">
        <v>2</v>
      </c>
      <c r="F55" s="271">
        <v>1</v>
      </c>
      <c r="G55" s="271">
        <v>3</v>
      </c>
      <c r="H55" s="271">
        <v>2</v>
      </c>
      <c r="I55" s="271">
        <v>5</v>
      </c>
      <c r="J55" s="271"/>
      <c r="K55" s="277">
        <v>5</v>
      </c>
    </row>
    <row r="56" spans="1:12">
      <c r="A56" s="75">
        <v>44511</v>
      </c>
      <c r="B56" s="46">
        <v>44521</v>
      </c>
      <c r="C56" s="438"/>
      <c r="D56" s="437" t="s">
        <v>433</v>
      </c>
      <c r="E56" s="271">
        <v>12</v>
      </c>
      <c r="F56" s="271">
        <v>1</v>
      </c>
      <c r="G56" s="271">
        <v>13</v>
      </c>
      <c r="H56" s="271">
        <v>4</v>
      </c>
      <c r="I56" s="271">
        <v>17</v>
      </c>
      <c r="J56" s="271"/>
      <c r="K56" s="277">
        <v>17</v>
      </c>
    </row>
    <row r="57" spans="1:12">
      <c r="A57" s="75">
        <v>45111</v>
      </c>
      <c r="B57" s="46">
        <v>45121</v>
      </c>
      <c r="C57" s="438"/>
      <c r="D57" s="437" t="s">
        <v>449</v>
      </c>
      <c r="E57" s="271">
        <v>11</v>
      </c>
      <c r="F57" s="271">
        <v>3</v>
      </c>
      <c r="G57" s="271">
        <v>14</v>
      </c>
      <c r="H57" s="271">
        <v>3</v>
      </c>
      <c r="I57" s="271">
        <v>17</v>
      </c>
      <c r="J57" s="271"/>
      <c r="K57" s="277">
        <v>17</v>
      </c>
    </row>
    <row r="58" spans="1:12">
      <c r="A58" s="75">
        <v>44200</v>
      </c>
      <c r="B58" s="46">
        <v>44220</v>
      </c>
      <c r="C58" s="278"/>
      <c r="D58" s="437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456" t="s">
        <v>618</v>
      </c>
      <c r="D59" s="457"/>
      <c r="E59" s="273">
        <v>32</v>
      </c>
      <c r="F59" s="273">
        <v>2</v>
      </c>
      <c r="G59" s="273">
        <v>34</v>
      </c>
      <c r="H59" s="273">
        <v>7</v>
      </c>
      <c r="I59" s="273">
        <v>41</v>
      </c>
      <c r="J59" s="273">
        <v>0</v>
      </c>
      <c r="K59" s="281">
        <v>41</v>
      </c>
      <c r="L59" s="94"/>
    </row>
    <row r="60" spans="1:12">
      <c r="A60" s="75">
        <v>20000</v>
      </c>
      <c r="B60" s="46">
        <v>20020</v>
      </c>
      <c r="C60" s="458" t="s">
        <v>625</v>
      </c>
      <c r="D60" s="437" t="s">
        <v>381</v>
      </c>
      <c r="E60" s="271">
        <v>2</v>
      </c>
      <c r="F60" s="271">
        <v>0</v>
      </c>
      <c r="G60" s="271">
        <v>2</v>
      </c>
      <c r="H60" s="271">
        <v>0</v>
      </c>
      <c r="I60" s="271">
        <v>2</v>
      </c>
      <c r="J60" s="271"/>
      <c r="K60" s="277">
        <v>2</v>
      </c>
    </row>
    <row r="61" spans="1:12">
      <c r="A61" s="75">
        <v>21000</v>
      </c>
      <c r="B61" s="46">
        <v>21020</v>
      </c>
      <c r="C61" s="442"/>
      <c r="D61" s="437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442"/>
      <c r="D62" s="437" t="s">
        <v>389</v>
      </c>
      <c r="E62" s="271">
        <v>6</v>
      </c>
      <c r="F62" s="271">
        <v>0</v>
      </c>
      <c r="G62" s="271">
        <v>6</v>
      </c>
      <c r="H62" s="271">
        <v>2</v>
      </c>
      <c r="I62" s="271">
        <v>8</v>
      </c>
      <c r="J62" s="271"/>
      <c r="K62" s="277">
        <v>8</v>
      </c>
    </row>
    <row r="63" spans="1:12">
      <c r="A63" s="75">
        <v>60000</v>
      </c>
      <c r="B63" s="46">
        <v>60020</v>
      </c>
      <c r="C63" s="443"/>
      <c r="D63" s="437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438" t="s">
        <v>626</v>
      </c>
      <c r="D64" s="437" t="s">
        <v>114</v>
      </c>
      <c r="E64" s="271">
        <v>5</v>
      </c>
      <c r="F64" s="271">
        <v>2</v>
      </c>
      <c r="G64" s="271">
        <v>7</v>
      </c>
      <c r="H64" s="271">
        <v>2</v>
      </c>
      <c r="I64" s="271">
        <v>9</v>
      </c>
      <c r="J64" s="271"/>
      <c r="K64" s="277">
        <v>9</v>
      </c>
    </row>
    <row r="65" spans="1:12">
      <c r="A65" s="75">
        <v>60200</v>
      </c>
      <c r="B65" s="46">
        <v>60220</v>
      </c>
      <c r="C65" s="456" t="s">
        <v>616</v>
      </c>
      <c r="D65" s="457"/>
      <c r="E65" s="273">
        <v>12</v>
      </c>
      <c r="F65" s="273">
        <v>10</v>
      </c>
      <c r="G65" s="273">
        <v>22</v>
      </c>
      <c r="H65" s="273">
        <v>2</v>
      </c>
      <c r="I65" s="273">
        <v>24</v>
      </c>
      <c r="J65" s="273">
        <v>0</v>
      </c>
      <c r="K65" s="281">
        <v>24</v>
      </c>
      <c r="L65" s="94"/>
    </row>
    <row r="66" spans="1:12">
      <c r="A66" s="76"/>
      <c r="B66" s="56"/>
      <c r="C66" s="458" t="s">
        <v>643</v>
      </c>
      <c r="D66" s="437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442"/>
      <c r="D67" s="275" t="s">
        <v>638</v>
      </c>
      <c r="E67" s="271">
        <v>2</v>
      </c>
      <c r="F67" s="271">
        <v>1</v>
      </c>
      <c r="G67" s="271">
        <v>3</v>
      </c>
      <c r="H67" s="271">
        <v>1</v>
      </c>
      <c r="I67" s="271">
        <v>4</v>
      </c>
      <c r="J67" s="271"/>
      <c r="K67" s="277">
        <v>4</v>
      </c>
    </row>
    <row r="68" spans="1:12">
      <c r="A68" s="75">
        <v>31000</v>
      </c>
      <c r="B68" s="46">
        <v>31020</v>
      </c>
      <c r="C68" s="443"/>
      <c r="D68" s="437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458" t="s">
        <v>647</v>
      </c>
      <c r="D69" s="437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442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443"/>
      <c r="D71" s="437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452" t="s">
        <v>652</v>
      </c>
      <c r="D72" s="453"/>
      <c r="E72" s="453"/>
      <c r="F72" s="453"/>
      <c r="G72" s="453"/>
      <c r="H72" s="453"/>
      <c r="I72" s="453"/>
      <c r="J72" s="453"/>
      <c r="K72" s="287">
        <v>48</v>
      </c>
    </row>
    <row r="73" spans="1:12">
      <c r="C73" s="456" t="s">
        <v>617</v>
      </c>
      <c r="D73" s="457"/>
      <c r="E73" s="273">
        <v>38</v>
      </c>
      <c r="F73" s="273">
        <v>4</v>
      </c>
      <c r="G73" s="273">
        <v>42</v>
      </c>
      <c r="H73" s="273">
        <v>6</v>
      </c>
      <c r="I73" s="273">
        <v>48</v>
      </c>
      <c r="J73" s="273">
        <v>0</v>
      </c>
      <c r="K73" s="281">
        <v>48</v>
      </c>
      <c r="L73" s="37"/>
    </row>
    <row r="74" spans="1:12">
      <c r="B74" s="56"/>
      <c r="C74" s="458" t="s">
        <v>643</v>
      </c>
      <c r="D74" s="437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442"/>
      <c r="D75" s="437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442"/>
      <c r="D76" s="437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443"/>
      <c r="D77" s="437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458" t="s">
        <v>647</v>
      </c>
      <c r="D78" s="437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443"/>
      <c r="D79" s="437" t="s">
        <v>158</v>
      </c>
      <c r="E79" s="271">
        <v>4</v>
      </c>
      <c r="F79" s="271">
        <v>1</v>
      </c>
      <c r="G79" s="271">
        <v>5</v>
      </c>
      <c r="H79" s="271">
        <v>3</v>
      </c>
      <c r="I79" s="271">
        <v>8</v>
      </c>
      <c r="J79" s="271"/>
      <c r="K79" s="277">
        <v>8</v>
      </c>
    </row>
    <row r="80" spans="1:12" ht="18.600000000000001" thickBot="1">
      <c r="C80" s="462" t="s">
        <v>642</v>
      </c>
      <c r="D80" s="463"/>
      <c r="E80" s="282">
        <v>392</v>
      </c>
      <c r="F80" s="282">
        <v>53</v>
      </c>
      <c r="G80" s="282">
        <v>445</v>
      </c>
      <c r="H80" s="282">
        <v>89</v>
      </c>
      <c r="I80" s="282">
        <v>534</v>
      </c>
      <c r="J80" s="282">
        <v>0</v>
      </c>
      <c r="K80" s="283">
        <v>534</v>
      </c>
      <c r="L80" s="94"/>
    </row>
    <row r="81" spans="3:16">
      <c r="C81" s="441"/>
      <c r="D81" s="439" t="s">
        <v>685</v>
      </c>
      <c r="E81" s="439"/>
      <c r="F81" s="439"/>
      <c r="G81" s="439"/>
      <c r="H81" s="439"/>
      <c r="I81" s="439"/>
      <c r="J81" s="439"/>
      <c r="K81" s="440"/>
      <c r="L81" s="37"/>
    </row>
    <row r="82" spans="3:16" ht="18" customHeight="1">
      <c r="C82" s="442"/>
      <c r="D82" s="437" t="s">
        <v>611</v>
      </c>
      <c r="E82" s="437" t="s">
        <v>612</v>
      </c>
      <c r="F82" s="437"/>
      <c r="G82" s="437" t="s">
        <v>614</v>
      </c>
      <c r="H82" s="437" t="s">
        <v>613</v>
      </c>
      <c r="I82" s="437" t="s">
        <v>622</v>
      </c>
      <c r="J82" s="448" t="s">
        <v>656</v>
      </c>
      <c r="K82" s="444" t="s">
        <v>623</v>
      </c>
      <c r="L82" s="37"/>
    </row>
    <row r="83" spans="3:16" ht="15.75" customHeight="1" thickBot="1">
      <c r="C83" s="447"/>
      <c r="D83" s="434"/>
      <c r="E83" s="434" t="s">
        <v>69</v>
      </c>
      <c r="F83" s="434" t="s">
        <v>650</v>
      </c>
      <c r="G83" s="434"/>
      <c r="H83" s="434"/>
      <c r="I83" s="434"/>
      <c r="J83" s="449"/>
      <c r="K83" s="450"/>
      <c r="L83" s="37"/>
    </row>
    <row r="84" spans="3:16">
      <c r="C84" s="445" t="s">
        <v>811</v>
      </c>
      <c r="D84" s="446"/>
      <c r="E84" s="446"/>
      <c r="F84" s="446"/>
      <c r="G84" s="446"/>
      <c r="H84" s="446"/>
      <c r="I84" s="446"/>
      <c r="J84" s="446"/>
      <c r="K84" s="446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436" t="s">
        <v>1682</v>
      </c>
      <c r="L87" s="264" t="s">
        <v>853</v>
      </c>
      <c r="M87" s="264" t="s">
        <v>858</v>
      </c>
    </row>
    <row r="88" spans="3:16">
      <c r="D88" s="436" t="s">
        <v>1681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M89" s="264" t="s">
        <v>1660</v>
      </c>
    </row>
    <row r="90" spans="3:16">
      <c r="D90" s="436" t="s">
        <v>1687</v>
      </c>
    </row>
    <row r="91" spans="3:16">
      <c r="D91" s="436" t="s">
        <v>1688</v>
      </c>
    </row>
    <row r="92" spans="3:16">
      <c r="D92" s="436" t="s">
        <v>1689</v>
      </c>
    </row>
  </sheetData>
  <mergeCells count="3">
    <mergeCell ref="L46:N47"/>
    <mergeCell ref="L29:O30"/>
    <mergeCell ref="A4:A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91"/>
  <sheetViews>
    <sheetView tabSelected="1" topLeftCell="A2" workbookViewId="0">
      <selection activeCell="H23" sqref="H23"/>
    </sheetView>
  </sheetViews>
  <sheetFormatPr defaultRowHeight="18"/>
  <cols>
    <col min="1" max="1" width="16.09765625" style="46" customWidth="1"/>
    <col min="2" max="3" width="11" style="46" customWidth="1"/>
    <col min="4" max="4" width="25.59765625" style="66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6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65"/>
      <c r="C5" s="576"/>
      <c r="D5" s="577"/>
      <c r="E5" s="98" t="s">
        <v>69</v>
      </c>
      <c r="F5" s="9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65">
        <v>202</v>
      </c>
      <c r="C6" s="99"/>
      <c r="D6" s="98" t="e">
        <f>VLOOKUP(A6,正社員!$P$3:$Q$20,2,FALSE)</f>
        <v>#N/A</v>
      </c>
      <c r="E6" s="22">
        <f>COUNTIF(参考1男性!$C$5:$P$367,A6)</f>
        <v>0</v>
      </c>
      <c r="F6" s="22">
        <f>COUNTIF(参考2女性!$C$5:$Q$52,A6)</f>
        <v>0</v>
      </c>
      <c r="G6" s="22">
        <f>E6+F6</f>
        <v>0</v>
      </c>
      <c r="H6" s="22">
        <f>COUNTIF(参考3パート嘱託!$C$4:$Q$69,B6)</f>
        <v>0</v>
      </c>
      <c r="I6" s="22">
        <f>SUM(G6:H6)</f>
        <v>0</v>
      </c>
      <c r="J6" s="22"/>
      <c r="K6" s="83">
        <f>G6+H6+J6</f>
        <v>0</v>
      </c>
    </row>
    <row r="7" spans="1:11" ht="16.5" hidden="1" customHeight="1">
      <c r="A7" s="77">
        <v>210</v>
      </c>
      <c r="B7" s="65">
        <v>211</v>
      </c>
      <c r="C7" s="99"/>
      <c r="D7" s="98" t="e">
        <f>VLOOKUP(A7,正社員!$P$3:$Q$20,2,FALSE)</f>
        <v>#N/A</v>
      </c>
      <c r="E7" s="22">
        <f>COUNTIF(参考1男性!$C$5:$P$367,A7)</f>
        <v>0</v>
      </c>
      <c r="F7" s="22">
        <f>COUNTIF(参考2女性!$C$5:$Q$52,A7)</f>
        <v>0</v>
      </c>
      <c r="G7" s="22">
        <f>E7+F7</f>
        <v>0</v>
      </c>
      <c r="H7" s="22">
        <f>COUNTIF(参考3パート嘱託!$C$4:$Q$69,B7)</f>
        <v>0</v>
      </c>
      <c r="I7" s="22">
        <f t="shared" ref="I7:I16" si="0">SUM(G7:H7)</f>
        <v>0</v>
      </c>
      <c r="J7" s="22"/>
      <c r="K7" s="83">
        <f>G7+H7+J7</f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f>SUM(K9:K10)</f>
        <v>12</v>
      </c>
    </row>
    <row r="9" spans="1:11">
      <c r="A9" s="75">
        <v>11000</v>
      </c>
      <c r="B9" s="46">
        <v>11020</v>
      </c>
      <c r="C9" s="84"/>
      <c r="D9" s="98" t="str">
        <f>VLOOKUP(A8,正社員!$P$3:$Q$20,2,FALSE)</f>
        <v>営業部</v>
      </c>
      <c r="E9" s="22">
        <f>COUNTIF(参考1男性!$C$5:$Q$5533,A8)</f>
        <v>7</v>
      </c>
      <c r="F9" s="22">
        <f>COUNTIF(参考2女性!$C$5:$Q$551,A8)</f>
        <v>4</v>
      </c>
      <c r="G9" s="22">
        <f>E9+F9</f>
        <v>11</v>
      </c>
      <c r="H9" s="22">
        <f>COUNTIF(参考3パート嘱託!$C$4:$Q$812,B8)</f>
        <v>1</v>
      </c>
      <c r="I9" s="22">
        <f t="shared" si="0"/>
        <v>12</v>
      </c>
      <c r="J9" s="22"/>
      <c r="K9" s="83">
        <f>G9+H9+J9</f>
        <v>12</v>
      </c>
    </row>
    <row r="10" spans="1:11">
      <c r="A10" s="75">
        <v>90000</v>
      </c>
      <c r="B10" s="46">
        <v>90020</v>
      </c>
      <c r="C10" s="84"/>
      <c r="D10" s="98" t="s">
        <v>644</v>
      </c>
      <c r="E10" s="271">
        <f>COUNTIF(参考1男性!$C$5:$Q$5533,A9)</f>
        <v>0</v>
      </c>
      <c r="F10" s="22">
        <f>COUNTIF(参考2女性!$C$5:$Q$551,A9)</f>
        <v>0</v>
      </c>
      <c r="G10" s="22">
        <f>E10+F10</f>
        <v>0</v>
      </c>
      <c r="H10" s="22">
        <f>COUNTIF(参考3パート嘱託!$C$4:$Q$812,B9)</f>
        <v>0</v>
      </c>
      <c r="I10" s="22">
        <f t="shared" si="0"/>
        <v>0</v>
      </c>
      <c r="J10" s="22"/>
      <c r="K10" s="83">
        <f>G10+H10+J10</f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f>SUM(K12)</f>
        <v>11</v>
      </c>
    </row>
    <row r="12" spans="1:11">
      <c r="A12" s="76">
        <v>1000</v>
      </c>
      <c r="B12" s="46">
        <v>1020</v>
      </c>
      <c r="C12" s="84"/>
      <c r="D12" s="98" t="str">
        <f>VLOOKUP(A10,正社員!$P$39:$Q$195,2,FALSE)</f>
        <v>資材部</v>
      </c>
      <c r="E12" s="22">
        <f>COUNTIF(参考1男性!$C$5:$P$3366,A10)</f>
        <v>9</v>
      </c>
      <c r="F12" s="22">
        <f>COUNTIF(参考2女性!$C$5:$Q$551,A10)</f>
        <v>1</v>
      </c>
      <c r="G12" s="22">
        <f>E12+F12</f>
        <v>10</v>
      </c>
      <c r="H12" s="22">
        <f>COUNTIF(参考3パート嘱託!$C$4:$Q$812,B10)</f>
        <v>1</v>
      </c>
      <c r="I12" s="22">
        <f t="shared" si="0"/>
        <v>11</v>
      </c>
      <c r="J12" s="22"/>
      <c r="K12" s="83">
        <f>G12+H12+J12</f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f>SUM(K14:K16)</f>
        <v>15</v>
      </c>
    </row>
    <row r="14" spans="1:11">
      <c r="A14" s="76"/>
      <c r="B14" s="56"/>
      <c r="C14" s="85"/>
      <c r="D14" s="98" t="s">
        <v>648</v>
      </c>
      <c r="E14" s="22">
        <f>COUNTIF(参考1男性!$C$5:$P$3986,A11)</f>
        <v>2</v>
      </c>
      <c r="F14" s="22">
        <f>COUNTIF(参考2女性!$C$5:$Q$524,A11)</f>
        <v>2</v>
      </c>
      <c r="G14" s="22">
        <f>E14+F14</f>
        <v>4</v>
      </c>
      <c r="H14" s="22">
        <f>COUNTIF(参考3パート嘱託!$C$4:$Q$377,B11)</f>
        <v>1</v>
      </c>
      <c r="I14" s="22">
        <f t="shared" si="0"/>
        <v>5</v>
      </c>
      <c r="J14" s="22"/>
      <c r="K14" s="83">
        <f>G14+H14+J14</f>
        <v>5</v>
      </c>
    </row>
    <row r="15" spans="1:11">
      <c r="A15" s="75">
        <v>50000</v>
      </c>
      <c r="B15" s="46">
        <v>50020</v>
      </c>
      <c r="C15" s="85"/>
      <c r="D15" s="98" t="str">
        <f>VLOOKUP(A12,正社員!$P$3:$Q$20,2,FALSE)</f>
        <v>総務部</v>
      </c>
      <c r="E15" s="22">
        <f>COUNTIF(参考1男性!$C$5:$P$3986,A12)</f>
        <v>5</v>
      </c>
      <c r="F15" s="22">
        <f>COUNTIF(参考2女性!$C$5:$Q$551,A12)</f>
        <v>1</v>
      </c>
      <c r="G15" s="22">
        <f>E15+F15</f>
        <v>6</v>
      </c>
      <c r="H15" s="271">
        <f>COUNTIF(参考3パート嘱託!$C$4:$Q$962,B12)</f>
        <v>1</v>
      </c>
      <c r="I15" s="22">
        <f t="shared" si="0"/>
        <v>7</v>
      </c>
      <c r="J15" s="22"/>
      <c r="K15" s="83">
        <f>G15+H15+J15</f>
        <v>7</v>
      </c>
    </row>
    <row r="16" spans="1:11">
      <c r="A16" s="75">
        <v>51000</v>
      </c>
      <c r="B16" s="46">
        <v>51020</v>
      </c>
      <c r="C16" s="85"/>
      <c r="D16" s="98" t="str">
        <f>VLOOKUP(A13,正社員!$P$3:$Q$20,2,FALSE)</f>
        <v>総務部羽生総務課</v>
      </c>
      <c r="E16" s="22">
        <f>COUNTIF(参考1男性!$C$5:$P$3986,A13)</f>
        <v>1</v>
      </c>
      <c r="F16" s="22">
        <f>COUNTIF(参考2女性!$C$5:$Q$551,A13)</f>
        <v>1</v>
      </c>
      <c r="G16" s="22">
        <f>E16+F16</f>
        <v>2</v>
      </c>
      <c r="H16" s="271">
        <f>COUNTIF(参考3パート嘱託!$C$4:$Q$962,B13)</f>
        <v>1</v>
      </c>
      <c r="I16" s="22">
        <f t="shared" si="0"/>
        <v>3</v>
      </c>
      <c r="J16" s="22"/>
      <c r="K16" s="83">
        <f>G16+H16+J16</f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f>SUM(E15:E16)</f>
        <v>6</v>
      </c>
      <c r="F17" s="78">
        <f t="shared" ref="F17:K17" si="1">SUM(F15:F16)</f>
        <v>2</v>
      </c>
      <c r="G17" s="78">
        <f t="shared" si="1"/>
        <v>8</v>
      </c>
      <c r="H17" s="78">
        <f t="shared" si="1"/>
        <v>2</v>
      </c>
      <c r="I17" s="78">
        <f t="shared" si="1"/>
        <v>10</v>
      </c>
      <c r="J17" s="78">
        <f t="shared" si="1"/>
        <v>0</v>
      </c>
      <c r="K17" s="87">
        <f t="shared" si="1"/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f>SUM(K19:K21)</f>
        <v>21</v>
      </c>
    </row>
    <row r="19" spans="1:15">
      <c r="A19" s="75">
        <v>80000</v>
      </c>
      <c r="B19" s="46">
        <v>80020</v>
      </c>
      <c r="C19" s="586" t="s">
        <v>643</v>
      </c>
      <c r="D19" s="98" t="str">
        <f>VLOOKUP(A15,正社員!$P$39:$Q$195,2,FALSE)</f>
        <v>品質保証部検査課</v>
      </c>
      <c r="E19" s="22">
        <f>COUNTIF(参考1男性!$C$5:$P$3366,A15)</f>
        <v>3</v>
      </c>
      <c r="F19" s="22">
        <f>COUNTIF(参考2女性!$C$5:$Q$551,A15)</f>
        <v>2</v>
      </c>
      <c r="G19" s="22">
        <f>E19+F19</f>
        <v>5</v>
      </c>
      <c r="H19" s="22">
        <f>COUNTIF(参考3パート嘱託!$C$4:$Q$917,B15)</f>
        <v>0</v>
      </c>
      <c r="I19" s="22">
        <f>SUM(G19:H19)</f>
        <v>5</v>
      </c>
      <c r="J19" s="22"/>
      <c r="K19" s="83">
        <f>G19+H19+J19</f>
        <v>5</v>
      </c>
    </row>
    <row r="20" spans="1:15">
      <c r="A20" s="75">
        <v>41111</v>
      </c>
      <c r="B20" s="46">
        <v>41121</v>
      </c>
      <c r="C20" s="576"/>
      <c r="D20" s="98" t="str">
        <f>VLOOKUP(A16,正社員!$P$39:$Q$195,2,FALSE)</f>
        <v>品質保証部品質管理課</v>
      </c>
      <c r="E20" s="22">
        <f>COUNTIF(参考1男性!$C$5:$P$3816,A16)</f>
        <v>6</v>
      </c>
      <c r="F20" s="22">
        <f>COUNTIF(参考2女性!$C$5:$Q$551,A16)</f>
        <v>0</v>
      </c>
      <c r="G20" s="22">
        <f>E20+F20</f>
        <v>6</v>
      </c>
      <c r="H20" s="271">
        <f>COUNTIF(参考3パート嘱託!$C$4:$Q$917,B16)</f>
        <v>0</v>
      </c>
      <c r="I20" s="22">
        <f>SUM(G20:H20)</f>
        <v>6</v>
      </c>
      <c r="J20" s="22"/>
      <c r="K20" s="83">
        <f>G20+H20+J20</f>
        <v>6</v>
      </c>
    </row>
    <row r="21" spans="1:15">
      <c r="A21" s="75">
        <v>43011</v>
      </c>
      <c r="B21" s="46">
        <v>43021</v>
      </c>
      <c r="C21" s="100" t="s">
        <v>647</v>
      </c>
      <c r="D21" s="98" t="str">
        <f>VLOOKUP(A17,正社員!$P$39:$Q$195,2,FALSE)</f>
        <v>品質保証部（羽生）</v>
      </c>
      <c r="E21" s="22">
        <f>COUNTIF(参考1男性!$C$5:$P$3816,A17)</f>
        <v>9</v>
      </c>
      <c r="F21" s="22">
        <f>COUNTIF(参考2女性!$C$5:$Q$551,A17)</f>
        <v>1</v>
      </c>
      <c r="G21" s="22">
        <f>E21+F21</f>
        <v>10</v>
      </c>
      <c r="H21" s="271">
        <f>COUNTIF(参考3パート嘱託!$C$4:$Q$917,B17)</f>
        <v>0</v>
      </c>
      <c r="I21" s="22">
        <f>SUM(G21:H21)</f>
        <v>10</v>
      </c>
      <c r="J21" s="22"/>
      <c r="K21" s="83">
        <f>G21+H21+J21</f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f>K23</f>
        <v>41</v>
      </c>
    </row>
    <row r="23" spans="1:15">
      <c r="A23" s="75">
        <v>42111</v>
      </c>
      <c r="B23" s="46">
        <v>42121</v>
      </c>
      <c r="C23" s="84"/>
      <c r="D23" s="98" t="str">
        <f>VLOOKUP(A19,正社員!$P$39:$Q$195,2,FALSE)</f>
        <v>ＮＥＬ</v>
      </c>
      <c r="E23" s="22">
        <f>COUNTIF(参考1男性!$C$5:$P$3816,A19)</f>
        <v>38</v>
      </c>
      <c r="F23" s="22">
        <f>COUNTIF(参考2女性!$C$5:$Q$551,A19)</f>
        <v>3</v>
      </c>
      <c r="G23" s="22">
        <f t="shared" ref="G23:G40" si="2">E23+F23</f>
        <v>41</v>
      </c>
      <c r="H23" s="22"/>
      <c r="I23" s="22">
        <f>SUM(G23:H23)</f>
        <v>41</v>
      </c>
      <c r="J23" s="22"/>
      <c r="K23" s="83">
        <f t="shared" ref="K23:K40" si="3">G23+H23+J23</f>
        <v>41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f>K25+K41+K59+K65</f>
        <v>376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f>SUM(E26:E40)</f>
        <v>129</v>
      </c>
      <c r="F25" s="78">
        <f t="shared" ref="F25:J25" si="4">SUM(F26:F40)</f>
        <v>11</v>
      </c>
      <c r="G25" s="78">
        <f t="shared" si="4"/>
        <v>140</v>
      </c>
      <c r="H25" s="78">
        <f t="shared" si="4"/>
        <v>34</v>
      </c>
      <c r="I25" s="78">
        <f t="shared" si="4"/>
        <v>174</v>
      </c>
      <c r="J25" s="78">
        <f t="shared" si="4"/>
        <v>0</v>
      </c>
      <c r="K25" s="87">
        <f>SUM(K26:K40)</f>
        <v>174</v>
      </c>
      <c r="L25" s="94"/>
    </row>
    <row r="26" spans="1:15">
      <c r="A26" s="75">
        <v>42011</v>
      </c>
      <c r="B26" s="46">
        <v>42021</v>
      </c>
      <c r="C26" s="586"/>
      <c r="D26" s="98" t="str">
        <f>VLOOKUP(A20,正社員!$P$234:$Q$460,2,FALSE)</f>
        <v>本社工場ＮＣ</v>
      </c>
      <c r="E26" s="22">
        <f>COUNTIF(参考1男性!$C$5:$P$3816,A20)</f>
        <v>8</v>
      </c>
      <c r="F26" s="22">
        <f>COUNTIF(参考2女性!$C$5:$Q$551,A20)</f>
        <v>0</v>
      </c>
      <c r="G26" s="22">
        <f t="shared" si="2"/>
        <v>8</v>
      </c>
      <c r="H26" s="22">
        <f>COUNTIF(参考3パート嘱託!$C$4:$Q$917,B20)</f>
        <v>4</v>
      </c>
      <c r="I26" s="22">
        <f t="shared" ref="I26:I40" si="5">SUM(G26:H26)</f>
        <v>12</v>
      </c>
      <c r="J26" s="101"/>
      <c r="K26" s="83">
        <f t="shared" si="3"/>
        <v>12</v>
      </c>
    </row>
    <row r="27" spans="1:15">
      <c r="A27" s="75">
        <v>42311</v>
      </c>
      <c r="B27" s="46">
        <v>42321</v>
      </c>
      <c r="C27" s="575"/>
      <c r="D27" s="98" t="str">
        <f>VLOOKUP(A21,正社員!$P$234:$Q$460,2,FALSE)</f>
        <v>本社工場ＴＰ</v>
      </c>
      <c r="E27" s="22">
        <f>COUNTIF(参考1男性!$C$5:$P$3834,A21)</f>
        <v>18</v>
      </c>
      <c r="F27" s="22">
        <f>COUNTIF(参考2女性!$C$5:$Q$551,A21)</f>
        <v>0</v>
      </c>
      <c r="G27" s="22">
        <f t="shared" si="2"/>
        <v>18</v>
      </c>
      <c r="H27" s="271">
        <f>COUNTIF(参考3パート嘱託!$C$4:$Q$917,B21)</f>
        <v>3</v>
      </c>
      <c r="I27" s="22">
        <f t="shared" si="5"/>
        <v>21</v>
      </c>
      <c r="J27" s="101"/>
      <c r="K27" s="83">
        <f t="shared" si="3"/>
        <v>21</v>
      </c>
    </row>
    <row r="28" spans="1:15">
      <c r="A28" s="75">
        <v>43211</v>
      </c>
      <c r="B28" s="46">
        <v>43221</v>
      </c>
      <c r="C28" s="576"/>
      <c r="D28" s="98" t="str">
        <f>VLOOKUP(A22,正社員!$P$234:$Q$460,2,FALSE)</f>
        <v>本社工場ＨＹ</v>
      </c>
      <c r="E28" s="22">
        <f>COUNTIF(参考1男性!$C$5:$P$3816,A22)</f>
        <v>23</v>
      </c>
      <c r="F28" s="22">
        <f>COUNTIF(参考2女性!$C$5:$Q$524,A22)</f>
        <v>0</v>
      </c>
      <c r="G28" s="22">
        <f t="shared" si="2"/>
        <v>23</v>
      </c>
      <c r="H28" s="271">
        <f>COUNTIF(参考3パート嘱託!$C$4:$Q$917,B22)</f>
        <v>5</v>
      </c>
      <c r="I28" s="22">
        <f t="shared" si="5"/>
        <v>28</v>
      </c>
      <c r="J28" s="101"/>
      <c r="K28" s="83">
        <f t="shared" si="3"/>
        <v>28</v>
      </c>
    </row>
    <row r="29" spans="1:15">
      <c r="A29" s="75">
        <v>43311</v>
      </c>
      <c r="B29" s="46">
        <v>43321</v>
      </c>
      <c r="C29" s="571"/>
      <c r="D29" s="98" t="str">
        <f>VLOOKUP(A23,正社員!$P$234:$Q$460,2,FALSE)</f>
        <v>本社工場組立第１</v>
      </c>
      <c r="E29" s="22">
        <f>COUNTIF(参考1男性!$C$5:$P$3834,A23)</f>
        <v>16</v>
      </c>
      <c r="F29" s="22">
        <f>COUNTIF(参考2女性!$C$5:$Q$524,A23)</f>
        <v>2</v>
      </c>
      <c r="G29" s="22">
        <f t="shared" si="2"/>
        <v>18</v>
      </c>
      <c r="H29" s="271">
        <f>COUNTIF(参考3パート嘱託!$C$4:$Q$917,B23)</f>
        <v>3</v>
      </c>
      <c r="I29" s="22">
        <f t="shared" si="5"/>
        <v>21</v>
      </c>
      <c r="J29" s="101"/>
      <c r="K29" s="83">
        <f t="shared" si="3"/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98" t="str">
        <f>VLOOKUP(A24,正社員!$P$234:$Q$460,2,FALSE)</f>
        <v>本社工場組立第２</v>
      </c>
      <c r="E30" s="22">
        <f>COUNTIF(参考1男性!$C$5:$P$3816,A24)</f>
        <v>0</v>
      </c>
      <c r="F30" s="22">
        <f>COUNTIF(参考2女性!$C$5:$Q$551,A24)</f>
        <v>0</v>
      </c>
      <c r="G30" s="22">
        <f t="shared" si="2"/>
        <v>0</v>
      </c>
      <c r="H30" s="271">
        <f>COUNTIF(参考3パート嘱託!$C$4:$Q$917,B24)</f>
        <v>0</v>
      </c>
      <c r="I30" s="22">
        <f t="shared" si="5"/>
        <v>0</v>
      </c>
      <c r="J30" s="101"/>
      <c r="K30" s="83">
        <f t="shared" si="3"/>
        <v>0</v>
      </c>
      <c r="L30" s="588"/>
      <c r="M30" s="589"/>
      <c r="N30" s="589"/>
      <c r="O30" s="589"/>
    </row>
    <row r="31" spans="1:15">
      <c r="A31" s="75"/>
      <c r="C31" s="571"/>
      <c r="D31" s="155"/>
      <c r="E31" s="22"/>
      <c r="F31" s="22"/>
      <c r="G31" s="22"/>
      <c r="H31" s="22"/>
      <c r="I31" s="22"/>
      <c r="J31" s="101"/>
      <c r="K31" s="83"/>
      <c r="L31" s="156"/>
      <c r="M31" s="156"/>
      <c r="N31" s="156"/>
      <c r="O31" s="156"/>
    </row>
    <row r="32" spans="1:15">
      <c r="A32" s="75">
        <v>40400</v>
      </c>
      <c r="B32" s="46">
        <v>40420</v>
      </c>
      <c r="C32" s="571"/>
      <c r="D32" s="98" t="str">
        <f>VLOOKUP(A25,正社員!$P$234:$Q$460,2,FALSE)</f>
        <v>本社工場ＡＣ研磨</v>
      </c>
      <c r="E32" s="22">
        <f>COUNTIF(参考1男性!$C$5:$P$3816,A25)</f>
        <v>13</v>
      </c>
      <c r="F32" s="22">
        <f>COUNTIF(参考2女性!$C$5:$Q$551,A25)</f>
        <v>0</v>
      </c>
      <c r="G32" s="22">
        <f t="shared" si="2"/>
        <v>13</v>
      </c>
      <c r="H32" s="22">
        <f>COUNTIF(参考3パート嘱託!$C$4:$Q$917,B25)</f>
        <v>2</v>
      </c>
      <c r="I32" s="22">
        <f t="shared" si="5"/>
        <v>15</v>
      </c>
      <c r="J32" s="101"/>
      <c r="K32" s="83">
        <f t="shared" si="3"/>
        <v>15</v>
      </c>
    </row>
    <row r="33" spans="1:14">
      <c r="A33" s="75">
        <v>34000</v>
      </c>
      <c r="B33" s="46">
        <v>34020</v>
      </c>
      <c r="C33" s="571"/>
      <c r="D33" s="98" t="str">
        <f>VLOOKUP(A26,正社員!$P$234:$Q$460,2,FALSE)</f>
        <v>本社工場機械第１</v>
      </c>
      <c r="E33" s="22">
        <f>COUNTIF(参考1男性!$C$5:$P$3816,A26)</f>
        <v>12</v>
      </c>
      <c r="F33" s="22">
        <f>COUNTIF(参考2女性!$C$5:$Q$551,A26)</f>
        <v>0</v>
      </c>
      <c r="G33" s="22">
        <f t="shared" si="2"/>
        <v>12</v>
      </c>
      <c r="H33" s="271">
        <f>COUNTIF(参考3パート嘱託!$C$4:$Q$917,B26)</f>
        <v>1</v>
      </c>
      <c r="I33" s="22">
        <f t="shared" si="5"/>
        <v>13</v>
      </c>
      <c r="J33" s="101"/>
      <c r="K33" s="83">
        <f t="shared" si="3"/>
        <v>13</v>
      </c>
    </row>
    <row r="34" spans="1:14">
      <c r="A34" s="76">
        <v>40000</v>
      </c>
      <c r="B34" s="56">
        <v>40020</v>
      </c>
      <c r="C34" s="571"/>
      <c r="D34" s="163" t="s">
        <v>674</v>
      </c>
      <c r="E34" s="22">
        <f>COUNTIF(参考1男性!$C$5:$P$3816,A27)</f>
        <v>9</v>
      </c>
      <c r="F34" s="22">
        <f>COUNTIF(参考2女性!$C$5:$Q$551,A27)</f>
        <v>0</v>
      </c>
      <c r="G34" s="22">
        <f t="shared" si="2"/>
        <v>9</v>
      </c>
      <c r="H34" s="271">
        <f>COUNTIF(参考3パート嘱託!$C$4:$Q$917,B27)</f>
        <v>0</v>
      </c>
      <c r="I34" s="22">
        <f t="shared" si="5"/>
        <v>9</v>
      </c>
      <c r="J34" s="101"/>
      <c r="K34" s="83">
        <f t="shared" si="3"/>
        <v>9</v>
      </c>
    </row>
    <row r="35" spans="1:14">
      <c r="A35" s="75">
        <v>67211</v>
      </c>
      <c r="B35" s="46">
        <v>67221</v>
      </c>
      <c r="C35" s="571"/>
      <c r="D35" s="98" t="str">
        <f>VLOOKUP(A28,正社員!$P$234:$Q$460,2,FALSE)</f>
        <v>本社工場ＢＶ</v>
      </c>
      <c r="E35" s="22">
        <f>COUNTIF(参考1男性!$C$5:$P$3816,A28)</f>
        <v>9</v>
      </c>
      <c r="F35" s="22">
        <f>COUNTIF(参考2女性!$C$5:$Q$551,A28)</f>
        <v>7</v>
      </c>
      <c r="G35" s="22">
        <f t="shared" si="2"/>
        <v>16</v>
      </c>
      <c r="H35" s="271">
        <f>COUNTIF(参考3パート嘱託!$C$4:$Q$962,B28)</f>
        <v>6</v>
      </c>
      <c r="I35" s="22">
        <f t="shared" si="5"/>
        <v>22</v>
      </c>
      <c r="J35" s="101"/>
      <c r="K35" s="83">
        <f t="shared" si="3"/>
        <v>22</v>
      </c>
      <c r="L35">
        <v>2</v>
      </c>
    </row>
    <row r="36" spans="1:14">
      <c r="A36" s="75">
        <v>68011</v>
      </c>
      <c r="B36" s="46">
        <v>68021</v>
      </c>
      <c r="C36" s="571"/>
      <c r="D36" s="98" t="str">
        <f>VLOOKUP(A29,正社員!$P$234:$Q$460,2,FALSE)</f>
        <v>本社工場ＳＰ</v>
      </c>
      <c r="E36" s="22">
        <f>COUNTIF(参考1男性!$C$5:$P$3816,A29)</f>
        <v>3</v>
      </c>
      <c r="F36" s="22">
        <f>COUNTIF(参考2女性!$C$5:$Q$551,A29)</f>
        <v>0</v>
      </c>
      <c r="G36" s="22">
        <f t="shared" si="2"/>
        <v>3</v>
      </c>
      <c r="H36" s="271">
        <f>COUNTIF(参考3パート嘱託!$C$4:$Q$962,B29)</f>
        <v>2</v>
      </c>
      <c r="I36" s="22">
        <f t="shared" si="5"/>
        <v>5</v>
      </c>
      <c r="J36" s="101"/>
      <c r="K36" s="83">
        <f t="shared" si="3"/>
        <v>5</v>
      </c>
    </row>
    <row r="37" spans="1:14">
      <c r="A37" s="75">
        <v>69211</v>
      </c>
      <c r="B37" s="46">
        <v>69221</v>
      </c>
      <c r="C37" s="571"/>
      <c r="D37" s="98" t="str">
        <f>VLOOKUP(A30,正社員!$P$39:$Q$195,2,FALSE)</f>
        <v>本社工場構内物流</v>
      </c>
      <c r="E37" s="22">
        <f>COUNTIF(参考1男性!$C$5:$P$3834,A30)</f>
        <v>8</v>
      </c>
      <c r="F37" s="22">
        <f>COUNTIF(参考2女性!$C$5:$Q$551,A30)</f>
        <v>0</v>
      </c>
      <c r="G37" s="22">
        <f t="shared" si="2"/>
        <v>8</v>
      </c>
      <c r="H37" s="271">
        <f>COUNTIF(参考3パート嘱託!$C$4:$Q$962,B30)</f>
        <v>4</v>
      </c>
      <c r="I37" s="22">
        <f t="shared" si="5"/>
        <v>12</v>
      </c>
      <c r="J37" s="101"/>
      <c r="K37" s="83">
        <f t="shared" si="3"/>
        <v>12</v>
      </c>
    </row>
    <row r="38" spans="1:14">
      <c r="A38" s="75">
        <v>69111</v>
      </c>
      <c r="B38" s="46">
        <v>69121</v>
      </c>
      <c r="C38" s="571"/>
      <c r="D38" s="98" t="str">
        <f>VLOOKUP(A32,正社員!$P$39:$Q$195,2,FALSE)</f>
        <v>本社工場改善</v>
      </c>
      <c r="E38" s="22">
        <f>COUNTIF(参考1男性!$C$5:$P$3816,A32)</f>
        <v>3</v>
      </c>
      <c r="F38" s="22">
        <f>COUNTIF(参考2女性!$C$5:$Q$551,A32)</f>
        <v>0</v>
      </c>
      <c r="G38" s="22">
        <f t="shared" si="2"/>
        <v>3</v>
      </c>
      <c r="H38" s="22">
        <f>COUNTIF(参考3パート嘱託!$C$4:$Q$8077,B32)</f>
        <v>2</v>
      </c>
      <c r="I38" s="22">
        <f t="shared" si="5"/>
        <v>5</v>
      </c>
      <c r="J38" s="101"/>
      <c r="K38" s="83">
        <f t="shared" si="3"/>
        <v>5</v>
      </c>
    </row>
    <row r="39" spans="1:14" s="264" customFormat="1">
      <c r="A39" s="75">
        <v>34000</v>
      </c>
      <c r="B39" s="46">
        <v>34020</v>
      </c>
      <c r="C39" s="388"/>
      <c r="D39" s="387" t="s">
        <v>1628</v>
      </c>
      <c r="E39" s="271">
        <f>COUNTIF(参考1男性!$C$5:$P$3816,A33)</f>
        <v>1</v>
      </c>
      <c r="F39" s="271">
        <f>COUNTIF(参考2女性!$C$5:$Q$551,A33)</f>
        <v>1</v>
      </c>
      <c r="G39" s="271">
        <f t="shared" ref="G39" si="6">E39+F39</f>
        <v>2</v>
      </c>
      <c r="H39" s="271">
        <f>COUNTIF(参考3パート嘱託!$C$4:$Q$8077,B33)</f>
        <v>2</v>
      </c>
      <c r="I39" s="271">
        <f t="shared" ref="I39" si="7">SUM(G39:H39)</f>
        <v>4</v>
      </c>
      <c r="J39" s="285"/>
      <c r="K39" s="277">
        <f t="shared" si="3"/>
        <v>4</v>
      </c>
    </row>
    <row r="40" spans="1:14">
      <c r="A40" s="75">
        <v>64011</v>
      </c>
      <c r="B40" s="46">
        <v>64021</v>
      </c>
      <c r="C40" s="84"/>
      <c r="D40" s="98" t="s">
        <v>1629</v>
      </c>
      <c r="E40" s="22">
        <f>COUNTIF(参考1男性!$C$5:$P$3816,A34)</f>
        <v>6</v>
      </c>
      <c r="F40" s="22">
        <f>COUNTIF(参考2女性!$C$5:$Q$551,A34)</f>
        <v>1</v>
      </c>
      <c r="G40" s="22">
        <f t="shared" si="2"/>
        <v>7</v>
      </c>
      <c r="H40" s="22">
        <f>COUNTIF(参考3パート嘱託!$C$4:$Q$7982,B34)</f>
        <v>0</v>
      </c>
      <c r="I40" s="22">
        <f t="shared" si="5"/>
        <v>7</v>
      </c>
      <c r="J40" s="101"/>
      <c r="K40" s="83">
        <f t="shared" si="3"/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78">
        <f t="shared" ref="E41:K41" si="8">SUM(E42:E58)</f>
        <v>101</v>
      </c>
      <c r="F41" s="78">
        <f>SUM(F42:F58)</f>
        <v>10</v>
      </c>
      <c r="G41" s="78">
        <f t="shared" si="8"/>
        <v>111</v>
      </c>
      <c r="H41" s="78">
        <f t="shared" si="8"/>
        <v>26</v>
      </c>
      <c r="I41" s="78">
        <f t="shared" si="8"/>
        <v>137</v>
      </c>
      <c r="J41" s="78">
        <f t="shared" si="8"/>
        <v>0</v>
      </c>
      <c r="K41" s="87">
        <f t="shared" si="8"/>
        <v>137</v>
      </c>
    </row>
    <row r="42" spans="1:14">
      <c r="A42" s="75">
        <v>64211</v>
      </c>
      <c r="B42" s="46">
        <v>64221</v>
      </c>
      <c r="C42" s="586"/>
      <c r="D42" s="98" t="str">
        <f>VLOOKUP(A35,正社員!$P$234:$Q$460,2,FALSE)</f>
        <v>羽生工場ＮＣ</v>
      </c>
      <c r="E42" s="22">
        <f>COUNTIF(参考1男性!$C$5:$P$3816,A35)</f>
        <v>6</v>
      </c>
      <c r="F42" s="22">
        <f>COUNTIF(参考2女性!$C$5:$Q$551,A35)</f>
        <v>0</v>
      </c>
      <c r="G42" s="22">
        <f t="shared" ref="G42:G58" si="9">E42+F42</f>
        <v>6</v>
      </c>
      <c r="H42" s="22">
        <f>COUNTIF(参考3パート嘱託!$C$4:$Q$782,B35)</f>
        <v>3</v>
      </c>
      <c r="I42" s="22">
        <f>SUM(G42:H42)</f>
        <v>9</v>
      </c>
      <c r="J42" s="22"/>
      <c r="K42" s="83">
        <f t="shared" ref="K42:K58" si="10">G42+H42+J42</f>
        <v>9</v>
      </c>
    </row>
    <row r="43" spans="1:14">
      <c r="A43" s="75">
        <v>67011</v>
      </c>
      <c r="B43" s="46">
        <v>67021</v>
      </c>
      <c r="C43" s="575"/>
      <c r="D43" s="98" t="str">
        <f>VLOOKUP(A36,正社員!$P$234:$Q$460,2,FALSE)</f>
        <v>羽生工場ＣＢ</v>
      </c>
      <c r="E43" s="22">
        <f>COUNTIF(参考1男性!$C$5:$P$3834,A36)</f>
        <v>2</v>
      </c>
      <c r="F43" s="22">
        <f>COUNTIF(参考2女性!$C$5:$Q$551,A36)</f>
        <v>0</v>
      </c>
      <c r="G43" s="22">
        <f t="shared" si="9"/>
        <v>2</v>
      </c>
      <c r="H43" s="271">
        <f>COUNTIF(参考3パート嘱託!$C$4:$Q$782,B36)</f>
        <v>1</v>
      </c>
      <c r="I43" s="22">
        <f t="shared" ref="I43:I58" si="11">SUM(G43:H43)</f>
        <v>3</v>
      </c>
      <c r="J43" s="22"/>
      <c r="K43" s="83">
        <f t="shared" si="10"/>
        <v>3</v>
      </c>
    </row>
    <row r="44" spans="1:14">
      <c r="A44" s="75">
        <v>68111</v>
      </c>
      <c r="B44" s="46">
        <v>68121</v>
      </c>
      <c r="C44" s="575"/>
      <c r="D44" s="98" t="str">
        <f>VLOOKUP(A37,正社員!$P$234:$Q$460,2,FALSE)</f>
        <v>羽生工場ＢＰＶ</v>
      </c>
      <c r="E44" s="22">
        <f>COUNTIF(参考1男性!$C$5:$P$3816,A37)</f>
        <v>2</v>
      </c>
      <c r="F44" s="22">
        <f>COUNTIF(参考2女性!$C$5:$Q$551,A37)</f>
        <v>0</v>
      </c>
      <c r="G44" s="108">
        <f t="shared" si="9"/>
        <v>2</v>
      </c>
      <c r="H44" s="271">
        <f>COUNTIF(参考3パート嘱託!$C$4:$Q$782,B37)</f>
        <v>3</v>
      </c>
      <c r="I44" s="22">
        <f t="shared" si="11"/>
        <v>5</v>
      </c>
      <c r="J44" s="22"/>
      <c r="K44" s="83">
        <f t="shared" si="10"/>
        <v>5</v>
      </c>
    </row>
    <row r="45" spans="1:14">
      <c r="A45" s="75">
        <v>64311</v>
      </c>
      <c r="B45" s="46">
        <v>64321</v>
      </c>
      <c r="C45" s="576"/>
      <c r="D45" s="98" t="str">
        <f>VLOOKUP(A38,正社員!$P$234:$Q$460,2,FALSE)</f>
        <v>羽生工場ＥＧＲ</v>
      </c>
      <c r="E45" s="22">
        <f>COUNTIF(参考1男性!$C$5:$P$3816,A38)</f>
        <v>1</v>
      </c>
      <c r="F45" s="22">
        <f>COUNTIF(参考2女性!$C$5:$Q$551,A38)</f>
        <v>0</v>
      </c>
      <c r="G45" s="108">
        <f t="shared" si="9"/>
        <v>1</v>
      </c>
      <c r="H45" s="271">
        <f>COUNTIF(参考3パート嘱託!$C$4:$Q$782,B38)</f>
        <v>0</v>
      </c>
      <c r="I45" s="22">
        <f t="shared" si="11"/>
        <v>1</v>
      </c>
      <c r="J45" s="22"/>
      <c r="K45" s="83">
        <f t="shared" si="10"/>
        <v>1</v>
      </c>
    </row>
    <row r="46" spans="1:14">
      <c r="A46" s="75">
        <v>69011</v>
      </c>
      <c r="B46" s="46">
        <v>69021</v>
      </c>
      <c r="C46" s="571"/>
      <c r="D46" s="98" t="str">
        <f>VLOOKUP(A40,正社員!$P$234:$Q$460,2,FALSE)</f>
        <v>羽生工場ＢＣ</v>
      </c>
      <c r="E46" s="22">
        <f>COUNTIF(参考1男性!$C$5:$P$3816,A40)</f>
        <v>8</v>
      </c>
      <c r="F46" s="22">
        <f>COUNTIF(参考2女性!$C$5:$Q$551,A40)</f>
        <v>0</v>
      </c>
      <c r="G46" s="22">
        <f t="shared" si="9"/>
        <v>8</v>
      </c>
      <c r="H46" s="271">
        <f>COUNTIF(参考3パート嘱託!$C$4:$Q$782,B40)</f>
        <v>3</v>
      </c>
      <c r="I46" s="22">
        <f t="shared" si="11"/>
        <v>11</v>
      </c>
      <c r="J46" s="22"/>
      <c r="K46" s="83">
        <f t="shared" si="10"/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98" t="str">
        <f>VLOOKUP(A41,正社員!$P$234:$Q$460,2,FALSE)</f>
        <v>羽生工場ＢＢ</v>
      </c>
      <c r="E47" s="22">
        <f>COUNTIF(参考1男性!$C$5:$P$3816,A41)</f>
        <v>2</v>
      </c>
      <c r="F47" s="22">
        <f>COUNTIF(参考2女性!$C$5:$Q$551,A41)</f>
        <v>1</v>
      </c>
      <c r="G47" s="22">
        <f t="shared" si="9"/>
        <v>3</v>
      </c>
      <c r="H47" s="271">
        <f>COUNTIF(参考3パート嘱託!$C$4:$Q$782,B41)</f>
        <v>0</v>
      </c>
      <c r="I47" s="22">
        <f t="shared" si="11"/>
        <v>3</v>
      </c>
      <c r="J47" s="22"/>
      <c r="K47" s="83">
        <f t="shared" si="10"/>
        <v>3</v>
      </c>
      <c r="L47" s="588"/>
      <c r="M47" s="570"/>
      <c r="N47" s="570"/>
    </row>
    <row r="48" spans="1:14">
      <c r="A48" s="75"/>
      <c r="C48" s="571"/>
      <c r="D48" s="98" t="s">
        <v>657</v>
      </c>
      <c r="E48" s="22"/>
      <c r="F48" s="22"/>
      <c r="G48" s="22"/>
      <c r="H48" s="22"/>
      <c r="I48" s="22"/>
      <c r="J48" s="22"/>
      <c r="K48" s="83"/>
    </row>
    <row r="49" spans="1:12">
      <c r="A49" s="75">
        <v>60411</v>
      </c>
      <c r="B49" s="46">
        <v>60421</v>
      </c>
      <c r="C49" s="571"/>
      <c r="D49" s="98" t="str">
        <f>VLOOKUP(A42,正社員!$P$234:$Q$460,2,FALSE)</f>
        <v>羽生工場ＡＳ</v>
      </c>
      <c r="E49" s="22">
        <f>COUNTIF(参考1男性!$C$5:$P$3834,A42)</f>
        <v>1</v>
      </c>
      <c r="F49" s="22">
        <f>COUNTIF(参考2女性!$C$5:$Q$551,A42)</f>
        <v>0</v>
      </c>
      <c r="G49" s="22">
        <f t="shared" si="9"/>
        <v>1</v>
      </c>
      <c r="H49" s="22">
        <f>COUNTIF(参考3パート嘱託!$C$4:$Q$982,B42)</f>
        <v>0</v>
      </c>
      <c r="I49" s="22">
        <f t="shared" si="11"/>
        <v>1</v>
      </c>
      <c r="J49" s="22"/>
      <c r="K49" s="83">
        <f t="shared" si="10"/>
        <v>1</v>
      </c>
    </row>
    <row r="50" spans="1:12">
      <c r="A50" s="75">
        <v>65011</v>
      </c>
      <c r="B50" s="46">
        <v>65021</v>
      </c>
      <c r="C50" s="571"/>
      <c r="D50" s="98" t="str">
        <f>VLOOKUP(A43,正社員!$P$234:$Q$460,2,FALSE)</f>
        <v>羽生工場プレス</v>
      </c>
      <c r="E50" s="22">
        <f>COUNTIF(参考1男性!$C$5:$P$3816,A43)</f>
        <v>10</v>
      </c>
      <c r="F50" s="22">
        <f>COUNTIF(参考2女性!$C$5:$Q$551,A43)</f>
        <v>0</v>
      </c>
      <c r="G50" s="22">
        <f t="shared" si="9"/>
        <v>10</v>
      </c>
      <c r="H50" s="22">
        <f>COUNTIF(参考3パート嘱託!$C$4:$Q$1062,B43)</f>
        <v>2</v>
      </c>
      <c r="I50" s="22">
        <f t="shared" si="11"/>
        <v>12</v>
      </c>
      <c r="J50" s="22"/>
      <c r="K50" s="83">
        <f t="shared" si="10"/>
        <v>12</v>
      </c>
    </row>
    <row r="51" spans="1:12">
      <c r="A51" s="75">
        <v>66011</v>
      </c>
      <c r="B51" s="46">
        <v>66021</v>
      </c>
      <c r="C51" s="571"/>
      <c r="D51" s="98" t="str">
        <f>VLOOKUP(A44,正社員!$P$234:$Q$460,2,FALSE)</f>
        <v>羽生工場ＰＳＨ</v>
      </c>
      <c r="E51" s="22">
        <f>COUNTIF(参考1男性!$C$5:$P$3834,A44)</f>
        <v>3</v>
      </c>
      <c r="F51" s="22">
        <f>COUNTIF(参考2女性!$C$5:$Q$551,A44)</f>
        <v>1</v>
      </c>
      <c r="G51" s="22">
        <f t="shared" si="9"/>
        <v>4</v>
      </c>
      <c r="H51" s="22">
        <f>COUNTIF(参考3パート嘱託!$C$4:$Q$812,B44)</f>
        <v>0</v>
      </c>
      <c r="I51" s="22">
        <f t="shared" si="11"/>
        <v>4</v>
      </c>
      <c r="J51" s="22"/>
      <c r="K51" s="83">
        <f t="shared" si="10"/>
        <v>4</v>
      </c>
    </row>
    <row r="52" spans="1:12">
      <c r="A52" s="75">
        <v>61300</v>
      </c>
      <c r="B52" s="46">
        <v>61320</v>
      </c>
      <c r="C52" s="571"/>
      <c r="D52" s="98" t="str">
        <f>VLOOKUP(A45,正社員!$P$234:$Q$460,2,FALSE)</f>
        <v>羽生工場ＭＳＵ</v>
      </c>
      <c r="E52" s="22">
        <f>COUNTIF(参考1男性!$C$5:$P$3816,A45)</f>
        <v>1</v>
      </c>
      <c r="F52" s="22">
        <f>COUNTIF(参考2女性!$C$5:$Q$551,A45)</f>
        <v>1</v>
      </c>
      <c r="G52" s="22">
        <f t="shared" si="9"/>
        <v>2</v>
      </c>
      <c r="H52" s="22">
        <f>COUNTIF(参考3パート嘱託!$C$4:$Q$812,B45)</f>
        <v>0</v>
      </c>
      <c r="I52" s="22">
        <f t="shared" si="11"/>
        <v>2</v>
      </c>
      <c r="J52" s="22"/>
      <c r="K52" s="83">
        <f t="shared" si="10"/>
        <v>2</v>
      </c>
    </row>
    <row r="53" spans="1:12">
      <c r="A53" s="76"/>
      <c r="B53" s="56"/>
      <c r="C53" s="571"/>
      <c r="D53" s="98" t="str">
        <f>VLOOKUP(A46,正社員!$P$234:$Q$460,2,FALSE)</f>
        <v>羽生工場ＴＣ</v>
      </c>
      <c r="E53" s="22">
        <f>COUNTIF(参考1男性!$C$5:$P$3816,A46)</f>
        <v>23</v>
      </c>
      <c r="F53" s="22">
        <f>COUNTIF(参考2女性!$C$5:$Q$551,A46)</f>
        <v>1</v>
      </c>
      <c r="G53" s="22">
        <f t="shared" si="9"/>
        <v>24</v>
      </c>
      <c r="H53" s="22">
        <f>COUNTIF(参考3パート嘱託!$C$4:$Q$812,B46)</f>
        <v>3</v>
      </c>
      <c r="I53" s="22">
        <f t="shared" si="11"/>
        <v>27</v>
      </c>
      <c r="J53" s="22"/>
      <c r="K53" s="83">
        <f t="shared" si="10"/>
        <v>27</v>
      </c>
    </row>
    <row r="54" spans="1:12">
      <c r="A54" s="75">
        <v>44011</v>
      </c>
      <c r="B54" s="46">
        <v>44021</v>
      </c>
      <c r="C54" s="571"/>
      <c r="D54" s="98" t="str">
        <f>VLOOKUP(A47,正社員!$P$39:$Q$195,2,FALSE)</f>
        <v>羽生工場構内物流</v>
      </c>
      <c r="E54" s="22">
        <f>COUNTIF(参考1男性!$C$5:$P$3834,A47)</f>
        <v>8</v>
      </c>
      <c r="F54" s="22">
        <f>COUNTIF(参考2女性!$C$5:$Q$551,A47)</f>
        <v>0</v>
      </c>
      <c r="G54" s="22">
        <f t="shared" si="9"/>
        <v>8</v>
      </c>
      <c r="H54" s="22">
        <f>COUNTIF(参考3パート嘱託!$C$4:$Q$812,B47)</f>
        <v>1</v>
      </c>
      <c r="I54" s="22">
        <f t="shared" si="11"/>
        <v>9</v>
      </c>
      <c r="J54" s="22"/>
      <c r="K54" s="83">
        <f t="shared" si="10"/>
        <v>9</v>
      </c>
    </row>
    <row r="55" spans="1:12">
      <c r="A55" s="75">
        <v>44111</v>
      </c>
      <c r="B55" s="46">
        <v>44121</v>
      </c>
      <c r="C55" s="571"/>
      <c r="D55" s="98" t="str">
        <f>VLOOKUP(A49,正社員!$P$234:$Q$460,2,FALSE)</f>
        <v>羽生工場構内ＳＰ</v>
      </c>
      <c r="E55" s="22">
        <f>COUNTIF(参考1男性!$C$5:$P$3834,A49)</f>
        <v>2</v>
      </c>
      <c r="F55" s="22">
        <f>COUNTIF(参考2女性!$C$5:$Q$551,A49)</f>
        <v>1</v>
      </c>
      <c r="G55" s="22">
        <f t="shared" si="9"/>
        <v>3</v>
      </c>
      <c r="H55" s="22">
        <f>COUNTIF(参考3パート嘱託!$C$4:$Q$82982,B49)</f>
        <v>2</v>
      </c>
      <c r="I55" s="22">
        <f t="shared" si="11"/>
        <v>5</v>
      </c>
      <c r="J55" s="22"/>
      <c r="K55" s="83">
        <f t="shared" si="10"/>
        <v>5</v>
      </c>
    </row>
    <row r="56" spans="1:12">
      <c r="A56" s="75">
        <v>44511</v>
      </c>
      <c r="B56" s="46">
        <v>44521</v>
      </c>
      <c r="C56" s="571"/>
      <c r="D56" s="98" t="str">
        <f>VLOOKUP(A50,正社員!$P$234:$Q$460,2,FALSE)</f>
        <v>羽生工場ＶＰ－１</v>
      </c>
      <c r="E56" s="22">
        <f>COUNTIF(参考1男性!$C$5:$P$3816,A50)</f>
        <v>14</v>
      </c>
      <c r="F56" s="22">
        <f>COUNTIF(参考2女性!$C$5:$Q$551,A50)</f>
        <v>1</v>
      </c>
      <c r="G56" s="22">
        <f t="shared" si="9"/>
        <v>15</v>
      </c>
      <c r="H56" s="271">
        <f>COUNTIF(参考3パート嘱託!$C$4:$Q$7982,B50)</f>
        <v>4</v>
      </c>
      <c r="I56" s="22">
        <f t="shared" si="11"/>
        <v>19</v>
      </c>
      <c r="J56" s="22"/>
      <c r="K56" s="83">
        <f t="shared" si="10"/>
        <v>19</v>
      </c>
    </row>
    <row r="57" spans="1:12">
      <c r="A57" s="75">
        <v>45111</v>
      </c>
      <c r="B57" s="46">
        <v>45121</v>
      </c>
      <c r="C57" s="571"/>
      <c r="D57" s="98" t="str">
        <f>VLOOKUP(A51,正社員!$P$234:$Q$460,2,FALSE)</f>
        <v>羽生工場ＶＰ－２</v>
      </c>
      <c r="E57" s="22">
        <f>COUNTIF(参考1男性!$C$5:$P$3816,A51)</f>
        <v>11</v>
      </c>
      <c r="F57" s="22">
        <f>COUNTIF(参考2女性!$C$5:$Q$551,A51)</f>
        <v>3</v>
      </c>
      <c r="G57" s="22">
        <f t="shared" si="9"/>
        <v>14</v>
      </c>
      <c r="H57" s="271">
        <f>COUNTIF(参考3パート嘱託!$C$4:$Q$7982,B51)</f>
        <v>3</v>
      </c>
      <c r="I57" s="22">
        <f t="shared" si="11"/>
        <v>17</v>
      </c>
      <c r="J57" s="22"/>
      <c r="K57" s="83">
        <f t="shared" si="10"/>
        <v>17</v>
      </c>
    </row>
    <row r="58" spans="1:12">
      <c r="A58" s="75">
        <v>44200</v>
      </c>
      <c r="B58" s="46">
        <v>44220</v>
      </c>
      <c r="C58" s="84"/>
      <c r="D58" s="98" t="str">
        <f>VLOOKUP(A52,正社員!$P$39:$Q$195,2,FALSE)</f>
        <v>羽生工場工場管理課</v>
      </c>
      <c r="E58" s="22">
        <f>COUNTIF(参考1男性!$C$5:$P$3834,A52)</f>
        <v>7</v>
      </c>
      <c r="F58" s="22">
        <f>COUNTIF(参考2女性!$C$5:$Q$551,A52)</f>
        <v>1</v>
      </c>
      <c r="G58" s="22">
        <f t="shared" si="9"/>
        <v>8</v>
      </c>
      <c r="H58" s="271">
        <f>COUNTIF(参考3パート嘱託!$C$4:$Q$7982,B52)</f>
        <v>1</v>
      </c>
      <c r="I58" s="22">
        <f t="shared" si="11"/>
        <v>9</v>
      </c>
      <c r="J58" s="22"/>
      <c r="K58" s="83">
        <f t="shared" si="10"/>
        <v>9</v>
      </c>
    </row>
    <row r="59" spans="1:12">
      <c r="A59" s="76"/>
      <c r="B59" s="56"/>
      <c r="C59" s="584" t="s">
        <v>618</v>
      </c>
      <c r="D59" s="585"/>
      <c r="E59" s="78">
        <f>SUM(E60:E64)</f>
        <v>31</v>
      </c>
      <c r="F59" s="78">
        <f t="shared" ref="F59:K59" si="12">SUM(F60:F64)</f>
        <v>2</v>
      </c>
      <c r="G59" s="78">
        <f t="shared" si="12"/>
        <v>33</v>
      </c>
      <c r="H59" s="78">
        <f t="shared" si="12"/>
        <v>7</v>
      </c>
      <c r="I59" s="78">
        <f t="shared" si="12"/>
        <v>40</v>
      </c>
      <c r="J59" s="78">
        <f t="shared" si="12"/>
        <v>0</v>
      </c>
      <c r="K59" s="87">
        <f t="shared" si="12"/>
        <v>40</v>
      </c>
      <c r="L59" s="94"/>
    </row>
    <row r="60" spans="1:12">
      <c r="A60" s="75">
        <v>20000</v>
      </c>
      <c r="B60" s="46">
        <v>20020</v>
      </c>
      <c r="C60" s="586" t="s">
        <v>625</v>
      </c>
      <c r="D60" s="98" t="str">
        <f>VLOOKUP(A54,正社員!$P$234:$Q$460,2,FALSE)</f>
        <v>川越第二工場１係</v>
      </c>
      <c r="E60" s="22">
        <f>COUNTIF(参考1男性!$C$5:$P$3816,A54)</f>
        <v>2</v>
      </c>
      <c r="F60" s="22">
        <f>COUNTIF(参考2女性!$C$5:$Q$551,A54)</f>
        <v>0</v>
      </c>
      <c r="G60" s="22">
        <f>E60+F60</f>
        <v>2</v>
      </c>
      <c r="H60" s="22">
        <f>COUNTIF(参考3パート嘱託!$C$4:$Q$782,B54)</f>
        <v>0</v>
      </c>
      <c r="I60" s="22">
        <f>SUM(G60:H60)</f>
        <v>2</v>
      </c>
      <c r="J60" s="22"/>
      <c r="K60" s="83">
        <f>G60+H60+J60</f>
        <v>2</v>
      </c>
    </row>
    <row r="61" spans="1:12">
      <c r="A61" s="75">
        <v>21000</v>
      </c>
      <c r="B61" s="46">
        <v>21020</v>
      </c>
      <c r="C61" s="575"/>
      <c r="D61" s="98" t="str">
        <f>VLOOKUP(A55,正社員!$P$234:$Q$460,2,FALSE)</f>
        <v>川越第二工場２係</v>
      </c>
      <c r="E61" s="22">
        <f>COUNTIF(参考1男性!$C$5:$P$3816,A55)</f>
        <v>4</v>
      </c>
      <c r="F61" s="22">
        <f>COUNTIF(参考2女性!$C$5:$Q$551,A55)</f>
        <v>0</v>
      </c>
      <c r="G61" s="22">
        <f>E61+F61</f>
        <v>4</v>
      </c>
      <c r="H61" s="271">
        <f>COUNTIF(参考3パート嘱託!$C$4:$Q$782,B55)</f>
        <v>2</v>
      </c>
      <c r="I61" s="22">
        <f>SUM(G61:H61)</f>
        <v>6</v>
      </c>
      <c r="J61" s="22"/>
      <c r="K61" s="83">
        <f>G61+H61+J61</f>
        <v>6</v>
      </c>
    </row>
    <row r="62" spans="1:12">
      <c r="A62" s="75">
        <v>22000</v>
      </c>
      <c r="B62" s="46">
        <v>22020</v>
      </c>
      <c r="C62" s="575"/>
      <c r="D62" s="98" t="str">
        <f>VLOOKUP(A56,正社員!$P$234:$Q$460,2,FALSE)</f>
        <v>川越第二工場５係</v>
      </c>
      <c r="E62" s="22">
        <f>COUNTIF(参考1男性!$C$5:$P$3816,A56)</f>
        <v>5</v>
      </c>
      <c r="F62" s="22">
        <f>COUNTIF(参考2女性!$C$5:$Q$551,A56)</f>
        <v>0</v>
      </c>
      <c r="G62" s="22">
        <f>E62+F62</f>
        <v>5</v>
      </c>
      <c r="H62" s="271">
        <f>COUNTIF(参考3パート嘱託!$C$4:$Q$782,B56)</f>
        <v>2</v>
      </c>
      <c r="I62" s="22">
        <f>SUM(G62:H62)</f>
        <v>7</v>
      </c>
      <c r="J62" s="22"/>
      <c r="K62" s="83">
        <f>G62+H62+J62</f>
        <v>7</v>
      </c>
    </row>
    <row r="63" spans="1:12">
      <c r="A63" s="75">
        <v>60000</v>
      </c>
      <c r="B63" s="46">
        <v>60020</v>
      </c>
      <c r="C63" s="576"/>
      <c r="D63" s="98" t="str">
        <f>VLOOKUP(A57,正社員!$P$234:$Q$460,2,FALSE)</f>
        <v>川越第二工場鋳造部門</v>
      </c>
      <c r="E63" s="22">
        <f>COUNTIF(参考1男性!$C$5:$P$3816,A57)</f>
        <v>15</v>
      </c>
      <c r="F63" s="22">
        <f>COUNTIF(参考2女性!$C$5:$Q$551,A57)</f>
        <v>0</v>
      </c>
      <c r="G63" s="22">
        <f>E63+F63</f>
        <v>15</v>
      </c>
      <c r="H63" s="271">
        <f>COUNTIF(参考3パート嘱託!$C$4:$Q$782,B57)</f>
        <v>1</v>
      </c>
      <c r="I63" s="22">
        <f>SUM(G63:H63)</f>
        <v>16</v>
      </c>
      <c r="J63" s="22"/>
      <c r="K63" s="83">
        <f>G63+H63+J63</f>
        <v>16</v>
      </c>
    </row>
    <row r="64" spans="1:12">
      <c r="A64" s="75">
        <v>60100</v>
      </c>
      <c r="B64" s="46">
        <v>60120</v>
      </c>
      <c r="C64" s="99" t="s">
        <v>626</v>
      </c>
      <c r="D64" s="98" t="str">
        <f>VLOOKUP(A58,正社員!$P$39:$Q$195,2,FALSE)</f>
        <v>川越第二工場管理</v>
      </c>
      <c r="E64" s="22">
        <f>COUNTIF(参考1男性!$C$5:$P$3816,A58)</f>
        <v>5</v>
      </c>
      <c r="F64" s="22">
        <f>COUNTIF(参考2女性!$C$5:$Q$551,A58)</f>
        <v>2</v>
      </c>
      <c r="G64" s="22">
        <f>E64+F64</f>
        <v>7</v>
      </c>
      <c r="H64" s="271">
        <f>COUNTIF(参考3パート嘱託!$C$4:$Q$782,B58)</f>
        <v>2</v>
      </c>
      <c r="I64" s="22">
        <f>SUM(G64:H64)</f>
        <v>9</v>
      </c>
      <c r="J64" s="22"/>
      <c r="K64" s="83">
        <f>G64+H64+J64</f>
        <v>9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78">
        <f>SUM(E66:E71)</f>
        <v>13</v>
      </c>
      <c r="F65" s="78">
        <f t="shared" ref="F65:K65" si="13">SUM(F66:F71)</f>
        <v>10</v>
      </c>
      <c r="G65" s="78">
        <f t="shared" si="13"/>
        <v>23</v>
      </c>
      <c r="H65" s="78">
        <f t="shared" si="13"/>
        <v>2</v>
      </c>
      <c r="I65" s="78">
        <f t="shared" si="13"/>
        <v>25</v>
      </c>
      <c r="J65" s="78">
        <f t="shared" si="13"/>
        <v>0</v>
      </c>
      <c r="K65" s="87">
        <f t="shared" si="13"/>
        <v>25</v>
      </c>
      <c r="L65" s="94"/>
    </row>
    <row r="66" spans="1:12">
      <c r="A66" s="76"/>
      <c r="B66" s="56"/>
      <c r="C66" s="586" t="s">
        <v>643</v>
      </c>
      <c r="D66" s="98" t="str">
        <f>VLOOKUP(A60,正社員!$P$39:$Q$195,2,FALSE)</f>
        <v>生産管理部製品管理課</v>
      </c>
      <c r="E66" s="22">
        <f>COUNTIF(参考1男性!$C$5:$P$3366,A60)</f>
        <v>2</v>
      </c>
      <c r="F66" s="22">
        <f>COUNTIF(参考2女性!$C$5:$Q$551,A60)</f>
        <v>1</v>
      </c>
      <c r="G66" s="22">
        <f t="shared" ref="G66:G71" si="14">E66+F66</f>
        <v>3</v>
      </c>
      <c r="H66" s="22">
        <f>COUNTIF(参考3パート嘱託!$C$4:$Q$782,B60)</f>
        <v>0</v>
      </c>
      <c r="I66" s="22">
        <f t="shared" ref="I66:I71" si="15">SUM(G66:H66)</f>
        <v>3</v>
      </c>
      <c r="J66" s="22"/>
      <c r="K66" s="83">
        <f t="shared" ref="K66:K71" si="16">G66+H66+J66</f>
        <v>3</v>
      </c>
    </row>
    <row r="67" spans="1:12">
      <c r="A67" s="75">
        <v>30000</v>
      </c>
      <c r="B67" s="46">
        <v>30020</v>
      </c>
      <c r="C67" s="575"/>
      <c r="D67" s="81" t="s">
        <v>638</v>
      </c>
      <c r="E67" s="22">
        <f>COUNTIF(参考1男性!$C$5:$P$3366,A61)</f>
        <v>3</v>
      </c>
      <c r="F67" s="22">
        <f>COUNTIF(参考2女性!$C$5:$Q$551,A61)</f>
        <v>1</v>
      </c>
      <c r="G67" s="22">
        <f t="shared" si="14"/>
        <v>4</v>
      </c>
      <c r="H67" s="271">
        <f>COUNTIF(参考3パート嘱託!$C$4:$Q$782,B61)</f>
        <v>1</v>
      </c>
      <c r="I67" s="22">
        <f t="shared" si="15"/>
        <v>5</v>
      </c>
      <c r="J67" s="22"/>
      <c r="K67" s="83">
        <f t="shared" si="16"/>
        <v>5</v>
      </c>
    </row>
    <row r="68" spans="1:12">
      <c r="A68" s="75">
        <v>31000</v>
      </c>
      <c r="B68" s="46">
        <v>31020</v>
      </c>
      <c r="C68" s="576"/>
      <c r="D68" s="98" t="str">
        <f>VLOOKUP(A62,正社員!$P$39:$Q$195,2,FALSE)</f>
        <v>生産管理部ＩＴ管理課</v>
      </c>
      <c r="E68" s="22">
        <f>COUNTIF(参考1男性!$C$5:$P$3366,A62)</f>
        <v>4</v>
      </c>
      <c r="F68" s="22">
        <f>COUNTIF(参考2女性!$C$5:$Q$551,A62)</f>
        <v>3</v>
      </c>
      <c r="G68" s="22">
        <f t="shared" si="14"/>
        <v>7</v>
      </c>
      <c r="H68" s="271">
        <f>COUNTIF(参考3パート嘱託!$C$4:$Q$782,B62)</f>
        <v>0</v>
      </c>
      <c r="I68" s="22">
        <f t="shared" si="15"/>
        <v>7</v>
      </c>
      <c r="J68" s="22"/>
      <c r="K68" s="83">
        <f t="shared" si="16"/>
        <v>7</v>
      </c>
    </row>
    <row r="69" spans="1:12">
      <c r="A69" s="75">
        <v>32000</v>
      </c>
      <c r="B69" s="46">
        <v>32020</v>
      </c>
      <c r="C69" s="586" t="s">
        <v>647</v>
      </c>
      <c r="D69" s="98" t="str">
        <f>VLOOKUP(A63,正社員!$P$39:$Q$195,2,FALSE)</f>
        <v>生産管理部製品管理課(羽生)</v>
      </c>
      <c r="E69" s="22">
        <f>COUNTIF(参考1男性!$C$5:$P$3366,A63)</f>
        <v>2</v>
      </c>
      <c r="F69" s="22">
        <f>COUNTIF(参考2女性!$C$5:$Q$551,A63)</f>
        <v>2</v>
      </c>
      <c r="G69" s="22">
        <f t="shared" si="14"/>
        <v>4</v>
      </c>
      <c r="H69" s="271">
        <f>COUNTIF(参考3パート嘱託!$C$4:$Q$782,B63)</f>
        <v>1</v>
      </c>
      <c r="I69" s="22">
        <f t="shared" si="15"/>
        <v>5</v>
      </c>
      <c r="J69" s="22"/>
      <c r="K69" s="83">
        <f t="shared" si="16"/>
        <v>5</v>
      </c>
    </row>
    <row r="70" spans="1:12">
      <c r="A70" s="75">
        <v>33000</v>
      </c>
      <c r="B70" s="46">
        <v>33020</v>
      </c>
      <c r="C70" s="575"/>
      <c r="D70" s="81" t="s">
        <v>639</v>
      </c>
      <c r="E70" s="22">
        <f>COUNTIF(参考1男性!$C$5:$P$3366,A64)</f>
        <v>1</v>
      </c>
      <c r="F70" s="22">
        <f>COUNTIF(参考2女性!$C$5:$Q$551,A64)</f>
        <v>2</v>
      </c>
      <c r="G70" s="22">
        <f t="shared" si="14"/>
        <v>3</v>
      </c>
      <c r="H70" s="271">
        <f>COUNTIF(参考3パート嘱託!$C$4:$Q$782,B64)</f>
        <v>0</v>
      </c>
      <c r="I70" s="22">
        <f t="shared" si="15"/>
        <v>3</v>
      </c>
      <c r="J70" s="22"/>
      <c r="K70" s="83">
        <f t="shared" si="16"/>
        <v>3</v>
      </c>
    </row>
    <row r="71" spans="1:12">
      <c r="A71" s="75">
        <v>61000</v>
      </c>
      <c r="B71" s="46">
        <v>61020</v>
      </c>
      <c r="C71" s="576"/>
      <c r="D71" s="98" t="str">
        <f>VLOOKUP(A65,正社員!$P$39:$Q$195,2,FALSE)</f>
        <v>生産管理部ＩＴ管理課(羽生)</v>
      </c>
      <c r="E71" s="22">
        <f>COUNTIF(参考1男性!$C$5:$P$3366,A65)</f>
        <v>1</v>
      </c>
      <c r="F71" s="22">
        <f>COUNTIF(参考2女性!$C$5:$Q$551,A65)</f>
        <v>1</v>
      </c>
      <c r="G71" s="22">
        <f t="shared" si="14"/>
        <v>2</v>
      </c>
      <c r="H71" s="271">
        <f>COUNTIF(参考3パート嘱託!$C$4:$Q$782,B65)</f>
        <v>0</v>
      </c>
      <c r="I71" s="22">
        <f t="shared" si="15"/>
        <v>2</v>
      </c>
      <c r="J71" s="22"/>
      <c r="K71" s="83">
        <f t="shared" si="16"/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104">
        <f>K73</f>
        <v>49</v>
      </c>
    </row>
    <row r="73" spans="1:12">
      <c r="C73" s="584" t="s">
        <v>617</v>
      </c>
      <c r="D73" s="585"/>
      <c r="E73" s="78">
        <f>SUM(E74:E79)</f>
        <v>38</v>
      </c>
      <c r="F73" s="78">
        <f t="shared" ref="F73:K73" si="17">SUM(F74:F79)</f>
        <v>4</v>
      </c>
      <c r="G73" s="78">
        <f t="shared" si="17"/>
        <v>42</v>
      </c>
      <c r="H73" s="78">
        <f t="shared" si="17"/>
        <v>7</v>
      </c>
      <c r="I73" s="78">
        <f t="shared" si="17"/>
        <v>49</v>
      </c>
      <c r="J73" s="78">
        <f t="shared" si="17"/>
        <v>0</v>
      </c>
      <c r="K73" s="87">
        <f t="shared" si="17"/>
        <v>49</v>
      </c>
      <c r="L73" s="37"/>
    </row>
    <row r="74" spans="1:12">
      <c r="B74" s="56"/>
      <c r="C74" s="586" t="s">
        <v>643</v>
      </c>
      <c r="D74" s="98" t="str">
        <f>VLOOKUP(A67,正社員!$P$39:$Q$195,2,FALSE)</f>
        <v>生産技術部１課</v>
      </c>
      <c r="E74" s="22">
        <f>COUNTIF(参考1男性!$C$5:$P$3366,A67)</f>
        <v>13</v>
      </c>
      <c r="F74" s="22">
        <f>COUNTIF(参考2女性!$C$5:$Q$551,A67)</f>
        <v>1</v>
      </c>
      <c r="G74" s="22">
        <f t="shared" ref="G74:G79" si="18">E74+F74</f>
        <v>14</v>
      </c>
      <c r="H74" s="22">
        <f>COUNTIF(参考3パート嘱託!$C$4:$Q$782,B67)</f>
        <v>2</v>
      </c>
      <c r="I74" s="22">
        <f t="shared" ref="I74:I79" si="19">SUM(G74:H74)</f>
        <v>16</v>
      </c>
      <c r="J74" s="22"/>
      <c r="K74" s="83">
        <f t="shared" ref="K74:K79" si="20">G74+H74+J74</f>
        <v>16</v>
      </c>
    </row>
    <row r="75" spans="1:12">
      <c r="C75" s="575"/>
      <c r="D75" s="98" t="str">
        <f>VLOOKUP(A68,正社員!$P$39:$Q$195,2,FALSE)</f>
        <v>生産技術部２課工機係</v>
      </c>
      <c r="E75" s="22">
        <f>COUNTIF(参考1男性!$C$5:$P$3366,A68)</f>
        <v>8</v>
      </c>
      <c r="F75" s="22">
        <f>COUNTIF(参考2女性!$C$5:$Q$524,A68)</f>
        <v>1</v>
      </c>
      <c r="G75" s="22">
        <f t="shared" si="18"/>
        <v>9</v>
      </c>
      <c r="H75" s="271">
        <f>COUNTIF(参考3パート嘱託!$C$4:$Q$782,B68)</f>
        <v>0</v>
      </c>
      <c r="I75" s="22">
        <f t="shared" si="19"/>
        <v>9</v>
      </c>
      <c r="J75" s="22"/>
      <c r="K75" s="83">
        <f t="shared" si="20"/>
        <v>9</v>
      </c>
    </row>
    <row r="76" spans="1:12">
      <c r="C76" s="575"/>
      <c r="D76" s="98" t="str">
        <f>VLOOKUP(A69,正社員!$P$39:$Q$195,2,FALSE)</f>
        <v>生産技術部２課試作係</v>
      </c>
      <c r="E76" s="22">
        <f>COUNTIF(参考1男性!$C$5:$P$3366,A69)</f>
        <v>2</v>
      </c>
      <c r="F76" s="22">
        <f>COUNTIF(参考2女性!$C$5:$Q$551,A69)</f>
        <v>0</v>
      </c>
      <c r="G76" s="22">
        <f t="shared" si="18"/>
        <v>2</v>
      </c>
      <c r="H76" s="271">
        <f>COUNTIF(参考3パート嘱託!$C$4:$Q$782,B69)</f>
        <v>0</v>
      </c>
      <c r="I76" s="22">
        <f t="shared" si="19"/>
        <v>2</v>
      </c>
      <c r="J76" s="22"/>
      <c r="K76" s="83">
        <f t="shared" si="20"/>
        <v>2</v>
      </c>
    </row>
    <row r="77" spans="1:12">
      <c r="C77" s="576"/>
      <c r="D77" s="98" t="str">
        <f>VLOOKUP(A70,正社員!$P$39:$Q$195,2,FALSE)</f>
        <v>生産技術部２課保全係</v>
      </c>
      <c r="E77" s="22">
        <f>COUNTIF(参考1男性!$C$5:$P$3366,A70)</f>
        <v>1</v>
      </c>
      <c r="F77" s="22">
        <f>COUNTIF(参考2女性!$C$5:$Q$551,A70)</f>
        <v>0</v>
      </c>
      <c r="G77" s="22">
        <f t="shared" si="18"/>
        <v>1</v>
      </c>
      <c r="H77" s="271">
        <f>COUNTIF(参考3パート嘱託!$C$4:$Q$782,B70)</f>
        <v>0</v>
      </c>
      <c r="I77" s="22">
        <f t="shared" si="19"/>
        <v>1</v>
      </c>
      <c r="J77" s="22"/>
      <c r="K77" s="83">
        <f t="shared" si="20"/>
        <v>1</v>
      </c>
    </row>
    <row r="78" spans="1:12">
      <c r="C78" s="586" t="s">
        <v>647</v>
      </c>
      <c r="D78" s="98" t="str">
        <f>VLOOKUP(A71,正社員!$P$39:$Q$195,2,FALSE)</f>
        <v>生産技術部（羽生）</v>
      </c>
      <c r="E78" s="22">
        <f>COUNTIF(参考1男性!$C$5:$P$3366,A71)</f>
        <v>10</v>
      </c>
      <c r="F78" s="22">
        <f>COUNTIF(参考2女性!$C$5:$Q$551,A71)</f>
        <v>1</v>
      </c>
      <c r="G78" s="22">
        <f t="shared" si="18"/>
        <v>11</v>
      </c>
      <c r="H78" s="271">
        <f>COUNTIF(参考3パート嘱託!$C$4:$Q$782,B71)</f>
        <v>1</v>
      </c>
      <c r="I78" s="22">
        <f t="shared" si="19"/>
        <v>12</v>
      </c>
      <c r="J78" s="22"/>
      <c r="K78" s="83">
        <f t="shared" si="20"/>
        <v>12</v>
      </c>
    </row>
    <row r="79" spans="1:12">
      <c r="C79" s="576"/>
      <c r="D79" s="98" t="str">
        <f>VLOOKUP(A72,正社員!$P$39:$Q$195,2,FALSE)</f>
        <v>生産技術部工機（羽生）</v>
      </c>
      <c r="E79" s="22">
        <f>COUNTIF(参考1男性!$C$5:$P$3366,A72)</f>
        <v>4</v>
      </c>
      <c r="F79" s="22">
        <f>COUNTIF(参考2女性!$C$5:$Q$551,A72)</f>
        <v>1</v>
      </c>
      <c r="G79" s="22">
        <f t="shared" si="18"/>
        <v>5</v>
      </c>
      <c r="H79" s="271">
        <f>COUNTIF(参考3パート嘱託!$C$4:$Q$782,B72)</f>
        <v>4</v>
      </c>
      <c r="I79" s="22">
        <f t="shared" si="19"/>
        <v>9</v>
      </c>
      <c r="J79" s="22"/>
      <c r="K79" s="83">
        <f t="shared" si="20"/>
        <v>9</v>
      </c>
    </row>
    <row r="80" spans="1:12" ht="18.600000000000001" thickBot="1">
      <c r="C80" s="597" t="s">
        <v>642</v>
      </c>
      <c r="D80" s="598"/>
      <c r="E80" s="92">
        <f t="shared" ref="E80:K80" si="21">E73+E65+E59+E41+E25+E23+E19+E20+E21+E17+E14+E12+E9+E10</f>
        <v>392</v>
      </c>
      <c r="F80" s="92">
        <f t="shared" si="21"/>
        <v>52</v>
      </c>
      <c r="G80" s="92">
        <f t="shared" si="21"/>
        <v>444</v>
      </c>
      <c r="H80" s="92">
        <f t="shared" si="21"/>
        <v>81</v>
      </c>
      <c r="I80" s="92">
        <f>I73+I65+I59+I41+I25+I23+I19+I20+I21+I17+I14+I12+I9+I10</f>
        <v>525</v>
      </c>
      <c r="J80" s="92">
        <f t="shared" si="21"/>
        <v>0</v>
      </c>
      <c r="K80" s="93">
        <f t="shared" si="21"/>
        <v>525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95" t="s">
        <v>69</v>
      </c>
      <c r="F83" s="95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t="s">
        <v>843</v>
      </c>
      <c r="M85" t="s">
        <v>844</v>
      </c>
      <c r="N85" s="468" t="s">
        <v>845</v>
      </c>
      <c r="O85" t="s">
        <v>846</v>
      </c>
      <c r="P85" t="s">
        <v>847</v>
      </c>
    </row>
    <row r="86" spans="3:16">
      <c r="L86" t="s">
        <v>848</v>
      </c>
      <c r="M86" s="468" t="s">
        <v>849</v>
      </c>
      <c r="N86" t="s">
        <v>850</v>
      </c>
      <c r="O86" t="s">
        <v>851</v>
      </c>
      <c r="P86" t="s">
        <v>852</v>
      </c>
    </row>
    <row r="87" spans="3:16">
      <c r="C87" s="46" t="s">
        <v>1690</v>
      </c>
      <c r="D87" s="467"/>
      <c r="L87" t="s">
        <v>853</v>
      </c>
      <c r="M87" t="s">
        <v>858</v>
      </c>
    </row>
    <row r="88" spans="3:16">
      <c r="C88" s="46" t="s">
        <v>1691</v>
      </c>
      <c r="D88" s="467"/>
      <c r="L88" t="s">
        <v>854</v>
      </c>
      <c r="M88" t="s">
        <v>855</v>
      </c>
      <c r="N88" t="s">
        <v>856</v>
      </c>
      <c r="O88" t="s">
        <v>857</v>
      </c>
    </row>
    <row r="89" spans="3:16">
      <c r="D89" s="467"/>
      <c r="M89" t="s">
        <v>1660</v>
      </c>
    </row>
    <row r="90" spans="3:16">
      <c r="C90" s="46" t="s">
        <v>1692</v>
      </c>
      <c r="D90" s="467"/>
    </row>
    <row r="91" spans="3:16">
      <c r="C91" s="46" t="s">
        <v>1693</v>
      </c>
      <c r="D91" s="467"/>
    </row>
  </sheetData>
  <mergeCells count="48">
    <mergeCell ref="C84:K84"/>
    <mergeCell ref="C81:C83"/>
    <mergeCell ref="D81:K81"/>
    <mergeCell ref="D82:D83"/>
    <mergeCell ref="E82:F82"/>
    <mergeCell ref="G82:G83"/>
    <mergeCell ref="H82:H83"/>
    <mergeCell ref="I82:I83"/>
    <mergeCell ref="J82:J83"/>
    <mergeCell ref="K82:K83"/>
    <mergeCell ref="L29:O30"/>
    <mergeCell ref="L46:N47"/>
    <mergeCell ref="C22:J22"/>
    <mergeCell ref="C24:J24"/>
    <mergeCell ref="C73:D73"/>
    <mergeCell ref="C66:C68"/>
    <mergeCell ref="C65:D65"/>
    <mergeCell ref="C25:D25"/>
    <mergeCell ref="C72:J72"/>
    <mergeCell ref="C35:C38"/>
    <mergeCell ref="C46:C52"/>
    <mergeCell ref="C53:C55"/>
    <mergeCell ref="A4:A5"/>
    <mergeCell ref="D4:D5"/>
    <mergeCell ref="E4:F4"/>
    <mergeCell ref="G4:G5"/>
    <mergeCell ref="H4:H5"/>
    <mergeCell ref="C3:C5"/>
    <mergeCell ref="D3:K3"/>
    <mergeCell ref="I4:I5"/>
    <mergeCell ref="J4:J5"/>
    <mergeCell ref="K4:K5"/>
    <mergeCell ref="C18:J18"/>
    <mergeCell ref="C13:J13"/>
    <mergeCell ref="C11:J11"/>
    <mergeCell ref="C8:J8"/>
    <mergeCell ref="C80:D80"/>
    <mergeCell ref="C19:C20"/>
    <mergeCell ref="C74:C77"/>
    <mergeCell ref="C78:C79"/>
    <mergeCell ref="C69:C71"/>
    <mergeCell ref="C60:C63"/>
    <mergeCell ref="C59:D59"/>
    <mergeCell ref="C41:D41"/>
    <mergeCell ref="C56:C57"/>
    <mergeCell ref="C26:C28"/>
    <mergeCell ref="C42:C45"/>
    <mergeCell ref="C29:C34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419"/>
  <sheetViews>
    <sheetView tabSelected="1" topLeftCell="B110" workbookViewId="0">
      <selection activeCell="H23" sqref="H23"/>
    </sheetView>
  </sheetViews>
  <sheetFormatPr defaultRowHeight="18"/>
  <cols>
    <col min="2" max="2" width="5.59765625" customWidth="1"/>
    <col min="4" max="4" width="14.19921875" customWidth="1"/>
    <col min="5" max="5" width="4.3984375" hidden="1" customWidth="1"/>
    <col min="6" max="6" width="10.19921875" style="2" hidden="1" customWidth="1"/>
    <col min="7" max="7" width="11.69921875" style="3" hidden="1" customWidth="1"/>
    <col min="8" max="9" width="9.3984375" style="3" hidden="1" customWidth="1"/>
    <col min="10" max="13" width="10.69921875" style="2" hidden="1" customWidth="1"/>
    <col min="14" max="14" width="8.5" style="2" customWidth="1"/>
    <col min="15" max="15" width="4.19921875" style="66" hidden="1" customWidth="1"/>
    <col min="16" max="16" width="8" style="67" customWidth="1"/>
    <col min="17" max="17" width="18.59765625" customWidth="1"/>
    <col min="18" max="19" width="4.09765625" customWidth="1"/>
    <col min="20" max="20" width="4.5" customWidth="1"/>
  </cols>
  <sheetData>
    <row r="1" spans="1:21">
      <c r="D1" s="66"/>
    </row>
    <row r="2" spans="1:21" ht="18.75" customHeight="1" thickBot="1">
      <c r="D2" s="566" t="s">
        <v>0</v>
      </c>
      <c r="E2" s="567"/>
      <c r="F2" s="568"/>
      <c r="G2" s="4"/>
      <c r="H2" s="4"/>
      <c r="I2" s="4"/>
      <c r="J2" s="5"/>
      <c r="K2" s="5"/>
      <c r="L2" s="5"/>
      <c r="M2" s="5"/>
      <c r="N2" s="5"/>
    </row>
    <row r="3" spans="1:21" ht="18.75" customHeight="1">
      <c r="B3" s="6"/>
      <c r="C3" s="552" t="s">
        <v>1</v>
      </c>
      <c r="D3" s="552" t="s">
        <v>2</v>
      </c>
      <c r="E3" s="554" t="s">
        <v>3</v>
      </c>
      <c r="F3" s="556" t="s">
        <v>4</v>
      </c>
      <c r="G3" s="7"/>
      <c r="H3" s="7"/>
      <c r="I3" s="7"/>
      <c r="J3" s="558" t="s">
        <v>5</v>
      </c>
      <c r="K3" s="8"/>
      <c r="L3" s="8"/>
      <c r="M3" s="8"/>
      <c r="N3" s="8"/>
      <c r="O3" s="560" t="s">
        <v>6</v>
      </c>
      <c r="P3" s="68" t="s">
        <v>7</v>
      </c>
      <c r="Q3" s="62" t="s">
        <v>7</v>
      </c>
      <c r="R3" s="562" t="s">
        <v>8</v>
      </c>
      <c r="S3" s="562" t="s">
        <v>8</v>
      </c>
      <c r="T3" s="564" t="s">
        <v>9</v>
      </c>
    </row>
    <row r="4" spans="1:21" ht="18.75" customHeight="1" thickBot="1">
      <c r="B4" s="9"/>
      <c r="C4" s="553"/>
      <c r="D4" s="553"/>
      <c r="E4" s="555"/>
      <c r="F4" s="557"/>
      <c r="G4" s="10">
        <v>44621</v>
      </c>
      <c r="H4" s="7"/>
      <c r="I4" s="7"/>
      <c r="J4" s="559"/>
      <c r="K4" s="11"/>
      <c r="L4" s="8"/>
      <c r="M4" s="8"/>
      <c r="N4" s="8"/>
      <c r="O4" s="561"/>
      <c r="P4" s="69" t="s">
        <v>10</v>
      </c>
      <c r="Q4" s="63" t="s">
        <v>11</v>
      </c>
      <c r="R4" s="563"/>
      <c r="S4" s="563"/>
      <c r="T4" s="565"/>
    </row>
    <row r="5" spans="1:21">
      <c r="A5">
        <v>1</v>
      </c>
      <c r="B5" s="21">
        <v>37</v>
      </c>
      <c r="C5" s="22">
        <v>1376</v>
      </c>
      <c r="D5" s="22" t="s">
        <v>20</v>
      </c>
      <c r="E5" s="23" t="s">
        <v>15</v>
      </c>
      <c r="F5" s="24">
        <v>19811204</v>
      </c>
      <c r="G5" s="16">
        <f>DATE(INT(F5/10000),INT(MOD(F5,10000)/100),MOD(F5,100))</f>
        <v>29924</v>
      </c>
      <c r="H5" s="2">
        <f>DATEDIF(G5,$G$4,"Y")</f>
        <v>40</v>
      </c>
      <c r="I5" s="17"/>
      <c r="J5" s="25">
        <v>20120221</v>
      </c>
      <c r="K5" s="16">
        <f>DATE(INT(J5/10000),INT(MOD(J5,10000)/100),MOD(J5,100))</f>
        <v>40960</v>
      </c>
      <c r="L5" s="2">
        <f>DATEDIF(K5,$G$4,"Y")</f>
        <v>10</v>
      </c>
      <c r="M5" s="25" t="e">
        <f>VLOOKUP($C5,#REF!:#REF!,2,FALSE)</f>
        <v>#REF!</v>
      </c>
      <c r="N5" s="26"/>
      <c r="O5" s="27" t="s">
        <v>16</v>
      </c>
      <c r="P5" s="223">
        <f>VLOOKUP($C5,従業員情報!$A$2:'従業員情報'!$AM$2000,5,FALSE)</f>
        <v>1000</v>
      </c>
      <c r="Q5" s="223" t="str">
        <f>VLOOKUP($C5,従業員情報!$A$2:'従業員情報'!$AM$2000,6,FALSE)</f>
        <v>人事部</v>
      </c>
      <c r="R5" s="22">
        <v>0</v>
      </c>
      <c r="S5" s="22"/>
      <c r="T5" s="22">
        <v>1</v>
      </c>
      <c r="U5">
        <v>1</v>
      </c>
    </row>
    <row r="6" spans="1:21">
      <c r="A6">
        <v>2</v>
      </c>
      <c r="B6" s="21">
        <v>53</v>
      </c>
      <c r="C6" s="22">
        <v>1399</v>
      </c>
      <c r="D6" s="22" t="s">
        <v>21</v>
      </c>
      <c r="E6" s="23" t="s">
        <v>15</v>
      </c>
      <c r="F6" s="24">
        <v>19660615</v>
      </c>
      <c r="G6" s="16">
        <f>DATE(INT(F6/10000),INT(MOD(F6,10000)/100),MOD(F6,100))</f>
        <v>24273</v>
      </c>
      <c r="H6" s="2">
        <f>DATEDIF(G6,$G$4,"Y")</f>
        <v>55</v>
      </c>
      <c r="I6" s="17"/>
      <c r="J6" s="25">
        <v>20181001</v>
      </c>
      <c r="K6" s="16">
        <f>DATE(INT(J6/10000),INT(MOD(J6,10000)/100),MOD(J6,100))</f>
        <v>43374</v>
      </c>
      <c r="L6" s="2">
        <f>DATEDIF(K6,$G$4,"Y")</f>
        <v>3</v>
      </c>
      <c r="M6" s="25" t="e">
        <f>VLOOKUP($C6,#REF!:#REF!,2,FALSE)</f>
        <v>#REF!</v>
      </c>
      <c r="N6" s="26"/>
      <c r="O6" s="27">
        <v>8</v>
      </c>
      <c r="P6" s="223">
        <f>VLOOKUP($C6,従業員情報!$A$2:'従業員情報'!$AM$2000,5,FALSE)</f>
        <v>1000</v>
      </c>
      <c r="Q6" s="223" t="str">
        <f>VLOOKUP($C6,従業員情報!$A$2:'従業員情報'!$AM$2000,6,FALSE)</f>
        <v>人事部</v>
      </c>
      <c r="R6" s="22">
        <v>0</v>
      </c>
      <c r="S6" s="22"/>
      <c r="T6" s="22">
        <v>2</v>
      </c>
      <c r="U6">
        <v>2</v>
      </c>
    </row>
    <row r="7" spans="1:21">
      <c r="A7">
        <v>53</v>
      </c>
      <c r="B7" s="21"/>
      <c r="C7" s="22">
        <v>1420</v>
      </c>
      <c r="D7" s="22" t="s">
        <v>700</v>
      </c>
      <c r="E7" s="23" t="s">
        <v>633</v>
      </c>
      <c r="F7" s="24">
        <v>19760722</v>
      </c>
      <c r="G7" s="16">
        <f>DATE(INT(F7/10000),INT(MOD(F7,10000)/100),MOD(F7,100))</f>
        <v>27963</v>
      </c>
      <c r="H7" s="2">
        <f>DATEDIF(G7,$G$4,"Y")</f>
        <v>45</v>
      </c>
      <c r="I7" s="17"/>
      <c r="J7" s="25">
        <v>20220101</v>
      </c>
      <c r="K7" s="16">
        <f>DATE(INT(J7/10000),INT(MOD(J7,10000)/100),MOD(J7,100))</f>
        <v>44562</v>
      </c>
      <c r="L7" s="2">
        <f>DATEDIF(K7,$G$4,"Y")</f>
        <v>0</v>
      </c>
      <c r="M7" s="25" t="e">
        <f>VLOOKUP($C7,#REF!:#REF!,2,FALSE)</f>
        <v>#REF!</v>
      </c>
      <c r="N7" s="26"/>
      <c r="O7" s="27"/>
      <c r="P7" s="223">
        <f>VLOOKUP($C7,従業員情報!$A$2:'従業員情報'!$AM$2000,5,FALSE)</f>
        <v>1000</v>
      </c>
      <c r="Q7" s="223" t="str">
        <f>VLOOKUP($C7,従業員情報!$A$2:'従業員情報'!$AM$2000,6,FALSE)</f>
        <v>人事部</v>
      </c>
      <c r="R7" s="22"/>
      <c r="S7" s="22"/>
      <c r="T7" s="22"/>
      <c r="U7">
        <v>3</v>
      </c>
    </row>
    <row r="8" spans="1:21">
      <c r="A8">
        <v>337</v>
      </c>
      <c r="B8" s="21">
        <v>404</v>
      </c>
      <c r="C8" s="22">
        <v>3936</v>
      </c>
      <c r="D8" s="22" t="s">
        <v>18</v>
      </c>
      <c r="E8" s="23" t="s">
        <v>15</v>
      </c>
      <c r="F8" s="24">
        <v>19770909</v>
      </c>
      <c r="G8" s="16">
        <f>DATE(INT(F8/10000),INT(MOD(F8,10000)/100),MOD(F8,100))</f>
        <v>28377</v>
      </c>
      <c r="H8" s="2">
        <f>DATEDIF(G8,$G$4,"Y")</f>
        <v>44</v>
      </c>
      <c r="I8" s="17"/>
      <c r="J8" s="25">
        <v>20060221</v>
      </c>
      <c r="K8" s="16">
        <f>DATE(INT(J8/10000),INT(MOD(J8,10000)/100),MOD(J8,100))</f>
        <v>38769</v>
      </c>
      <c r="L8" s="2">
        <f>DATEDIF(K8,$G$4,"Y")</f>
        <v>16</v>
      </c>
      <c r="M8" s="25" t="e">
        <f>VLOOKUP($C8,#REF!:#REF!,2,FALSE)</f>
        <v>#REF!</v>
      </c>
      <c r="N8" s="26"/>
      <c r="O8" s="27" t="s">
        <v>19</v>
      </c>
      <c r="P8" s="223">
        <f>VLOOKUP($C8,従業員情報!$A$2:'従業員情報'!$AM$2000,5,FALSE)</f>
        <v>1000</v>
      </c>
      <c r="Q8" s="223" t="str">
        <f>VLOOKUP($C8,従業員情報!$A$2:'従業員情報'!$AM$2000,6,FALSE)</f>
        <v>人事部</v>
      </c>
      <c r="R8" s="22">
        <v>0</v>
      </c>
      <c r="S8" s="22"/>
      <c r="T8" s="22">
        <v>1</v>
      </c>
      <c r="U8" s="264">
        <v>4</v>
      </c>
    </row>
    <row r="9" spans="1:21">
      <c r="B9" s="21"/>
      <c r="C9" s="22">
        <v>3545</v>
      </c>
      <c r="D9" s="22" t="s">
        <v>890</v>
      </c>
      <c r="E9" s="23"/>
      <c r="F9" s="24"/>
      <c r="G9" s="16"/>
      <c r="H9" s="2"/>
      <c r="I9" s="17"/>
      <c r="J9" s="25"/>
      <c r="K9" s="16"/>
      <c r="M9" s="25"/>
      <c r="N9" s="26"/>
      <c r="O9" s="27"/>
      <c r="P9" s="223">
        <f>VLOOKUP($C9,従業員情報!$A$2:'従業員情報'!$AM$2000,5,FALSE)</f>
        <v>1000</v>
      </c>
      <c r="Q9" s="223" t="str">
        <f>VLOOKUP($C9,従業員情報!$A$2:'従業員情報'!$AM$2000,6,FALSE)</f>
        <v>人事部</v>
      </c>
      <c r="R9" s="22"/>
      <c r="S9" s="22"/>
      <c r="T9" s="22"/>
      <c r="U9" s="264">
        <v>5</v>
      </c>
    </row>
    <row r="10" spans="1:21">
      <c r="A10">
        <v>251</v>
      </c>
      <c r="B10" s="21">
        <v>294</v>
      </c>
      <c r="C10" s="22">
        <v>3415</v>
      </c>
      <c r="D10" s="22" t="s">
        <v>22</v>
      </c>
      <c r="E10" s="23" t="s">
        <v>15</v>
      </c>
      <c r="F10" s="24">
        <v>19890705</v>
      </c>
      <c r="G10" s="16">
        <f>DATE(INT(F10/10000),INT(MOD(F10,10000)/100),MOD(F10,100))</f>
        <v>32694</v>
      </c>
      <c r="H10" s="2">
        <f>DATEDIF(G10,$G$4,"Y")</f>
        <v>32</v>
      </c>
      <c r="I10" s="17"/>
      <c r="J10" s="25">
        <v>20140321</v>
      </c>
      <c r="K10" s="16">
        <f>DATE(INT(J10/10000),INT(MOD(J10,10000)/100),MOD(J10,100))</f>
        <v>41719</v>
      </c>
      <c r="L10" s="2">
        <f>DATEDIF(K10,$G$4,"Y")</f>
        <v>7</v>
      </c>
      <c r="M10" s="25" t="e">
        <f>VLOOKUP($C10,#REF!:#REF!,2,FALSE)</f>
        <v>#REF!</v>
      </c>
      <c r="N10" s="26"/>
      <c r="O10" s="27" t="s">
        <v>16</v>
      </c>
      <c r="P10" s="223">
        <f>VLOOKUP($C10,従業員情報!$A$2:'従業員情報'!$AM$2000,5,FALSE)</f>
        <v>1100</v>
      </c>
      <c r="Q10" s="223" t="str">
        <f>VLOOKUP($C10,従業員情報!$A$2:'従業員情報'!$AM$2000,6,FALSE)</f>
        <v>人事部羽生</v>
      </c>
      <c r="R10" s="22">
        <v>0</v>
      </c>
      <c r="S10" s="22"/>
      <c r="T10" s="22">
        <v>1</v>
      </c>
      <c r="U10" s="264">
        <v>6</v>
      </c>
    </row>
    <row r="11" spans="1:21">
      <c r="A11">
        <v>230</v>
      </c>
      <c r="B11" s="21">
        <v>262</v>
      </c>
      <c r="C11" s="22">
        <v>3361</v>
      </c>
      <c r="D11" s="22" t="s">
        <v>23</v>
      </c>
      <c r="E11" s="23" t="s">
        <v>15</v>
      </c>
      <c r="F11" s="24">
        <v>19891109</v>
      </c>
      <c r="G11" s="16">
        <f>DATE(INT(F11/10000),INT(MOD(F11,10000)/100),MOD(F11,100))</f>
        <v>32821</v>
      </c>
      <c r="H11" s="2">
        <f>DATEDIF(G11,$G$4,"Y")</f>
        <v>32</v>
      </c>
      <c r="I11" s="17"/>
      <c r="J11" s="25">
        <v>20120321</v>
      </c>
      <c r="K11" s="16">
        <f>DATE(INT(J11/10000),INT(MOD(J11,10000)/100),MOD(J11,100))</f>
        <v>40989</v>
      </c>
      <c r="L11" s="2">
        <f>DATEDIF(K11,$G$4,"Y")</f>
        <v>9</v>
      </c>
      <c r="M11" s="25" t="e">
        <f>VLOOKUP($C11,#REF!:#REF!,2,FALSE)</f>
        <v>#REF!</v>
      </c>
      <c r="N11" s="26"/>
      <c r="O11" s="27" t="s">
        <v>16</v>
      </c>
      <c r="P11" s="223">
        <f>VLOOKUP($C11,従業員情報!$A$2:'従業員情報'!$AM$2000,5,FALSE)</f>
        <v>3000</v>
      </c>
      <c r="Q11" s="223" t="str">
        <f>VLOOKUP($C11,従業員情報!$A$2:'従業員情報'!$AM$2000,6,FALSE)</f>
        <v>経営管理部</v>
      </c>
      <c r="R11" s="22">
        <v>0</v>
      </c>
      <c r="S11" s="22"/>
      <c r="T11" s="22">
        <v>1</v>
      </c>
      <c r="U11" s="264">
        <v>7</v>
      </c>
    </row>
    <row r="12" spans="1:21">
      <c r="B12" s="21"/>
      <c r="C12" s="22">
        <v>1446</v>
      </c>
      <c r="D12" s="22" t="s">
        <v>906</v>
      </c>
      <c r="E12" s="23"/>
      <c r="F12" s="24"/>
      <c r="G12" s="16"/>
      <c r="H12" s="2"/>
      <c r="I12" s="17"/>
      <c r="J12" s="25"/>
      <c r="K12" s="16"/>
      <c r="M12" s="25"/>
      <c r="N12" s="26"/>
      <c r="O12" s="27"/>
      <c r="P12" s="223">
        <f>VLOOKUP($C12,従業員情報!$A$2:'従業員情報'!$AM$2000,5,FALSE)</f>
        <v>3000</v>
      </c>
      <c r="Q12" s="223" t="str">
        <f>VLOOKUP($C12,従業員情報!$A$2:'従業員情報'!$AM$2000,6,FALSE)</f>
        <v>経営管理部</v>
      </c>
      <c r="R12" s="22"/>
      <c r="S12" s="22"/>
      <c r="T12" s="22"/>
      <c r="U12" s="264">
        <v>376</v>
      </c>
    </row>
    <row r="13" spans="1:21">
      <c r="A13">
        <v>9</v>
      </c>
      <c r="B13" s="21">
        <v>12</v>
      </c>
      <c r="C13" s="22">
        <v>1323</v>
      </c>
      <c r="D13" s="22" t="s">
        <v>27</v>
      </c>
      <c r="E13" s="23" t="s">
        <v>15</v>
      </c>
      <c r="F13" s="24">
        <v>19721018</v>
      </c>
      <c r="G13" s="16">
        <f t="shared" ref="G13:G37" si="0">DATE(INT(F13/10000),INT(MOD(F13,10000)/100),MOD(F13,100))</f>
        <v>26590</v>
      </c>
      <c r="H13" s="2">
        <f t="shared" ref="H13:H37" si="1">DATEDIF(G13,$G$4,"Y")</f>
        <v>49</v>
      </c>
      <c r="I13" s="17"/>
      <c r="J13" s="25">
        <v>20030506</v>
      </c>
      <c r="K13" s="16">
        <f t="shared" ref="K13:K37" si="2">DATE(INT(J13/10000),INT(MOD(J13,10000)/100),MOD(J13,100))</f>
        <v>37747</v>
      </c>
      <c r="L13" s="2">
        <f t="shared" ref="L13:L37" si="3">DATEDIF(K13,$G$4,"Y")</f>
        <v>18</v>
      </c>
      <c r="M13" s="25" t="e">
        <f>VLOOKUP($C13,#REF!:#REF!,2,FALSE)</f>
        <v>#REF!</v>
      </c>
      <c r="N13" s="26"/>
      <c r="O13" s="27" t="s">
        <v>16</v>
      </c>
      <c r="P13" s="223">
        <f>VLOOKUP($C13,従業員情報!$A$2:'従業員情報'!$AM$2000,5,FALSE)</f>
        <v>10000</v>
      </c>
      <c r="Q13" s="223" t="str">
        <f>VLOOKUP($C13,従業員情報!$A$2:'従業員情報'!$AM$2000,6,FALSE)</f>
        <v>営業部</v>
      </c>
      <c r="R13" s="22">
        <v>0</v>
      </c>
      <c r="S13" s="22"/>
      <c r="T13" s="22">
        <v>1</v>
      </c>
      <c r="U13" s="264">
        <v>8</v>
      </c>
    </row>
    <row r="14" spans="1:21">
      <c r="A14">
        <v>39</v>
      </c>
      <c r="B14" s="21">
        <v>51</v>
      </c>
      <c r="C14" s="22">
        <v>1397</v>
      </c>
      <c r="D14" s="22" t="s">
        <v>29</v>
      </c>
      <c r="E14" s="23" t="s">
        <v>15</v>
      </c>
      <c r="F14" s="24">
        <v>19801023</v>
      </c>
      <c r="G14" s="16">
        <f t="shared" si="0"/>
        <v>29517</v>
      </c>
      <c r="H14" s="2">
        <f t="shared" si="1"/>
        <v>41</v>
      </c>
      <c r="I14" s="17"/>
      <c r="J14" s="25">
        <v>20180201</v>
      </c>
      <c r="K14" s="16">
        <f t="shared" si="2"/>
        <v>43132</v>
      </c>
      <c r="L14" s="2">
        <f t="shared" si="3"/>
        <v>4</v>
      </c>
      <c r="M14" s="25" t="e">
        <f>VLOOKUP($C14,#REF!:#REF!,2,FALSE)</f>
        <v>#REF!</v>
      </c>
      <c r="N14" s="26"/>
      <c r="O14" s="27">
        <v>8</v>
      </c>
      <c r="P14" s="223">
        <f>VLOOKUP($C14,従業員情報!$A$2:'従業員情報'!$AM$2000,5,FALSE)</f>
        <v>10000</v>
      </c>
      <c r="Q14" s="223" t="str">
        <f>VLOOKUP($C14,従業員情報!$A$2:'従業員情報'!$AM$2000,6,FALSE)</f>
        <v>営業部</v>
      </c>
      <c r="R14" s="22">
        <v>0</v>
      </c>
      <c r="S14" s="22"/>
      <c r="T14" s="22">
        <v>1</v>
      </c>
      <c r="U14" s="264">
        <v>9</v>
      </c>
    </row>
    <row r="15" spans="1:21">
      <c r="A15">
        <v>176</v>
      </c>
      <c r="B15" s="21">
        <v>192</v>
      </c>
      <c r="C15" s="22">
        <v>3210</v>
      </c>
      <c r="D15" s="22" t="s">
        <v>28</v>
      </c>
      <c r="E15" s="23" t="s">
        <v>15</v>
      </c>
      <c r="F15" s="24">
        <v>19810520</v>
      </c>
      <c r="G15" s="16">
        <f t="shared" si="0"/>
        <v>29726</v>
      </c>
      <c r="H15" s="2">
        <f t="shared" si="1"/>
        <v>40</v>
      </c>
      <c r="I15" s="17"/>
      <c r="J15" s="25">
        <v>20040322</v>
      </c>
      <c r="K15" s="16">
        <f t="shared" si="2"/>
        <v>38068</v>
      </c>
      <c r="L15" s="2">
        <f t="shared" si="3"/>
        <v>17</v>
      </c>
      <c r="M15" s="25" t="e">
        <f>VLOOKUP($C15,#REF!:#REF!,2,FALSE)</f>
        <v>#REF!</v>
      </c>
      <c r="N15" s="26"/>
      <c r="O15" s="27" t="s">
        <v>16</v>
      </c>
      <c r="P15" s="223">
        <f>VLOOKUP($C15,従業員情報!$A$2:'従業員情報'!$AM$2000,5,FALSE)</f>
        <v>10000</v>
      </c>
      <c r="Q15" s="223" t="str">
        <f>VLOOKUP($C15,従業員情報!$A$2:'従業員情報'!$AM$2000,6,FALSE)</f>
        <v>営業部</v>
      </c>
      <c r="R15" s="22">
        <v>0</v>
      </c>
      <c r="S15" s="22"/>
      <c r="T15" s="22">
        <v>1</v>
      </c>
      <c r="U15" s="264">
        <v>10</v>
      </c>
    </row>
    <row r="16" spans="1:21">
      <c r="A16">
        <v>217</v>
      </c>
      <c r="B16" s="21">
        <v>244</v>
      </c>
      <c r="C16" s="22">
        <v>3331</v>
      </c>
      <c r="D16" s="22" t="s">
        <v>30</v>
      </c>
      <c r="E16" s="23" t="s">
        <v>15</v>
      </c>
      <c r="F16" s="24">
        <v>19880505</v>
      </c>
      <c r="G16" s="16">
        <f t="shared" si="0"/>
        <v>32268</v>
      </c>
      <c r="H16" s="2">
        <f t="shared" si="1"/>
        <v>33</v>
      </c>
      <c r="I16" s="17"/>
      <c r="J16" s="25">
        <v>20110321</v>
      </c>
      <c r="K16" s="16">
        <f t="shared" si="2"/>
        <v>40623</v>
      </c>
      <c r="L16" s="2">
        <f t="shared" si="3"/>
        <v>10</v>
      </c>
      <c r="M16" s="25" t="e">
        <f>VLOOKUP($C16,#REF!:#REF!,2,FALSE)</f>
        <v>#REF!</v>
      </c>
      <c r="N16" s="26"/>
      <c r="O16" s="27" t="s">
        <v>16</v>
      </c>
      <c r="P16" s="223">
        <f>VLOOKUP($C16,従業員情報!$A$2:'従業員情報'!$AM$2000,5,FALSE)</f>
        <v>10000</v>
      </c>
      <c r="Q16" s="223" t="str">
        <f>VLOOKUP($C16,従業員情報!$A$2:'従業員情報'!$AM$2000,6,FALSE)</f>
        <v>営業部</v>
      </c>
      <c r="R16" s="22">
        <v>0</v>
      </c>
      <c r="S16" s="22"/>
      <c r="T16" s="22">
        <v>1</v>
      </c>
      <c r="U16" s="264">
        <v>11</v>
      </c>
    </row>
    <row r="17" spans="1:21">
      <c r="A17">
        <v>282</v>
      </c>
      <c r="B17" s="21">
        <v>344</v>
      </c>
      <c r="C17" s="22">
        <v>3491</v>
      </c>
      <c r="D17" s="22" t="s">
        <v>32</v>
      </c>
      <c r="E17" s="23" t="s">
        <v>15</v>
      </c>
      <c r="F17" s="24">
        <v>19950424</v>
      </c>
      <c r="G17" s="16">
        <f t="shared" si="0"/>
        <v>34813</v>
      </c>
      <c r="H17" s="2">
        <f t="shared" si="1"/>
        <v>26</v>
      </c>
      <c r="I17" s="17"/>
      <c r="J17" s="25">
        <v>20180402</v>
      </c>
      <c r="K17" s="16">
        <f t="shared" si="2"/>
        <v>43192</v>
      </c>
      <c r="L17" s="2">
        <f t="shared" si="3"/>
        <v>3</v>
      </c>
      <c r="M17" s="25" t="e">
        <f>VLOOKUP($C17,#REF!:#REF!,2,FALSE)</f>
        <v>#REF!</v>
      </c>
      <c r="N17" s="26"/>
      <c r="O17" s="27">
        <v>8</v>
      </c>
      <c r="P17" s="223">
        <f>VLOOKUP($C17,従業員情報!$A$2:'従業員情報'!$AM$2000,5,FALSE)</f>
        <v>10000</v>
      </c>
      <c r="Q17" s="223" t="str">
        <f>VLOOKUP($C17,従業員情報!$A$2:'従業員情報'!$AM$2000,6,FALSE)</f>
        <v>営業部</v>
      </c>
      <c r="R17" s="22">
        <v>0</v>
      </c>
      <c r="S17" s="22"/>
      <c r="T17" s="22">
        <v>2</v>
      </c>
      <c r="U17" s="264">
        <v>12</v>
      </c>
    </row>
    <row r="18" spans="1:21">
      <c r="A18">
        <v>289</v>
      </c>
      <c r="B18" s="21">
        <v>354</v>
      </c>
      <c r="C18" s="22">
        <v>3503</v>
      </c>
      <c r="D18" s="22" t="s">
        <v>129</v>
      </c>
      <c r="E18" s="23" t="s">
        <v>15</v>
      </c>
      <c r="F18" s="24">
        <v>19960611</v>
      </c>
      <c r="G18" s="16">
        <f t="shared" si="0"/>
        <v>35227</v>
      </c>
      <c r="H18" s="2">
        <f t="shared" si="1"/>
        <v>25</v>
      </c>
      <c r="I18" s="17"/>
      <c r="J18" s="25">
        <v>20190401</v>
      </c>
      <c r="K18" s="16">
        <f t="shared" si="2"/>
        <v>43556</v>
      </c>
      <c r="L18" s="2">
        <f t="shared" si="3"/>
        <v>2</v>
      </c>
      <c r="M18" s="25" t="e">
        <f>VLOOKUP($C18,#REF!:#REF!,2,FALSE)</f>
        <v>#REF!</v>
      </c>
      <c r="N18" s="26"/>
      <c r="O18" s="27">
        <v>8</v>
      </c>
      <c r="P18" s="223">
        <f>VLOOKUP($C18,従業員情報!$A$2:'従業員情報'!$AM$2000,5,FALSE)</f>
        <v>10000</v>
      </c>
      <c r="Q18" s="223" t="str">
        <f>VLOOKUP($C18,従業員情報!$A$2:'従業員情報'!$AM$2000,6,FALSE)</f>
        <v>営業部</v>
      </c>
      <c r="R18" s="22">
        <v>0</v>
      </c>
      <c r="S18" s="22"/>
      <c r="T18" s="22">
        <v>2</v>
      </c>
      <c r="U18" s="264">
        <v>203</v>
      </c>
    </row>
    <row r="19" spans="1:21">
      <c r="A19">
        <v>151</v>
      </c>
      <c r="B19" s="21">
        <v>163</v>
      </c>
      <c r="C19" s="22">
        <v>3129</v>
      </c>
      <c r="D19" s="22" t="s">
        <v>177</v>
      </c>
      <c r="E19" s="23" t="s">
        <v>15</v>
      </c>
      <c r="F19" s="24">
        <v>19740219</v>
      </c>
      <c r="G19" s="16">
        <f t="shared" si="0"/>
        <v>27079</v>
      </c>
      <c r="H19" s="2">
        <f t="shared" si="1"/>
        <v>48</v>
      </c>
      <c r="I19" s="17"/>
      <c r="J19" s="25">
        <v>19970321</v>
      </c>
      <c r="K19" s="16">
        <f t="shared" si="2"/>
        <v>35510</v>
      </c>
      <c r="L19" s="2">
        <f t="shared" si="3"/>
        <v>24</v>
      </c>
      <c r="M19" s="25" t="e">
        <f>VLOOKUP($C19,#REF!:#REF!,2,FALSE)</f>
        <v>#REF!</v>
      </c>
      <c r="N19" s="26"/>
      <c r="O19" s="27" t="s">
        <v>16</v>
      </c>
      <c r="P19" s="223">
        <f>VLOOKUP($C19,従業員情報!$A$2:'従業員情報'!$AM$2000,5,FALSE)</f>
        <v>10000</v>
      </c>
      <c r="Q19" s="223" t="str">
        <f>VLOOKUP($C19,従業員情報!$A$2:'従業員情報'!$AM$2000,6,FALSE)</f>
        <v>営業部</v>
      </c>
      <c r="R19" s="22">
        <v>0</v>
      </c>
      <c r="S19" s="22"/>
      <c r="T19" s="22">
        <v>1</v>
      </c>
      <c r="U19" s="264">
        <v>336</v>
      </c>
    </row>
    <row r="20" spans="1:21">
      <c r="A20">
        <v>2</v>
      </c>
      <c r="B20" s="21">
        <v>4</v>
      </c>
      <c r="C20" s="22">
        <v>1290</v>
      </c>
      <c r="D20" s="22" t="s">
        <v>44</v>
      </c>
      <c r="E20" s="23" t="s">
        <v>15</v>
      </c>
      <c r="F20" s="24">
        <v>19650109</v>
      </c>
      <c r="G20" s="16">
        <f t="shared" si="0"/>
        <v>23751</v>
      </c>
      <c r="H20" s="2">
        <f t="shared" si="1"/>
        <v>57</v>
      </c>
      <c r="I20" s="17"/>
      <c r="J20" s="25">
        <v>19940321</v>
      </c>
      <c r="K20" s="16">
        <f t="shared" si="2"/>
        <v>34414</v>
      </c>
      <c r="L20" s="2">
        <f t="shared" si="3"/>
        <v>27</v>
      </c>
      <c r="M20" s="25" t="e">
        <f>VLOOKUP($C20,#REF!:#REF!,2,FALSE)</f>
        <v>#REF!</v>
      </c>
      <c r="N20" s="26"/>
      <c r="O20" s="27" t="s">
        <v>16</v>
      </c>
      <c r="P20" s="223">
        <f>VLOOKUP($C20,従業員情報!$A$2:'従業員情報'!$AM$2000,5,FALSE)</f>
        <v>20000</v>
      </c>
      <c r="Q20" s="223" t="str">
        <f>VLOOKUP($C20,従業員情報!$A$2:'従業員情報'!$AM$2000,6,FALSE)</f>
        <v>生産管理部製品管理課</v>
      </c>
      <c r="R20" s="22">
        <v>0</v>
      </c>
      <c r="S20" s="22"/>
      <c r="T20" s="22">
        <v>1</v>
      </c>
      <c r="U20" s="264">
        <v>13</v>
      </c>
    </row>
    <row r="21" spans="1:21">
      <c r="A21">
        <v>13</v>
      </c>
      <c r="B21" s="21">
        <v>16</v>
      </c>
      <c r="C21" s="22">
        <v>1340</v>
      </c>
      <c r="D21" s="22" t="s">
        <v>46</v>
      </c>
      <c r="E21" s="23" t="s">
        <v>15</v>
      </c>
      <c r="F21" s="24">
        <v>19750827</v>
      </c>
      <c r="G21" s="16">
        <f t="shared" si="0"/>
        <v>27633</v>
      </c>
      <c r="H21" s="2">
        <f t="shared" si="1"/>
        <v>46</v>
      </c>
      <c r="I21" s="17"/>
      <c r="J21" s="25">
        <v>20060306</v>
      </c>
      <c r="K21" s="16">
        <f t="shared" si="2"/>
        <v>38782</v>
      </c>
      <c r="L21" s="2">
        <f t="shared" si="3"/>
        <v>15</v>
      </c>
      <c r="M21" s="25" t="e">
        <f>VLOOKUP($C21,#REF!:#REF!,2,FALSE)</f>
        <v>#REF!</v>
      </c>
      <c r="N21" s="26"/>
      <c r="O21" s="27" t="s">
        <v>16</v>
      </c>
      <c r="P21" s="223">
        <f>VLOOKUP($C21,従業員情報!$A$2:'従業員情報'!$AM$2000,5,FALSE)</f>
        <v>20000</v>
      </c>
      <c r="Q21" s="223" t="str">
        <f>VLOOKUP($C21,従業員情報!$A$2:'従業員情報'!$AM$2000,6,FALSE)</f>
        <v>生産管理部製品管理課</v>
      </c>
      <c r="R21" s="22">
        <v>0</v>
      </c>
      <c r="S21" s="22"/>
      <c r="T21" s="22">
        <v>1</v>
      </c>
      <c r="U21" s="264">
        <v>14</v>
      </c>
    </row>
    <row r="22" spans="1:21">
      <c r="A22">
        <v>96</v>
      </c>
      <c r="B22" s="21">
        <v>97</v>
      </c>
      <c r="C22" s="22">
        <v>2809</v>
      </c>
      <c r="D22" s="22" t="s">
        <v>220</v>
      </c>
      <c r="E22" s="23" t="s">
        <v>15</v>
      </c>
      <c r="F22" s="24">
        <v>19680902</v>
      </c>
      <c r="G22" s="16">
        <f t="shared" si="0"/>
        <v>25083</v>
      </c>
      <c r="H22" s="2">
        <f t="shared" si="1"/>
        <v>53</v>
      </c>
      <c r="I22" s="17"/>
      <c r="J22" s="25">
        <v>19870326</v>
      </c>
      <c r="K22" s="16">
        <f t="shared" si="2"/>
        <v>31862</v>
      </c>
      <c r="L22" s="2">
        <f t="shared" si="3"/>
        <v>34</v>
      </c>
      <c r="M22" s="25" t="e">
        <f>VLOOKUP($C22,#REF!:#REF!,2,FALSE)</f>
        <v>#REF!</v>
      </c>
      <c r="N22" s="26"/>
      <c r="O22" s="27" t="s">
        <v>35</v>
      </c>
      <c r="P22" s="223">
        <f>VLOOKUP($C22,従業員情報!$A$2:'従業員情報'!$AM$2000,5,FALSE)</f>
        <v>21000</v>
      </c>
      <c r="Q22" s="223" t="str">
        <f>VLOOKUP($C22,従業員情報!$A$2:'従業員情報'!$AM$2000,6,FALSE)</f>
        <v>生産管理部調達課</v>
      </c>
      <c r="R22" s="22">
        <v>0</v>
      </c>
      <c r="S22" s="22"/>
      <c r="T22" s="22">
        <v>1</v>
      </c>
      <c r="U22" s="264">
        <v>15</v>
      </c>
    </row>
    <row r="23" spans="1:21">
      <c r="A23">
        <v>342</v>
      </c>
      <c r="B23" s="21">
        <v>409</v>
      </c>
      <c r="C23" s="22">
        <v>3941</v>
      </c>
      <c r="D23" s="22" t="s">
        <v>225</v>
      </c>
      <c r="E23" s="23" t="s">
        <v>15</v>
      </c>
      <c r="F23" s="24">
        <v>19690820</v>
      </c>
      <c r="G23" s="16">
        <f t="shared" si="0"/>
        <v>25435</v>
      </c>
      <c r="H23" s="2"/>
      <c r="I23" s="17"/>
      <c r="J23" s="25">
        <v>20060703</v>
      </c>
      <c r="K23" s="16">
        <f t="shared" si="2"/>
        <v>38901</v>
      </c>
      <c r="L23" s="2">
        <f t="shared" si="3"/>
        <v>15</v>
      </c>
      <c r="M23" s="25" t="e">
        <f>VLOOKUP($C23,#REF!:#REF!,2,FALSE)</f>
        <v>#REF!</v>
      </c>
      <c r="N23" s="26"/>
      <c r="O23" s="27" t="s">
        <v>16</v>
      </c>
      <c r="P23" s="223">
        <f>VLOOKUP($C23,従業員情報!$A$2:'従業員情報'!$AM$2000,5,FALSE)</f>
        <v>21000</v>
      </c>
      <c r="Q23" s="223" t="str">
        <f>VLOOKUP($C23,従業員情報!$A$2:'従業員情報'!$AM$2000,6,FALSE)</f>
        <v>生産管理部調達課</v>
      </c>
      <c r="R23" s="22">
        <v>0</v>
      </c>
      <c r="S23" s="22"/>
      <c r="T23" s="22">
        <v>1</v>
      </c>
      <c r="U23" s="264">
        <v>16</v>
      </c>
    </row>
    <row r="24" spans="1:21">
      <c r="A24">
        <v>40</v>
      </c>
      <c r="B24" s="21">
        <v>52</v>
      </c>
      <c r="C24" s="22">
        <v>1398</v>
      </c>
      <c r="D24" s="22" t="s">
        <v>95</v>
      </c>
      <c r="E24" s="23" t="s">
        <v>15</v>
      </c>
      <c r="F24" s="24">
        <v>19880831</v>
      </c>
      <c r="G24" s="16">
        <f t="shared" si="0"/>
        <v>32386</v>
      </c>
      <c r="H24" s="2">
        <f t="shared" si="1"/>
        <v>33</v>
      </c>
      <c r="I24" s="17"/>
      <c r="J24" s="25">
        <v>20190301</v>
      </c>
      <c r="K24" s="16">
        <f t="shared" si="2"/>
        <v>43525</v>
      </c>
      <c r="L24" s="2">
        <f t="shared" si="3"/>
        <v>3</v>
      </c>
      <c r="M24" s="25" t="e">
        <f>VLOOKUP($C24,#REF!:#REF!,2,FALSE)</f>
        <v>#REF!</v>
      </c>
      <c r="N24" s="26"/>
      <c r="O24" s="27">
        <v>8</v>
      </c>
      <c r="P24" s="223">
        <f>VLOOKUP($C24,従業員情報!$A$2:'従業員情報'!$AM$2000,5,FALSE)</f>
        <v>22000</v>
      </c>
      <c r="Q24" s="223" t="str">
        <f>VLOOKUP($C24,従業員情報!$A$2:'従業員情報'!$AM$2000,6,FALSE)</f>
        <v>生産管理部ＩＴ管理課</v>
      </c>
      <c r="R24" s="22">
        <v>0</v>
      </c>
      <c r="S24" s="22"/>
      <c r="T24" s="22">
        <v>2</v>
      </c>
      <c r="U24" s="264">
        <v>17</v>
      </c>
    </row>
    <row r="25" spans="1:21">
      <c r="A25">
        <v>50</v>
      </c>
      <c r="B25" s="21"/>
      <c r="C25" s="22">
        <v>1416</v>
      </c>
      <c r="D25" s="22" t="s">
        <v>683</v>
      </c>
      <c r="E25" s="23" t="s">
        <v>684</v>
      </c>
      <c r="F25" s="24">
        <v>19831115</v>
      </c>
      <c r="G25" s="16">
        <f t="shared" si="0"/>
        <v>30635</v>
      </c>
      <c r="H25" s="2">
        <f t="shared" si="1"/>
        <v>38</v>
      </c>
      <c r="I25" s="17"/>
      <c r="J25" s="25">
        <v>20211001</v>
      </c>
      <c r="K25" s="16">
        <f t="shared" si="2"/>
        <v>44470</v>
      </c>
      <c r="L25" s="2">
        <f t="shared" si="3"/>
        <v>0</v>
      </c>
      <c r="M25" s="25" t="e">
        <f>VLOOKUP($C25,#REF!:#REF!,2,FALSE)</f>
        <v>#REF!</v>
      </c>
      <c r="N25" s="26"/>
      <c r="O25" s="27"/>
      <c r="P25" s="223">
        <f>VLOOKUP($C25,従業員情報!$A$2:'従業員情報'!$AM$2000,5,FALSE)</f>
        <v>22000</v>
      </c>
      <c r="Q25" s="223" t="str">
        <f>VLOOKUP($C25,従業員情報!$A$2:'従業員情報'!$AM$2000,6,FALSE)</f>
        <v>生産管理部ＩＴ管理課</v>
      </c>
      <c r="R25" s="22"/>
      <c r="S25" s="22"/>
      <c r="T25" s="22"/>
      <c r="U25" s="264">
        <v>18</v>
      </c>
    </row>
    <row r="26" spans="1:21">
      <c r="A26">
        <v>119</v>
      </c>
      <c r="B26" s="21">
        <v>123</v>
      </c>
      <c r="C26" s="22">
        <v>2972</v>
      </c>
      <c r="D26" s="22" t="s">
        <v>51</v>
      </c>
      <c r="E26" s="23" t="s">
        <v>15</v>
      </c>
      <c r="F26" s="24">
        <v>19730919</v>
      </c>
      <c r="G26" s="16">
        <f t="shared" si="0"/>
        <v>26926</v>
      </c>
      <c r="H26" s="2">
        <f t="shared" si="1"/>
        <v>48</v>
      </c>
      <c r="I26" s="17"/>
      <c r="J26" s="25">
        <v>19940322</v>
      </c>
      <c r="K26" s="16">
        <f t="shared" si="2"/>
        <v>34415</v>
      </c>
      <c r="L26" s="2">
        <f t="shared" si="3"/>
        <v>27</v>
      </c>
      <c r="M26" s="25" t="e">
        <f>VLOOKUP($C26,#REF!:#REF!,2,FALSE)</f>
        <v>#REF!</v>
      </c>
      <c r="N26" s="26"/>
      <c r="O26" s="27" t="s">
        <v>19</v>
      </c>
      <c r="P26" s="223">
        <f>VLOOKUP($C26,従業員情報!$A$2:'従業員情報'!$AM$2000,5,FALSE)</f>
        <v>22000</v>
      </c>
      <c r="Q26" s="223" t="str">
        <f>VLOOKUP($C26,従業員情報!$A$2:'従業員情報'!$AM$2000,6,FALSE)</f>
        <v>生産管理部ＩＴ管理課</v>
      </c>
      <c r="R26" s="22">
        <v>0</v>
      </c>
      <c r="S26" s="22"/>
      <c r="T26" s="22">
        <v>1</v>
      </c>
      <c r="U26" s="264">
        <v>20</v>
      </c>
    </row>
    <row r="27" spans="1:21">
      <c r="A27">
        <v>124</v>
      </c>
      <c r="B27" s="21">
        <v>128</v>
      </c>
      <c r="C27" s="22">
        <v>2984</v>
      </c>
      <c r="D27" s="22" t="s">
        <v>50</v>
      </c>
      <c r="E27" s="23" t="s">
        <v>15</v>
      </c>
      <c r="F27" s="24">
        <v>19740128</v>
      </c>
      <c r="G27" s="16">
        <f t="shared" si="0"/>
        <v>27057</v>
      </c>
      <c r="H27" s="2">
        <f t="shared" si="1"/>
        <v>48</v>
      </c>
      <c r="I27" s="17"/>
      <c r="J27" s="25">
        <v>19940322</v>
      </c>
      <c r="K27" s="16">
        <f t="shared" si="2"/>
        <v>34415</v>
      </c>
      <c r="L27" s="2">
        <f t="shared" si="3"/>
        <v>27</v>
      </c>
      <c r="M27" s="25" t="e">
        <f>VLOOKUP($C27,#REF!:#REF!,2,FALSE)</f>
        <v>#REF!</v>
      </c>
      <c r="N27" s="26"/>
      <c r="O27" s="27" t="s">
        <v>19</v>
      </c>
      <c r="P27" s="223">
        <f>VLOOKUP($C27,従業員情報!$A$2:'従業員情報'!$AM$2000,5,FALSE)</f>
        <v>22000</v>
      </c>
      <c r="Q27" s="223" t="str">
        <f>VLOOKUP($C27,従業員情報!$A$2:'従業員情報'!$AM$2000,6,FALSE)</f>
        <v>生産管理部ＩＴ管理課</v>
      </c>
      <c r="R27" s="22">
        <v>0</v>
      </c>
      <c r="S27" s="22"/>
      <c r="T27" s="22">
        <v>1</v>
      </c>
      <c r="U27" s="264">
        <v>207</v>
      </c>
    </row>
    <row r="28" spans="1:21">
      <c r="A28">
        <v>128</v>
      </c>
      <c r="B28" s="21">
        <v>134</v>
      </c>
      <c r="C28" s="22">
        <v>3020</v>
      </c>
      <c r="D28" s="22" t="s">
        <v>56</v>
      </c>
      <c r="E28" s="23" t="s">
        <v>15</v>
      </c>
      <c r="F28" s="24">
        <v>19710909</v>
      </c>
      <c r="G28" s="16">
        <f t="shared" si="0"/>
        <v>26185</v>
      </c>
      <c r="H28" s="2">
        <f t="shared" si="1"/>
        <v>50</v>
      </c>
      <c r="I28" s="17"/>
      <c r="J28" s="25">
        <v>19950322</v>
      </c>
      <c r="K28" s="16">
        <f t="shared" si="2"/>
        <v>34780</v>
      </c>
      <c r="L28" s="2">
        <f t="shared" si="3"/>
        <v>26</v>
      </c>
      <c r="M28" s="25" t="e">
        <f>VLOOKUP($C28,#REF!:#REF!,2,FALSE)</f>
        <v>#REF!</v>
      </c>
      <c r="N28" s="26"/>
      <c r="O28" s="27" t="s">
        <v>16</v>
      </c>
      <c r="P28" s="223">
        <f>VLOOKUP($C28,従業員情報!$A$2:'従業員情報'!$AM$2000,5,FALSE)</f>
        <v>30000</v>
      </c>
      <c r="Q28" s="223" t="str">
        <f>VLOOKUP($C28,従業員情報!$A$2:'従業員情報'!$AM$2000,6,FALSE)</f>
        <v>生産技術部１課</v>
      </c>
      <c r="R28" s="22">
        <v>0</v>
      </c>
      <c r="S28" s="22"/>
      <c r="T28" s="22">
        <v>1</v>
      </c>
      <c r="U28" s="264">
        <v>22</v>
      </c>
    </row>
    <row r="29" spans="1:21">
      <c r="A29">
        <v>149</v>
      </c>
      <c r="B29" s="21">
        <v>160</v>
      </c>
      <c r="C29" s="22">
        <v>3109</v>
      </c>
      <c r="D29" s="22" t="s">
        <v>57</v>
      </c>
      <c r="E29" s="23" t="s">
        <v>15</v>
      </c>
      <c r="F29" s="24">
        <v>19771025</v>
      </c>
      <c r="G29" s="16">
        <f t="shared" si="0"/>
        <v>28423</v>
      </c>
      <c r="H29" s="2">
        <f t="shared" si="1"/>
        <v>44</v>
      </c>
      <c r="I29" s="17"/>
      <c r="J29" s="25">
        <v>19960321</v>
      </c>
      <c r="K29" s="16">
        <f t="shared" si="2"/>
        <v>35145</v>
      </c>
      <c r="L29" s="2">
        <f t="shared" si="3"/>
        <v>25</v>
      </c>
      <c r="M29" s="25" t="e">
        <f>VLOOKUP($C29,#REF!:#REF!,2,FALSE)</f>
        <v>#REF!</v>
      </c>
      <c r="N29" s="26"/>
      <c r="O29" s="27" t="s">
        <v>58</v>
      </c>
      <c r="P29" s="223">
        <f>VLOOKUP($C29,従業員情報!$A$2:'従業員情報'!$AM$2000,5,FALSE)</f>
        <v>30000</v>
      </c>
      <c r="Q29" s="223" t="str">
        <f>VLOOKUP($C29,従業員情報!$A$2:'従業員情報'!$AM$2000,6,FALSE)</f>
        <v>生産技術部１課</v>
      </c>
      <c r="R29" s="22">
        <v>0</v>
      </c>
      <c r="S29" s="22"/>
      <c r="T29" s="22">
        <v>1</v>
      </c>
      <c r="U29" s="264">
        <v>23</v>
      </c>
    </row>
    <row r="30" spans="1:21">
      <c r="A30">
        <v>173</v>
      </c>
      <c r="B30" s="21">
        <v>188</v>
      </c>
      <c r="C30" s="22">
        <v>3195</v>
      </c>
      <c r="D30" s="22" t="s">
        <v>59</v>
      </c>
      <c r="E30" s="23" t="s">
        <v>15</v>
      </c>
      <c r="F30" s="24">
        <v>19710710</v>
      </c>
      <c r="G30" s="16">
        <f t="shared" si="0"/>
        <v>26124</v>
      </c>
      <c r="H30" s="2">
        <f t="shared" si="1"/>
        <v>50</v>
      </c>
      <c r="I30" s="17"/>
      <c r="J30" s="25">
        <v>20030321</v>
      </c>
      <c r="K30" s="16">
        <f t="shared" si="2"/>
        <v>37701</v>
      </c>
      <c r="L30" s="2">
        <f t="shared" si="3"/>
        <v>18</v>
      </c>
      <c r="M30" s="25" t="e">
        <f>VLOOKUP($C30,#REF!:#REF!,2,FALSE)</f>
        <v>#REF!</v>
      </c>
      <c r="N30" s="26"/>
      <c r="O30" s="27" t="s">
        <v>60</v>
      </c>
      <c r="P30" s="223">
        <f>VLOOKUP($C30,従業員情報!$A$2:'従業員情報'!$AM$2000,5,FALSE)</f>
        <v>30000</v>
      </c>
      <c r="Q30" s="223" t="str">
        <f>VLOOKUP($C30,従業員情報!$A$2:'従業員情報'!$AM$2000,6,FALSE)</f>
        <v>生産技術部１課</v>
      </c>
      <c r="R30" s="22">
        <v>0</v>
      </c>
      <c r="S30" s="22"/>
      <c r="T30" s="22">
        <v>1</v>
      </c>
      <c r="U30" s="264">
        <v>24</v>
      </c>
    </row>
    <row r="31" spans="1:21">
      <c r="A31">
        <v>179</v>
      </c>
      <c r="B31" s="21">
        <v>196</v>
      </c>
      <c r="C31" s="22">
        <v>3214</v>
      </c>
      <c r="D31" s="22" t="s">
        <v>61</v>
      </c>
      <c r="E31" s="23" t="s">
        <v>15</v>
      </c>
      <c r="F31" s="24">
        <v>19780107</v>
      </c>
      <c r="G31" s="16">
        <f t="shared" si="0"/>
        <v>28497</v>
      </c>
      <c r="H31" s="2">
        <f t="shared" si="1"/>
        <v>44</v>
      </c>
      <c r="I31" s="17"/>
      <c r="J31" s="25">
        <v>20040322</v>
      </c>
      <c r="K31" s="16">
        <f t="shared" si="2"/>
        <v>38068</v>
      </c>
      <c r="L31" s="2">
        <f t="shared" si="3"/>
        <v>17</v>
      </c>
      <c r="M31" s="25" t="e">
        <f>VLOOKUP($C31,#REF!:#REF!,2,FALSE)</f>
        <v>#REF!</v>
      </c>
      <c r="N31" s="26"/>
      <c r="O31" s="27" t="s">
        <v>19</v>
      </c>
      <c r="P31" s="223">
        <f>VLOOKUP($C31,従業員情報!$A$2:'従業員情報'!$AM$2000,5,FALSE)</f>
        <v>30000</v>
      </c>
      <c r="Q31" s="223" t="str">
        <f>VLOOKUP($C31,従業員情報!$A$2:'従業員情報'!$AM$2000,6,FALSE)</f>
        <v>生産技術部１課</v>
      </c>
      <c r="R31" s="22">
        <v>0</v>
      </c>
      <c r="S31" s="22"/>
      <c r="T31" s="22">
        <v>1</v>
      </c>
      <c r="U31" s="264">
        <v>25</v>
      </c>
    </row>
    <row r="32" spans="1:21">
      <c r="A32">
        <v>219</v>
      </c>
      <c r="B32" s="21">
        <v>246</v>
      </c>
      <c r="C32" s="22">
        <v>3333</v>
      </c>
      <c r="D32" s="22" t="s">
        <v>63</v>
      </c>
      <c r="E32" s="23" t="s">
        <v>15</v>
      </c>
      <c r="F32" s="24">
        <v>19880527</v>
      </c>
      <c r="G32" s="16">
        <f t="shared" si="0"/>
        <v>32290</v>
      </c>
      <c r="H32" s="2">
        <f t="shared" si="1"/>
        <v>33</v>
      </c>
      <c r="I32" s="17"/>
      <c r="J32" s="25">
        <v>20110321</v>
      </c>
      <c r="K32" s="16">
        <f t="shared" si="2"/>
        <v>40623</v>
      </c>
      <c r="L32" s="2">
        <f t="shared" si="3"/>
        <v>10</v>
      </c>
      <c r="M32" s="25" t="e">
        <f>VLOOKUP($C32,#REF!:#REF!,2,FALSE)</f>
        <v>#REF!</v>
      </c>
      <c r="N32" s="26"/>
      <c r="O32" s="27" t="s">
        <v>16</v>
      </c>
      <c r="P32" s="223">
        <f>VLOOKUP($C32,従業員情報!$A$2:'従業員情報'!$AM$2000,5,FALSE)</f>
        <v>30000</v>
      </c>
      <c r="Q32" s="223" t="str">
        <f>VLOOKUP($C32,従業員情報!$A$2:'従業員情報'!$AM$2000,6,FALSE)</f>
        <v>生産技術部１課</v>
      </c>
      <c r="R32" s="22">
        <v>0</v>
      </c>
      <c r="S32" s="22"/>
      <c r="T32" s="22">
        <v>1</v>
      </c>
      <c r="U32" s="264">
        <v>26</v>
      </c>
    </row>
    <row r="33" spans="1:21">
      <c r="A33">
        <v>247</v>
      </c>
      <c r="B33" s="21">
        <v>290</v>
      </c>
      <c r="C33" s="22">
        <v>3411</v>
      </c>
      <c r="D33" s="22" t="s">
        <v>64</v>
      </c>
      <c r="E33" s="23" t="s">
        <v>15</v>
      </c>
      <c r="F33" s="24">
        <v>19911225</v>
      </c>
      <c r="G33" s="16">
        <f t="shared" si="0"/>
        <v>33597</v>
      </c>
      <c r="H33" s="2">
        <f t="shared" si="1"/>
        <v>30</v>
      </c>
      <c r="I33" s="17"/>
      <c r="J33" s="25">
        <v>20140321</v>
      </c>
      <c r="K33" s="16">
        <f t="shared" si="2"/>
        <v>41719</v>
      </c>
      <c r="L33" s="2">
        <f t="shared" si="3"/>
        <v>7</v>
      </c>
      <c r="M33" s="25" t="e">
        <f>VLOOKUP($C33,#REF!:#REF!,2,FALSE)</f>
        <v>#REF!</v>
      </c>
      <c r="N33" s="26"/>
      <c r="O33" s="27" t="s">
        <v>16</v>
      </c>
      <c r="P33" s="223">
        <f>VLOOKUP($C33,従業員情報!$A$2:'従業員情報'!$AM$2000,5,FALSE)</f>
        <v>30000</v>
      </c>
      <c r="Q33" s="223" t="str">
        <f>VLOOKUP($C33,従業員情報!$A$2:'従業員情報'!$AM$2000,6,FALSE)</f>
        <v>生産技術部１課</v>
      </c>
      <c r="R33" s="22">
        <v>0</v>
      </c>
      <c r="S33" s="22"/>
      <c r="T33" s="22">
        <v>1</v>
      </c>
      <c r="U33" s="264">
        <v>27</v>
      </c>
    </row>
    <row r="34" spans="1:21">
      <c r="A34">
        <v>263</v>
      </c>
      <c r="B34" s="21">
        <v>315</v>
      </c>
      <c r="C34" s="22">
        <v>3451</v>
      </c>
      <c r="D34" s="22" t="s">
        <v>66</v>
      </c>
      <c r="E34" s="23" t="s">
        <v>15</v>
      </c>
      <c r="F34" s="24">
        <v>19930902</v>
      </c>
      <c r="G34" s="16">
        <f t="shared" si="0"/>
        <v>34214</v>
      </c>
      <c r="H34" s="2">
        <f t="shared" si="1"/>
        <v>28</v>
      </c>
      <c r="I34" s="17"/>
      <c r="J34" s="25">
        <v>20160401</v>
      </c>
      <c r="K34" s="16">
        <f t="shared" si="2"/>
        <v>42461</v>
      </c>
      <c r="L34" s="2">
        <f t="shared" si="3"/>
        <v>5</v>
      </c>
      <c r="M34" s="25" t="e">
        <f>VLOOKUP($C34,#REF!:#REF!,2,FALSE)</f>
        <v>#REF!</v>
      </c>
      <c r="N34" s="26"/>
      <c r="O34" s="27" t="s">
        <v>16</v>
      </c>
      <c r="P34" s="223">
        <f>VLOOKUP($C34,従業員情報!$A$2:'従業員情報'!$AM$2000,5,FALSE)</f>
        <v>30000</v>
      </c>
      <c r="Q34" s="223" t="str">
        <f>VLOOKUP($C34,従業員情報!$A$2:'従業員情報'!$AM$2000,6,FALSE)</f>
        <v>生産技術部１課</v>
      </c>
      <c r="R34" s="22">
        <v>0</v>
      </c>
      <c r="S34" s="22"/>
      <c r="T34" s="22">
        <v>2</v>
      </c>
      <c r="U34" s="264">
        <v>28</v>
      </c>
    </row>
    <row r="35" spans="1:21">
      <c r="A35">
        <v>271</v>
      </c>
      <c r="B35" s="21">
        <v>329</v>
      </c>
      <c r="C35" s="22">
        <v>3471</v>
      </c>
      <c r="D35" s="22" t="s">
        <v>67</v>
      </c>
      <c r="E35" s="23" t="s">
        <v>15</v>
      </c>
      <c r="F35" s="24">
        <v>19940827</v>
      </c>
      <c r="G35" s="16">
        <f t="shared" si="0"/>
        <v>34573</v>
      </c>
      <c r="H35" s="2">
        <f t="shared" si="1"/>
        <v>27</v>
      </c>
      <c r="I35" s="17"/>
      <c r="J35" s="25">
        <v>20170403</v>
      </c>
      <c r="K35" s="16">
        <f t="shared" si="2"/>
        <v>42828</v>
      </c>
      <c r="L35" s="2">
        <f t="shared" si="3"/>
        <v>4</v>
      </c>
      <c r="M35" s="25" t="e">
        <f>VLOOKUP($C35,#REF!:#REF!,2,FALSE)</f>
        <v>#REF!</v>
      </c>
      <c r="N35" s="26"/>
      <c r="O35" s="27">
        <v>8</v>
      </c>
      <c r="P35" s="223">
        <f>VLOOKUP($C35,従業員情報!$A$2:'従業員情報'!$AM$2000,5,FALSE)</f>
        <v>30000</v>
      </c>
      <c r="Q35" s="223" t="str">
        <f>VLOOKUP($C35,従業員情報!$A$2:'従業員情報'!$AM$2000,6,FALSE)</f>
        <v>生産技術部１課</v>
      </c>
      <c r="R35" s="22">
        <v>0</v>
      </c>
      <c r="S35" s="22"/>
      <c r="T35" s="22">
        <v>2</v>
      </c>
      <c r="U35" s="264">
        <v>29</v>
      </c>
    </row>
    <row r="36" spans="1:21">
      <c r="A36">
        <v>286</v>
      </c>
      <c r="B36" s="21">
        <v>351</v>
      </c>
      <c r="C36" s="22">
        <v>3500</v>
      </c>
      <c r="D36" s="22" t="s">
        <v>31</v>
      </c>
      <c r="E36" s="23" t="s">
        <v>15</v>
      </c>
      <c r="F36" s="24">
        <v>19960812</v>
      </c>
      <c r="G36" s="16">
        <f t="shared" si="0"/>
        <v>35289</v>
      </c>
      <c r="H36" s="2">
        <f t="shared" si="1"/>
        <v>25</v>
      </c>
      <c r="I36" s="17"/>
      <c r="J36" s="25">
        <v>20190401</v>
      </c>
      <c r="K36" s="16">
        <f t="shared" si="2"/>
        <v>43556</v>
      </c>
      <c r="L36" s="2">
        <f t="shared" si="3"/>
        <v>2</v>
      </c>
      <c r="M36" s="25" t="e">
        <f>VLOOKUP($C36,#REF!:#REF!,2,FALSE)</f>
        <v>#REF!</v>
      </c>
      <c r="N36" s="26"/>
      <c r="O36" s="27">
        <v>8</v>
      </c>
      <c r="P36" s="223">
        <f>VLOOKUP($C36,従業員情報!$A$2:'従業員情報'!$AM$2000,5,FALSE)</f>
        <v>30000</v>
      </c>
      <c r="Q36" s="223" t="str">
        <f>VLOOKUP($C36,従業員情報!$A$2:'従業員情報'!$AM$2000,6,FALSE)</f>
        <v>生産技術部１課</v>
      </c>
      <c r="R36" s="22">
        <v>0</v>
      </c>
      <c r="S36" s="22"/>
      <c r="T36" s="22">
        <v>2</v>
      </c>
      <c r="U36" s="264">
        <v>30</v>
      </c>
    </row>
    <row r="37" spans="1:21">
      <c r="A37">
        <v>294</v>
      </c>
      <c r="B37" s="21">
        <v>362</v>
      </c>
      <c r="C37" s="22">
        <v>3515</v>
      </c>
      <c r="D37" s="22" t="s">
        <v>68</v>
      </c>
      <c r="E37" s="23" t="s">
        <v>678</v>
      </c>
      <c r="F37" s="24">
        <v>19970618</v>
      </c>
      <c r="G37" s="16">
        <f t="shared" si="0"/>
        <v>35599</v>
      </c>
      <c r="H37" s="2">
        <f t="shared" si="1"/>
        <v>24</v>
      </c>
      <c r="I37" s="17"/>
      <c r="J37" s="25">
        <v>20200401</v>
      </c>
      <c r="K37" s="16">
        <f t="shared" si="2"/>
        <v>43922</v>
      </c>
      <c r="L37" s="2">
        <f t="shared" si="3"/>
        <v>1</v>
      </c>
      <c r="M37" s="25" t="e">
        <f>VLOOKUP($C37,#REF!:#REF!,2,FALSE)</f>
        <v>#REF!</v>
      </c>
      <c r="N37" s="26"/>
      <c r="O37" s="27">
        <v>8</v>
      </c>
      <c r="P37" s="223">
        <f>VLOOKUP($C37,従業員情報!$A$2:'従業員情報'!$AM$2000,5,FALSE)</f>
        <v>30000</v>
      </c>
      <c r="Q37" s="223" t="str">
        <f>VLOOKUP($C37,従業員情報!$A$2:'従業員情報'!$AM$2000,6,FALSE)</f>
        <v>生産技術部１課</v>
      </c>
      <c r="R37" s="22">
        <v>1</v>
      </c>
      <c r="S37" s="22" t="s">
        <v>679</v>
      </c>
      <c r="T37" s="22">
        <v>2</v>
      </c>
      <c r="U37" s="264">
        <v>31</v>
      </c>
    </row>
    <row r="38" spans="1:21">
      <c r="A38">
        <v>306</v>
      </c>
      <c r="B38" s="21"/>
      <c r="C38" s="22">
        <v>3531</v>
      </c>
      <c r="D38" s="22" t="s">
        <v>723</v>
      </c>
      <c r="E38" s="23"/>
      <c r="F38" s="24"/>
      <c r="G38" s="16"/>
      <c r="H38" s="2"/>
      <c r="I38" s="17"/>
      <c r="J38" s="25"/>
      <c r="K38" s="16"/>
      <c r="M38" s="25" t="e">
        <f>VLOOKUP($C38,#REF!:#REF!,2,FALSE)</f>
        <v>#REF!</v>
      </c>
      <c r="N38" s="26"/>
      <c r="O38" s="27"/>
      <c r="P38" s="223">
        <f>VLOOKUP($C38,従業員情報!$A$2:'従業員情報'!$AM$2000,5,FALSE)</f>
        <v>30000</v>
      </c>
      <c r="Q38" s="223" t="str">
        <f>VLOOKUP($C38,従業員情報!$A$2:'従業員情報'!$AM$2000,6,FALSE)</f>
        <v>生産技術部１課</v>
      </c>
      <c r="R38" s="22"/>
      <c r="S38" s="22"/>
      <c r="T38" s="22"/>
      <c r="U38" s="264">
        <v>32</v>
      </c>
    </row>
    <row r="39" spans="1:21">
      <c r="A39">
        <v>111</v>
      </c>
      <c r="B39" s="21">
        <v>114</v>
      </c>
      <c r="C39" s="22">
        <v>2932</v>
      </c>
      <c r="D39" s="22" t="s">
        <v>83</v>
      </c>
      <c r="E39" s="23" t="s">
        <v>15</v>
      </c>
      <c r="F39" s="24">
        <v>19750211</v>
      </c>
      <c r="G39" s="16">
        <f t="shared" ref="G39:G46" si="4">DATE(INT(F39/10000),INT(MOD(F39,10000)/100),MOD(F39,100))</f>
        <v>27436</v>
      </c>
      <c r="H39" s="2">
        <f t="shared" ref="H39:H46" si="5">DATEDIF(G39,$G$4,"Y")</f>
        <v>47</v>
      </c>
      <c r="I39" s="17"/>
      <c r="J39" s="25">
        <v>19930322</v>
      </c>
      <c r="K39" s="16">
        <f t="shared" ref="K39:K46" si="6">DATE(INT(J39/10000),INT(MOD(J39,10000)/100),MOD(J39,100))</f>
        <v>34050</v>
      </c>
      <c r="L39" s="2">
        <f t="shared" ref="L39:L46" si="7">DATEDIF(K39,$G$4,"Y")</f>
        <v>28</v>
      </c>
      <c r="M39" s="25" t="e">
        <f>VLOOKUP($C39,#REF!:#REF!,2,FALSE)</f>
        <v>#REF!</v>
      </c>
      <c r="N39" s="26"/>
      <c r="O39" s="27" t="s">
        <v>35</v>
      </c>
      <c r="P39" s="223">
        <f>VLOOKUP($C39,従業員情報!$A$2:'従業員情報'!$AM$2000,5,FALSE)</f>
        <v>30000</v>
      </c>
      <c r="Q39" s="223" t="str">
        <f>VLOOKUP($C39,従業員情報!$A$2:'従業員情報'!$AM$2000,6,FALSE)</f>
        <v>生産技術部１課</v>
      </c>
      <c r="R39" s="22">
        <v>0</v>
      </c>
      <c r="S39" s="22"/>
      <c r="T39" s="22">
        <v>1</v>
      </c>
      <c r="U39" s="264">
        <v>42</v>
      </c>
    </row>
    <row r="40" spans="1:21">
      <c r="A40">
        <v>117</v>
      </c>
      <c r="B40" s="21">
        <v>121</v>
      </c>
      <c r="C40" s="22">
        <v>2967</v>
      </c>
      <c r="D40" s="22" t="s">
        <v>146</v>
      </c>
      <c r="E40" s="23" t="s">
        <v>15</v>
      </c>
      <c r="F40" s="24">
        <v>19690622</v>
      </c>
      <c r="G40" s="16">
        <f t="shared" si="4"/>
        <v>25376</v>
      </c>
      <c r="H40" s="2">
        <f t="shared" si="5"/>
        <v>52</v>
      </c>
      <c r="I40" s="17"/>
      <c r="J40" s="25">
        <v>19940322</v>
      </c>
      <c r="K40" s="16">
        <f t="shared" si="6"/>
        <v>34415</v>
      </c>
      <c r="L40" s="2">
        <f t="shared" si="7"/>
        <v>27</v>
      </c>
      <c r="M40" s="25" t="e">
        <f>VLOOKUP($C40,#REF!:#REF!,2,FALSE)</f>
        <v>#REF!</v>
      </c>
      <c r="N40" s="26"/>
      <c r="O40" s="27" t="s">
        <v>16</v>
      </c>
      <c r="P40" s="223">
        <f>VLOOKUP($C40,従業員情報!$A$2:'従業員情報'!$AM$2000,5,FALSE)</f>
        <v>30000</v>
      </c>
      <c r="Q40" s="223" t="str">
        <f>VLOOKUP($C40,従業員情報!$A$2:'従業員情報'!$AM$2000,6,FALSE)</f>
        <v>生産技術部１課</v>
      </c>
      <c r="R40" s="22">
        <v>0</v>
      </c>
      <c r="S40" s="22"/>
      <c r="T40" s="22">
        <v>1</v>
      </c>
      <c r="U40" s="264">
        <v>220</v>
      </c>
    </row>
    <row r="41" spans="1:21">
      <c r="A41">
        <v>58</v>
      </c>
      <c r="B41" s="21"/>
      <c r="C41" s="22">
        <v>1425</v>
      </c>
      <c r="D41" s="22" t="s">
        <v>729</v>
      </c>
      <c r="E41" s="23" t="s">
        <v>15</v>
      </c>
      <c r="F41" s="24">
        <v>19870117</v>
      </c>
      <c r="G41" s="16">
        <f t="shared" si="4"/>
        <v>31794</v>
      </c>
      <c r="H41" s="2">
        <f t="shared" si="5"/>
        <v>35</v>
      </c>
      <c r="I41" s="17"/>
      <c r="J41" s="25">
        <v>20220411</v>
      </c>
      <c r="K41" s="16">
        <f t="shared" si="6"/>
        <v>44662</v>
      </c>
      <c r="L41" s="2" t="e">
        <f t="shared" si="7"/>
        <v>#NUM!</v>
      </c>
      <c r="M41" s="25" t="e">
        <f>VLOOKUP($C41,#REF!:#REF!,2,FALSE)</f>
        <v>#REF!</v>
      </c>
      <c r="N41" s="26"/>
      <c r="O41" s="27"/>
      <c r="P41" s="223">
        <f>VLOOKUP($C41,従業員情報!$A$2:'従業員情報'!$AM$2000,5,FALSE)</f>
        <v>31000</v>
      </c>
      <c r="Q41" s="223" t="str">
        <f>VLOOKUP($C41,従業員情報!$A$2:'従業員情報'!$AM$2000,6,FALSE)</f>
        <v>生産技術部２課工機係</v>
      </c>
      <c r="R41" s="22"/>
      <c r="S41" s="22"/>
      <c r="T41" s="22"/>
      <c r="U41" s="264">
        <v>34</v>
      </c>
    </row>
    <row r="42" spans="1:21">
      <c r="A42">
        <v>187</v>
      </c>
      <c r="B42" s="21">
        <v>204</v>
      </c>
      <c r="C42" s="22">
        <v>3233</v>
      </c>
      <c r="D42" s="22" t="s">
        <v>73</v>
      </c>
      <c r="E42" s="23" t="s">
        <v>15</v>
      </c>
      <c r="F42" s="24">
        <v>19861015</v>
      </c>
      <c r="G42" s="16">
        <f t="shared" si="4"/>
        <v>31700</v>
      </c>
      <c r="H42" s="2">
        <f t="shared" si="5"/>
        <v>35</v>
      </c>
      <c r="I42" s="17"/>
      <c r="J42" s="25">
        <v>20050321</v>
      </c>
      <c r="K42" s="16">
        <f t="shared" si="6"/>
        <v>38432</v>
      </c>
      <c r="L42" s="2">
        <f t="shared" si="7"/>
        <v>16</v>
      </c>
      <c r="M42" s="25" t="e">
        <f>VLOOKUP($C42,#REF!:#REF!,2,FALSE)</f>
        <v>#REF!</v>
      </c>
      <c r="N42" s="26"/>
      <c r="O42" s="27" t="s">
        <v>35</v>
      </c>
      <c r="P42" s="223">
        <f>VLOOKUP($C42,従業員情報!$A$2:'従業員情報'!$AM$2000,5,FALSE)</f>
        <v>31000</v>
      </c>
      <c r="Q42" s="223" t="str">
        <f>VLOOKUP($C42,従業員情報!$A$2:'従業員情報'!$AM$2000,6,FALSE)</f>
        <v>生産技術部２課工機係</v>
      </c>
      <c r="R42" s="22">
        <v>0</v>
      </c>
      <c r="S42" s="22"/>
      <c r="T42" s="22">
        <v>1</v>
      </c>
      <c r="U42" s="264">
        <v>35</v>
      </c>
    </row>
    <row r="43" spans="1:21">
      <c r="A43">
        <v>252</v>
      </c>
      <c r="B43" s="21">
        <v>295</v>
      </c>
      <c r="C43" s="22">
        <v>3417</v>
      </c>
      <c r="D43" s="22" t="s">
        <v>78</v>
      </c>
      <c r="E43" s="23" t="s">
        <v>15</v>
      </c>
      <c r="F43" s="24">
        <v>19951030</v>
      </c>
      <c r="G43" s="16">
        <f t="shared" si="4"/>
        <v>35002</v>
      </c>
      <c r="H43" s="2">
        <f t="shared" si="5"/>
        <v>26</v>
      </c>
      <c r="I43" s="17"/>
      <c r="J43" s="25">
        <v>20140321</v>
      </c>
      <c r="K43" s="16">
        <f t="shared" si="6"/>
        <v>41719</v>
      </c>
      <c r="L43" s="2">
        <f t="shared" si="7"/>
        <v>7</v>
      </c>
      <c r="M43" s="25" t="e">
        <f>VLOOKUP($C43,#REF!:#REF!,2,FALSE)</f>
        <v>#REF!</v>
      </c>
      <c r="N43" s="26"/>
      <c r="O43" s="27" t="s">
        <v>35</v>
      </c>
      <c r="P43" s="223">
        <f>VLOOKUP($C43,従業員情報!$A$2:'従業員情報'!$AM$2000,5,FALSE)</f>
        <v>31000</v>
      </c>
      <c r="Q43" s="223" t="str">
        <f>VLOOKUP($C43,従業員情報!$A$2:'従業員情報'!$AM$2000,6,FALSE)</f>
        <v>生産技術部２課工機係</v>
      </c>
      <c r="R43" s="22">
        <v>0</v>
      </c>
      <c r="S43" s="22"/>
      <c r="T43" s="22">
        <v>2</v>
      </c>
      <c r="U43" s="264">
        <v>36</v>
      </c>
    </row>
    <row r="44" spans="1:21">
      <c r="A44">
        <v>258</v>
      </c>
      <c r="B44" s="21">
        <v>304</v>
      </c>
      <c r="C44" s="22">
        <v>3436</v>
      </c>
      <c r="D44" s="22" t="s">
        <v>79</v>
      </c>
      <c r="E44" s="23" t="s">
        <v>15</v>
      </c>
      <c r="F44" s="24">
        <v>19960601</v>
      </c>
      <c r="G44" s="16">
        <f t="shared" si="4"/>
        <v>35217</v>
      </c>
      <c r="H44" s="2">
        <f t="shared" si="5"/>
        <v>25</v>
      </c>
      <c r="I44" s="17"/>
      <c r="J44" s="25">
        <v>20150401</v>
      </c>
      <c r="K44" s="16">
        <f t="shared" si="6"/>
        <v>42095</v>
      </c>
      <c r="L44" s="2">
        <f t="shared" si="7"/>
        <v>6</v>
      </c>
      <c r="M44" s="25" t="e">
        <f>VLOOKUP($C44,#REF!:#REF!,2,FALSE)</f>
        <v>#REF!</v>
      </c>
      <c r="N44" s="26"/>
      <c r="O44" s="27" t="s">
        <v>35</v>
      </c>
      <c r="P44" s="223">
        <f>VLOOKUP($C44,従業員情報!$A$2:'従業員情報'!$AM$2000,5,FALSE)</f>
        <v>31000</v>
      </c>
      <c r="Q44" s="223" t="str">
        <f>VLOOKUP($C44,従業員情報!$A$2:'従業員情報'!$AM$2000,6,FALSE)</f>
        <v>生産技術部２課工機係</v>
      </c>
      <c r="R44" s="22">
        <v>0</v>
      </c>
      <c r="S44" s="22"/>
      <c r="T44" s="22">
        <v>2</v>
      </c>
      <c r="U44" s="264">
        <v>37</v>
      </c>
    </row>
    <row r="45" spans="1:21">
      <c r="A45">
        <v>319</v>
      </c>
      <c r="B45" s="21">
        <v>378</v>
      </c>
      <c r="C45" s="22">
        <v>3849</v>
      </c>
      <c r="D45" s="22" t="s">
        <v>76</v>
      </c>
      <c r="E45" s="23" t="s">
        <v>15</v>
      </c>
      <c r="F45" s="24">
        <v>19770824</v>
      </c>
      <c r="G45" s="16">
        <f t="shared" si="4"/>
        <v>28361</v>
      </c>
      <c r="H45" s="2">
        <f t="shared" si="5"/>
        <v>44</v>
      </c>
      <c r="I45" s="17"/>
      <c r="J45" s="25">
        <v>19941101</v>
      </c>
      <c r="K45" s="16">
        <f t="shared" si="6"/>
        <v>34639</v>
      </c>
      <c r="L45" s="2">
        <f t="shared" si="7"/>
        <v>27</v>
      </c>
      <c r="M45" s="25" t="e">
        <f>VLOOKUP($C45,#REF!:#REF!,2,FALSE)</f>
        <v>#REF!</v>
      </c>
      <c r="N45" s="26"/>
      <c r="O45" s="27" t="s">
        <v>77</v>
      </c>
      <c r="P45" s="223">
        <f>VLOOKUP($C45,従業員情報!$A$2:'従業員情報'!$AM$2000,5,FALSE)</f>
        <v>31000</v>
      </c>
      <c r="Q45" s="223" t="str">
        <f>VLOOKUP($C45,従業員情報!$A$2:'従業員情報'!$AM$2000,6,FALSE)</f>
        <v>生産技術部２課工機係</v>
      </c>
      <c r="R45" s="22">
        <v>0</v>
      </c>
      <c r="S45" s="22"/>
      <c r="T45" s="22">
        <v>2</v>
      </c>
      <c r="U45" s="264">
        <v>38</v>
      </c>
    </row>
    <row r="46" spans="1:21">
      <c r="A46">
        <v>378</v>
      </c>
      <c r="B46" s="21">
        <v>455</v>
      </c>
      <c r="C46" s="22">
        <v>5119</v>
      </c>
      <c r="D46" s="22" t="s">
        <v>74</v>
      </c>
      <c r="E46" s="23" t="s">
        <v>15</v>
      </c>
      <c r="F46" s="24">
        <v>19670723</v>
      </c>
      <c r="G46" s="16">
        <f t="shared" si="4"/>
        <v>24676</v>
      </c>
      <c r="H46" s="2">
        <f t="shared" si="5"/>
        <v>54</v>
      </c>
      <c r="I46" s="17"/>
      <c r="J46" s="25">
        <v>19850326</v>
      </c>
      <c r="K46" s="16">
        <f t="shared" si="6"/>
        <v>31132</v>
      </c>
      <c r="L46" s="2">
        <f t="shared" si="7"/>
        <v>36</v>
      </c>
      <c r="M46" s="25" t="e">
        <f>VLOOKUP($C46,#REF!:#REF!,2,FALSE)</f>
        <v>#REF!</v>
      </c>
      <c r="N46" s="26"/>
      <c r="O46" s="27" t="s">
        <v>75</v>
      </c>
      <c r="P46" s="223">
        <f>VLOOKUP($C46,従業員情報!$A$2:'従業員情報'!$AM$2000,5,FALSE)</f>
        <v>31000</v>
      </c>
      <c r="Q46" s="223" t="str">
        <f>VLOOKUP($C46,従業員情報!$A$2:'従業員情報'!$AM$2000,6,FALSE)</f>
        <v>生産技術部２課工機係</v>
      </c>
      <c r="R46" s="22">
        <v>0</v>
      </c>
      <c r="S46" s="22"/>
      <c r="T46" s="22">
        <v>2</v>
      </c>
      <c r="U46" s="264">
        <v>39</v>
      </c>
    </row>
    <row r="47" spans="1:21">
      <c r="B47" s="21"/>
      <c r="C47" s="22">
        <v>3544</v>
      </c>
      <c r="D47" s="22" t="s">
        <v>889</v>
      </c>
      <c r="E47" s="23"/>
      <c r="F47" s="24"/>
      <c r="G47" s="16"/>
      <c r="H47" s="2"/>
      <c r="I47" s="17"/>
      <c r="J47" s="25"/>
      <c r="K47" s="16"/>
      <c r="M47" s="25"/>
      <c r="N47" s="26"/>
      <c r="O47" s="27"/>
      <c r="P47" s="223">
        <f>VLOOKUP($C47,従業員情報!$A$2:'従業員情報'!$AM$2000,5,FALSE)</f>
        <v>31000</v>
      </c>
      <c r="Q47" s="223" t="str">
        <f>VLOOKUP($C47,従業員情報!$A$2:'従業員情報'!$AM$2000,6,FALSE)</f>
        <v>生産技術部２課工機係</v>
      </c>
      <c r="R47" s="22"/>
      <c r="S47" s="22"/>
      <c r="T47" s="22"/>
      <c r="U47" s="264">
        <v>80</v>
      </c>
    </row>
    <row r="48" spans="1:21">
      <c r="A48">
        <v>109</v>
      </c>
      <c r="B48" s="21">
        <v>111</v>
      </c>
      <c r="C48" s="22">
        <v>2910</v>
      </c>
      <c r="D48" s="22" t="s">
        <v>55</v>
      </c>
      <c r="E48" s="23" t="s">
        <v>15</v>
      </c>
      <c r="F48" s="24">
        <v>19740126</v>
      </c>
      <c r="G48" s="16">
        <f t="shared" ref="G48:G62" si="8">DATE(INT(F48/10000),INT(MOD(F48,10000)/100),MOD(F48,100))</f>
        <v>27055</v>
      </c>
      <c r="H48" s="2">
        <f t="shared" ref="H48:H62" si="9">DATEDIF(G48,$G$4,"Y")</f>
        <v>48</v>
      </c>
      <c r="I48" s="17"/>
      <c r="J48" s="25">
        <v>19920323</v>
      </c>
      <c r="K48" s="16">
        <f t="shared" ref="K48:K62" si="10">DATE(INT(J48/10000),INT(MOD(J48,10000)/100),MOD(J48,100))</f>
        <v>33686</v>
      </c>
      <c r="L48" s="2">
        <f t="shared" ref="L48:L62" si="11">DATEDIF(K48,$G$4,"Y")</f>
        <v>29</v>
      </c>
      <c r="M48" s="25" t="e">
        <f>VLOOKUP($C48,#REF!:#REF!,2,FALSE)</f>
        <v>#REF!</v>
      </c>
      <c r="N48" s="26"/>
      <c r="O48" s="27" t="s">
        <v>35</v>
      </c>
      <c r="P48" s="223">
        <f>VLOOKUP($C48,従業員情報!$A$2:'従業員情報'!$AM$2000,5,FALSE)</f>
        <v>31000</v>
      </c>
      <c r="Q48" s="223" t="str">
        <f>VLOOKUP($C48,従業員情報!$A$2:'従業員情報'!$AM$2000,6,FALSE)</f>
        <v>生産技術部２課工機係</v>
      </c>
      <c r="R48" s="22">
        <v>0</v>
      </c>
      <c r="S48" s="22"/>
      <c r="T48" s="22">
        <v>1</v>
      </c>
      <c r="U48" s="264">
        <v>219</v>
      </c>
    </row>
    <row r="49" spans="1:21">
      <c r="A49">
        <v>205</v>
      </c>
      <c r="B49" s="21">
        <v>224</v>
      </c>
      <c r="C49" s="22">
        <v>3283</v>
      </c>
      <c r="D49" s="22" t="s">
        <v>80</v>
      </c>
      <c r="E49" s="23" t="s">
        <v>15</v>
      </c>
      <c r="F49" s="24">
        <v>19891023</v>
      </c>
      <c r="G49" s="16">
        <f t="shared" si="8"/>
        <v>32804</v>
      </c>
      <c r="H49" s="2">
        <f t="shared" si="9"/>
        <v>32</v>
      </c>
      <c r="I49" s="17"/>
      <c r="J49" s="25">
        <v>20080321</v>
      </c>
      <c r="K49" s="16">
        <f t="shared" si="10"/>
        <v>39528</v>
      </c>
      <c r="L49" s="2">
        <f t="shared" si="11"/>
        <v>13</v>
      </c>
      <c r="M49" s="25" t="e">
        <f>VLOOKUP($C49,#REF!:#REF!,2,FALSE)</f>
        <v>#REF!</v>
      </c>
      <c r="N49" s="26"/>
      <c r="O49" s="27" t="s">
        <v>35</v>
      </c>
      <c r="P49" s="223">
        <f>VLOOKUP($C49,従業員情報!$A$2:'従業員情報'!$AM$2000,5,FALSE)</f>
        <v>32000</v>
      </c>
      <c r="Q49" s="223" t="str">
        <f>VLOOKUP($C49,従業員情報!$A$2:'従業員情報'!$AM$2000,6,FALSE)</f>
        <v>生産技術部２課試作係</v>
      </c>
      <c r="R49" s="22">
        <v>0</v>
      </c>
      <c r="S49" s="22"/>
      <c r="T49" s="22">
        <v>1</v>
      </c>
      <c r="U49" s="264">
        <v>40</v>
      </c>
    </row>
    <row r="50" spans="1:21">
      <c r="A50">
        <v>314</v>
      </c>
      <c r="B50" s="21">
        <v>373</v>
      </c>
      <c r="C50" s="22">
        <v>3787</v>
      </c>
      <c r="D50" s="22" t="s">
        <v>82</v>
      </c>
      <c r="E50" s="23" t="s">
        <v>15</v>
      </c>
      <c r="F50" s="24">
        <v>19700222</v>
      </c>
      <c r="G50" s="16">
        <f t="shared" si="8"/>
        <v>25621</v>
      </c>
      <c r="H50" s="2">
        <f t="shared" si="9"/>
        <v>52</v>
      </c>
      <c r="I50" s="17"/>
      <c r="J50" s="25">
        <v>19891204</v>
      </c>
      <c r="K50" s="16">
        <f t="shared" si="10"/>
        <v>32846</v>
      </c>
      <c r="L50" s="2">
        <f t="shared" si="11"/>
        <v>32</v>
      </c>
      <c r="M50" s="25" t="e">
        <f>VLOOKUP($C50,#REF!:#REF!,2,FALSE)</f>
        <v>#REF!</v>
      </c>
      <c r="N50" s="26"/>
      <c r="O50" s="27" t="s">
        <v>35</v>
      </c>
      <c r="P50" s="223">
        <f>VLOOKUP($C50,従業員情報!$A$2:'従業員情報'!$AM$2000,5,FALSE)</f>
        <v>32000</v>
      </c>
      <c r="Q50" s="223" t="str">
        <f>VLOOKUP($C50,従業員情報!$A$2:'従業員情報'!$AM$2000,6,FALSE)</f>
        <v>生産技術部２課試作係</v>
      </c>
      <c r="R50" s="22">
        <v>0</v>
      </c>
      <c r="S50" s="22"/>
      <c r="T50" s="22">
        <v>2</v>
      </c>
      <c r="U50" s="264">
        <v>41</v>
      </c>
    </row>
    <row r="51" spans="1:21">
      <c r="A51">
        <v>164</v>
      </c>
      <c r="B51" s="21">
        <v>178</v>
      </c>
      <c r="C51" s="22">
        <v>3177</v>
      </c>
      <c r="D51" s="22" t="s">
        <v>85</v>
      </c>
      <c r="E51" s="23" t="s">
        <v>15</v>
      </c>
      <c r="F51" s="24">
        <v>19821219</v>
      </c>
      <c r="G51" s="16">
        <f t="shared" si="8"/>
        <v>30304</v>
      </c>
      <c r="H51" s="2">
        <f t="shared" si="9"/>
        <v>39</v>
      </c>
      <c r="I51" s="17"/>
      <c r="J51" s="25">
        <v>20010321</v>
      </c>
      <c r="K51" s="16">
        <f t="shared" si="10"/>
        <v>36971</v>
      </c>
      <c r="L51" s="2">
        <f t="shared" si="11"/>
        <v>20</v>
      </c>
      <c r="M51" s="25" t="e">
        <f>VLOOKUP($C51,#REF!:#REF!,2,FALSE)</f>
        <v>#REF!</v>
      </c>
      <c r="N51" s="26"/>
      <c r="O51" s="27" t="s">
        <v>35</v>
      </c>
      <c r="P51" s="223">
        <f>VLOOKUP($C51,従業員情報!$A$2:'従業員情報'!$AM$2000,5,FALSE)</f>
        <v>33000</v>
      </c>
      <c r="Q51" s="223" t="str">
        <f>VLOOKUP($C51,従業員情報!$A$2:'従業員情報'!$AM$2000,6,FALSE)</f>
        <v>生産技術部２課保全係</v>
      </c>
      <c r="R51" s="22">
        <v>0</v>
      </c>
      <c r="S51" s="22"/>
      <c r="T51" s="22">
        <v>1</v>
      </c>
      <c r="U51" s="264">
        <v>43</v>
      </c>
    </row>
    <row r="52" spans="1:21">
      <c r="A52">
        <v>116</v>
      </c>
      <c r="B52" s="21">
        <v>120</v>
      </c>
      <c r="C52" s="22">
        <v>2962</v>
      </c>
      <c r="D52" s="22" t="s">
        <v>217</v>
      </c>
      <c r="E52" s="23" t="s">
        <v>15</v>
      </c>
      <c r="F52" s="24">
        <v>19700502</v>
      </c>
      <c r="G52" s="16">
        <f t="shared" si="8"/>
        <v>25690</v>
      </c>
      <c r="H52" s="2">
        <f t="shared" si="9"/>
        <v>51</v>
      </c>
      <c r="I52" s="17"/>
      <c r="J52" s="25">
        <v>19940322</v>
      </c>
      <c r="K52" s="16">
        <f t="shared" si="10"/>
        <v>34415</v>
      </c>
      <c r="L52" s="2">
        <f t="shared" si="11"/>
        <v>27</v>
      </c>
      <c r="M52" s="25" t="e">
        <f>VLOOKUP($C52,#REF!:#REF!,2,FALSE)</f>
        <v>#REF!</v>
      </c>
      <c r="N52" s="26"/>
      <c r="O52" s="27" t="s">
        <v>16</v>
      </c>
      <c r="P52" s="223">
        <f>VLOOKUP($C52,従業員情報!$A$2:'従業員情報'!$AM$2000,5,FALSE)</f>
        <v>34000</v>
      </c>
      <c r="Q52" s="223" t="str">
        <f>VLOOKUP($C52,従業員情報!$A$2:'従業員情報'!$AM$2000,6,FALSE)</f>
        <v>生産支援室</v>
      </c>
      <c r="R52" s="22">
        <v>0</v>
      </c>
      <c r="S52" s="22"/>
      <c r="T52" s="22">
        <v>1</v>
      </c>
      <c r="U52" s="264">
        <v>196</v>
      </c>
    </row>
    <row r="53" spans="1:21">
      <c r="A53">
        <v>95</v>
      </c>
      <c r="B53" s="21">
        <v>96</v>
      </c>
      <c r="C53" s="22">
        <v>2806</v>
      </c>
      <c r="D53" s="22" t="s">
        <v>90</v>
      </c>
      <c r="E53" s="23" t="s">
        <v>15</v>
      </c>
      <c r="F53" s="24">
        <v>19680906</v>
      </c>
      <c r="G53" s="16">
        <f t="shared" si="8"/>
        <v>25087</v>
      </c>
      <c r="H53" s="2">
        <f t="shared" si="9"/>
        <v>53</v>
      </c>
      <c r="I53" s="17"/>
      <c r="J53" s="25">
        <v>19620326</v>
      </c>
      <c r="K53" s="16">
        <f t="shared" si="10"/>
        <v>22731</v>
      </c>
      <c r="L53" s="2">
        <f t="shared" si="11"/>
        <v>59</v>
      </c>
      <c r="M53" s="25" t="e">
        <f>VLOOKUP($C53,#REF!:#REF!,2,FALSE)</f>
        <v>#REF!</v>
      </c>
      <c r="N53" s="26"/>
      <c r="O53" s="27" t="s">
        <v>35</v>
      </c>
      <c r="P53" s="223">
        <f>VLOOKUP($C53,従業員情報!$A$2:'従業員情報'!$AM$2000,5,FALSE)</f>
        <v>40000</v>
      </c>
      <c r="Q53" s="223" t="str">
        <f>VLOOKUP($C53,従業員情報!$A$2:'従業員情報'!$AM$2000,6,FALSE)</f>
        <v>本社工場工場管理課</v>
      </c>
      <c r="R53" s="22">
        <v>0</v>
      </c>
      <c r="S53" s="22"/>
      <c r="T53" s="22">
        <v>1</v>
      </c>
      <c r="U53" s="264">
        <v>45</v>
      </c>
    </row>
    <row r="54" spans="1:21">
      <c r="A54">
        <v>103</v>
      </c>
      <c r="B54" s="21">
        <v>104</v>
      </c>
      <c r="C54" s="22">
        <v>2834</v>
      </c>
      <c r="D54" s="22" t="s">
        <v>731</v>
      </c>
      <c r="E54" s="23" t="s">
        <v>15</v>
      </c>
      <c r="F54" s="24">
        <v>19690713</v>
      </c>
      <c r="G54" s="16">
        <f t="shared" si="8"/>
        <v>25397</v>
      </c>
      <c r="H54" s="2">
        <f t="shared" si="9"/>
        <v>52</v>
      </c>
      <c r="I54" s="17"/>
      <c r="J54" s="25">
        <v>19880324</v>
      </c>
      <c r="K54" s="16">
        <f t="shared" si="10"/>
        <v>32226</v>
      </c>
      <c r="L54" s="2">
        <f t="shared" si="11"/>
        <v>33</v>
      </c>
      <c r="M54" s="25" t="e">
        <f>VLOOKUP($C54,#REF!:#REF!,2,FALSE)</f>
        <v>#REF!</v>
      </c>
      <c r="N54" s="26"/>
      <c r="O54" s="27" t="s">
        <v>35</v>
      </c>
      <c r="P54" s="223">
        <f>VLOOKUP($C54,従業員情報!$A$2:'従業員情報'!$AM$2000,5,FALSE)</f>
        <v>40000</v>
      </c>
      <c r="Q54" s="223" t="str">
        <f>VLOOKUP($C54,従業員情報!$A$2:'従業員情報'!$AM$2000,6,FALSE)</f>
        <v>本社工場工場管理課</v>
      </c>
      <c r="R54" s="22">
        <v>0</v>
      </c>
      <c r="S54" s="22"/>
      <c r="T54" s="22">
        <v>1</v>
      </c>
      <c r="U54" s="264">
        <v>46</v>
      </c>
    </row>
    <row r="55" spans="1:21">
      <c r="A55">
        <v>105</v>
      </c>
      <c r="B55" s="21">
        <v>107</v>
      </c>
      <c r="C55" s="22">
        <v>2892</v>
      </c>
      <c r="D55" s="22" t="s">
        <v>93</v>
      </c>
      <c r="E55" s="23" t="s">
        <v>15</v>
      </c>
      <c r="F55" s="24">
        <v>19720804</v>
      </c>
      <c r="G55" s="16">
        <f t="shared" si="8"/>
        <v>26515</v>
      </c>
      <c r="H55" s="2">
        <f t="shared" si="9"/>
        <v>49</v>
      </c>
      <c r="I55" s="17"/>
      <c r="J55" s="25">
        <v>19910325</v>
      </c>
      <c r="K55" s="16">
        <f t="shared" si="10"/>
        <v>33322</v>
      </c>
      <c r="L55" s="2">
        <f t="shared" si="11"/>
        <v>30</v>
      </c>
      <c r="M55" s="25" t="e">
        <f>VLOOKUP($C55,#REF!:#REF!,2,FALSE)</f>
        <v>#REF!</v>
      </c>
      <c r="N55" s="26"/>
      <c r="O55" s="27" t="s">
        <v>35</v>
      </c>
      <c r="P55" s="223">
        <f>VLOOKUP($C55,従業員情報!$A$2:'従業員情報'!$AM$2000,5,FALSE)</f>
        <v>40000</v>
      </c>
      <c r="Q55" s="223" t="str">
        <f>VLOOKUP($C55,従業員情報!$A$2:'従業員情報'!$AM$2000,6,FALSE)</f>
        <v>本社工場工場管理課</v>
      </c>
      <c r="R55" s="22">
        <v>0</v>
      </c>
      <c r="S55" s="22"/>
      <c r="T55" s="22">
        <v>1</v>
      </c>
      <c r="U55" s="264">
        <v>47</v>
      </c>
    </row>
    <row r="56" spans="1:21">
      <c r="A56">
        <v>248</v>
      </c>
      <c r="B56" s="21">
        <v>291</v>
      </c>
      <c r="C56" s="22">
        <v>3412</v>
      </c>
      <c r="D56" s="22" t="s">
        <v>94</v>
      </c>
      <c r="E56" s="23" t="s">
        <v>15</v>
      </c>
      <c r="F56" s="24">
        <v>19910218</v>
      </c>
      <c r="G56" s="16">
        <f t="shared" si="8"/>
        <v>33287</v>
      </c>
      <c r="H56" s="2">
        <f t="shared" si="9"/>
        <v>31</v>
      </c>
      <c r="I56" s="17"/>
      <c r="J56" s="25">
        <v>20140321</v>
      </c>
      <c r="K56" s="16">
        <f t="shared" si="10"/>
        <v>41719</v>
      </c>
      <c r="L56" s="2">
        <f t="shared" si="11"/>
        <v>7</v>
      </c>
      <c r="M56" s="25" t="e">
        <f>VLOOKUP($C56,#REF!:#REF!,2,FALSE)</f>
        <v>#REF!</v>
      </c>
      <c r="N56" s="26"/>
      <c r="O56" s="27" t="s">
        <v>16</v>
      </c>
      <c r="P56" s="223">
        <f>VLOOKUP($C56,従業員情報!$A$2:'従業員情報'!$AM$2000,5,FALSE)</f>
        <v>40000</v>
      </c>
      <c r="Q56" s="223" t="str">
        <f>VLOOKUP($C56,従業員情報!$A$2:'従業員情報'!$AM$2000,6,FALSE)</f>
        <v>本社工場工場管理課</v>
      </c>
      <c r="R56" s="22">
        <v>0</v>
      </c>
      <c r="S56" s="22"/>
      <c r="T56" s="22">
        <v>1</v>
      </c>
      <c r="U56" s="264">
        <v>48</v>
      </c>
    </row>
    <row r="57" spans="1:21">
      <c r="A57">
        <v>264</v>
      </c>
      <c r="B57" s="21">
        <v>317</v>
      </c>
      <c r="C57" s="22">
        <v>3453</v>
      </c>
      <c r="D57" s="22" t="s">
        <v>96</v>
      </c>
      <c r="E57" s="23" t="s">
        <v>15</v>
      </c>
      <c r="F57" s="24">
        <v>19930110</v>
      </c>
      <c r="G57" s="16">
        <f t="shared" si="8"/>
        <v>33979</v>
      </c>
      <c r="H57" s="2">
        <f t="shared" si="9"/>
        <v>29</v>
      </c>
      <c r="I57" s="17"/>
      <c r="J57" s="25">
        <v>20160401</v>
      </c>
      <c r="K57" s="16">
        <f t="shared" si="10"/>
        <v>42461</v>
      </c>
      <c r="L57" s="2">
        <f t="shared" si="11"/>
        <v>5</v>
      </c>
      <c r="M57" s="25" t="e">
        <f>VLOOKUP($C57,#REF!:#REF!,2,FALSE)</f>
        <v>#REF!</v>
      </c>
      <c r="N57" s="26"/>
      <c r="O57" s="27" t="s">
        <v>16</v>
      </c>
      <c r="P57" s="223">
        <f>VLOOKUP($C57,従業員情報!$A$2:'従業員情報'!$AM$2000,5,FALSE)</f>
        <v>40000</v>
      </c>
      <c r="Q57" s="223" t="str">
        <f>VLOOKUP($C57,従業員情報!$A$2:'従業員情報'!$AM$2000,6,FALSE)</f>
        <v>本社工場工場管理課</v>
      </c>
      <c r="R57" s="22">
        <v>0</v>
      </c>
      <c r="S57" s="22"/>
      <c r="T57" s="22">
        <v>2</v>
      </c>
      <c r="U57" s="264">
        <v>49</v>
      </c>
    </row>
    <row r="58" spans="1:21">
      <c r="A58">
        <v>122</v>
      </c>
      <c r="B58" s="21">
        <v>126</v>
      </c>
      <c r="C58" s="22">
        <v>2979</v>
      </c>
      <c r="D58" s="22" t="s">
        <v>279</v>
      </c>
      <c r="E58" s="23" t="s">
        <v>15</v>
      </c>
      <c r="F58" s="24">
        <v>19750704</v>
      </c>
      <c r="G58" s="16">
        <f t="shared" si="8"/>
        <v>27579</v>
      </c>
      <c r="H58" s="2">
        <f t="shared" si="9"/>
        <v>46</v>
      </c>
      <c r="I58" s="17"/>
      <c r="J58" s="25">
        <v>19940322</v>
      </c>
      <c r="K58" s="16">
        <f t="shared" si="10"/>
        <v>34415</v>
      </c>
      <c r="L58" s="2">
        <f t="shared" si="11"/>
        <v>27</v>
      </c>
      <c r="M58" s="25" t="e">
        <f>VLOOKUP($C58,#REF!:#REF!,2,FALSE)</f>
        <v>#REF!</v>
      </c>
      <c r="N58" s="26"/>
      <c r="O58" s="27" t="s">
        <v>35</v>
      </c>
      <c r="P58" s="223">
        <f>VLOOKUP($C58,従業員情報!$A$2:'従業員情報'!$AM$2000,5,FALSE)</f>
        <v>40000</v>
      </c>
      <c r="Q58" s="223" t="str">
        <f>VLOOKUP($C58,従業員情報!$A$2:'従業員情報'!$AM$2000,6,FALSE)</f>
        <v>本社工場工場管理課</v>
      </c>
      <c r="R58" s="22">
        <v>1</v>
      </c>
      <c r="S58" s="22" t="s">
        <v>679</v>
      </c>
      <c r="T58" s="22">
        <v>1</v>
      </c>
      <c r="U58" s="264">
        <v>153</v>
      </c>
    </row>
    <row r="59" spans="1:21">
      <c r="A59">
        <v>94</v>
      </c>
      <c r="B59" s="21">
        <v>95</v>
      </c>
      <c r="C59" s="22">
        <v>2805</v>
      </c>
      <c r="D59" s="22" t="s">
        <v>100</v>
      </c>
      <c r="E59" s="23" t="s">
        <v>15</v>
      </c>
      <c r="F59" s="24">
        <v>19681129</v>
      </c>
      <c r="G59" s="16">
        <f t="shared" si="8"/>
        <v>25171</v>
      </c>
      <c r="H59" s="2">
        <f t="shared" si="9"/>
        <v>53</v>
      </c>
      <c r="I59" s="17"/>
      <c r="J59" s="25">
        <v>19870326</v>
      </c>
      <c r="K59" s="16">
        <f t="shared" si="10"/>
        <v>31862</v>
      </c>
      <c r="L59" s="2">
        <f t="shared" si="11"/>
        <v>34</v>
      </c>
      <c r="M59" s="25" t="e">
        <f>VLOOKUP($C59,#REF!:#REF!,2,FALSE)</f>
        <v>#REF!</v>
      </c>
      <c r="N59" s="26"/>
      <c r="O59" s="27" t="s">
        <v>35</v>
      </c>
      <c r="P59" s="223">
        <f>VLOOKUP($C59,従業員情報!$A$2:'従業員情報'!$AM$2000,5,FALSE)</f>
        <v>40400</v>
      </c>
      <c r="Q59" s="223" t="str">
        <f>VLOOKUP($C59,従業員情報!$A$2:'従業員情報'!$AM$2000,6,FALSE)</f>
        <v>本社工場改善</v>
      </c>
      <c r="R59" s="22">
        <v>0</v>
      </c>
      <c r="S59" s="22"/>
      <c r="T59" s="22">
        <v>2</v>
      </c>
      <c r="U59" s="264">
        <v>51</v>
      </c>
    </row>
    <row r="60" spans="1:21">
      <c r="A60">
        <v>137</v>
      </c>
      <c r="B60" s="21">
        <v>145</v>
      </c>
      <c r="C60" s="22">
        <v>3048</v>
      </c>
      <c r="D60" s="22" t="s">
        <v>97</v>
      </c>
      <c r="E60" s="23" t="s">
        <v>15</v>
      </c>
      <c r="F60" s="24">
        <v>19760820</v>
      </c>
      <c r="G60" s="16">
        <f t="shared" si="8"/>
        <v>27992</v>
      </c>
      <c r="H60" s="2">
        <f t="shared" si="9"/>
        <v>45</v>
      </c>
      <c r="I60" s="17"/>
      <c r="J60" s="25">
        <v>19950322</v>
      </c>
      <c r="K60" s="16">
        <f t="shared" si="10"/>
        <v>34780</v>
      </c>
      <c r="L60" s="2">
        <f t="shared" si="11"/>
        <v>26</v>
      </c>
      <c r="M60" s="25" t="e">
        <f>VLOOKUP($C60,#REF!:#REF!,2,FALSE)</f>
        <v>#REF!</v>
      </c>
      <c r="N60" s="26"/>
      <c r="O60" s="27" t="s">
        <v>35</v>
      </c>
      <c r="P60" s="223">
        <f>VLOOKUP($C60,従業員情報!$A$2:'従業員情報'!$AM$2000,5,FALSE)</f>
        <v>40400</v>
      </c>
      <c r="Q60" s="223" t="str">
        <f>VLOOKUP($C60,従業員情報!$A$2:'従業員情報'!$AM$2000,6,FALSE)</f>
        <v>本社工場改善</v>
      </c>
      <c r="R60" s="22">
        <v>0</v>
      </c>
      <c r="S60" s="22"/>
      <c r="T60" s="22">
        <v>1</v>
      </c>
      <c r="U60" s="264">
        <v>52</v>
      </c>
    </row>
    <row r="61" spans="1:21">
      <c r="A61">
        <v>85</v>
      </c>
      <c r="B61" s="21">
        <v>85</v>
      </c>
      <c r="C61" s="22">
        <v>2735</v>
      </c>
      <c r="D61" s="22" t="s">
        <v>116</v>
      </c>
      <c r="E61" s="23" t="s">
        <v>15</v>
      </c>
      <c r="F61" s="24">
        <v>19661003</v>
      </c>
      <c r="G61" s="16">
        <f t="shared" si="8"/>
        <v>24383</v>
      </c>
      <c r="H61" s="2">
        <f t="shared" si="9"/>
        <v>55</v>
      </c>
      <c r="I61" s="17"/>
      <c r="J61" s="25">
        <v>19850325</v>
      </c>
      <c r="K61" s="16">
        <f t="shared" si="10"/>
        <v>31131</v>
      </c>
      <c r="L61" s="2">
        <f t="shared" si="11"/>
        <v>36</v>
      </c>
      <c r="M61" s="25" t="e">
        <f>VLOOKUP($C61,#REF!:#REF!,2,FALSE)</f>
        <v>#REF!</v>
      </c>
      <c r="N61" s="26"/>
      <c r="O61" s="27" t="s">
        <v>35</v>
      </c>
      <c r="P61" s="223">
        <f>VLOOKUP($C61,従業員情報!$A$2:'従業員情報'!$AM$2000,5,FALSE)</f>
        <v>40400</v>
      </c>
      <c r="Q61" s="223" t="str">
        <f>VLOOKUP($C61,従業員情報!$A$2:'従業員情報'!$AM$2000,6,FALSE)</f>
        <v>本社工場改善</v>
      </c>
      <c r="R61" s="22">
        <v>0</v>
      </c>
      <c r="S61" s="22"/>
      <c r="T61" s="22">
        <v>2</v>
      </c>
      <c r="U61" s="264">
        <v>173</v>
      </c>
    </row>
    <row r="62" spans="1:21">
      <c r="A62">
        <v>59</v>
      </c>
      <c r="B62" s="21"/>
      <c r="C62" s="22">
        <v>1427</v>
      </c>
      <c r="D62" s="22" t="s">
        <v>797</v>
      </c>
      <c r="E62" s="23" t="s">
        <v>676</v>
      </c>
      <c r="F62" s="24">
        <v>19990507</v>
      </c>
      <c r="G62" s="16">
        <f t="shared" si="8"/>
        <v>36287</v>
      </c>
      <c r="H62" s="2">
        <f t="shared" si="9"/>
        <v>22</v>
      </c>
      <c r="I62" s="17"/>
      <c r="J62" s="25">
        <v>20220516</v>
      </c>
      <c r="K62" s="16">
        <f t="shared" si="10"/>
        <v>44697</v>
      </c>
      <c r="L62" s="2" t="e">
        <f t="shared" si="11"/>
        <v>#NUM!</v>
      </c>
      <c r="M62" s="25" t="e">
        <f>VLOOKUP($C62,#REF!:#REF!,2,FALSE)</f>
        <v>#REF!</v>
      </c>
      <c r="N62" s="26"/>
      <c r="O62" s="27"/>
      <c r="P62" s="223">
        <f>VLOOKUP($C62,従業員情報!$A$2:'従業員情報'!$AM$2000,5,FALSE)</f>
        <v>41011</v>
      </c>
      <c r="Q62" s="223" t="str">
        <f>VLOOKUP($C62,従業員情報!$A$2:'従業員情報'!$AM$2000,6,FALSE)</f>
        <v>本社工場ＨＹ</v>
      </c>
      <c r="R62" s="22"/>
      <c r="S62" s="22"/>
      <c r="T62" s="22"/>
      <c r="U62" s="264">
        <v>53</v>
      </c>
    </row>
    <row r="63" spans="1:21">
      <c r="A63">
        <v>64</v>
      </c>
      <c r="B63" s="21"/>
      <c r="C63" s="22">
        <v>1432</v>
      </c>
      <c r="D63" s="22" t="s">
        <v>817</v>
      </c>
      <c r="E63" s="23" t="s">
        <v>800</v>
      </c>
      <c r="F63" s="24"/>
      <c r="G63" s="16"/>
      <c r="H63" s="2"/>
      <c r="I63" s="17"/>
      <c r="J63" s="25"/>
      <c r="K63" s="16"/>
      <c r="M63" s="25" t="e">
        <f>VLOOKUP($C63,#REF!:#REF!,2,FALSE)</f>
        <v>#REF!</v>
      </c>
      <c r="N63" s="26"/>
      <c r="O63" s="27"/>
      <c r="P63" s="223">
        <f>VLOOKUP($C63,従業員情報!$A$2:'従業員情報'!$AM$2000,5,FALSE)</f>
        <v>41011</v>
      </c>
      <c r="Q63" s="223" t="str">
        <f>VLOOKUP($C63,従業員情報!$A$2:'従業員情報'!$AM$2000,6,FALSE)</f>
        <v>本社工場ＨＹ</v>
      </c>
      <c r="R63" s="22"/>
      <c r="S63" s="22"/>
      <c r="T63" s="22"/>
      <c r="U63" s="264">
        <v>54</v>
      </c>
    </row>
    <row r="64" spans="1:21">
      <c r="A64">
        <v>84</v>
      </c>
      <c r="B64" s="21">
        <v>84</v>
      </c>
      <c r="C64" s="22">
        <v>2731</v>
      </c>
      <c r="D64" s="22" t="s">
        <v>264</v>
      </c>
      <c r="E64" s="23" t="s">
        <v>15</v>
      </c>
      <c r="F64" s="24">
        <v>19660402</v>
      </c>
      <c r="G64" s="16">
        <f t="shared" ref="G64:G89" si="12">DATE(INT(F64/10000),INT(MOD(F64,10000)/100),MOD(F64,100))</f>
        <v>24199</v>
      </c>
      <c r="H64" s="2">
        <f t="shared" ref="H64:H89" si="13">DATEDIF(G64,$G$4,"Y")</f>
        <v>55</v>
      </c>
      <c r="I64" s="17"/>
      <c r="J64" s="25">
        <v>19850328</v>
      </c>
      <c r="K64" s="16">
        <f t="shared" ref="K64:K89" si="14">DATE(INT(J64/10000),INT(MOD(J64,10000)/100),MOD(J64,100))</f>
        <v>31134</v>
      </c>
      <c r="L64" s="2">
        <f t="shared" ref="L64:L89" si="15">DATEDIF(K64,$G$4,"Y")</f>
        <v>36</v>
      </c>
      <c r="M64" s="25" t="e">
        <f>VLOOKUP($C64,#REF!:#REF!,2,FALSE)</f>
        <v>#REF!</v>
      </c>
      <c r="N64" s="26"/>
      <c r="O64" s="27" t="s">
        <v>35</v>
      </c>
      <c r="P64" s="223">
        <f>VLOOKUP($C64,従業員情報!$A$2:'従業員情報'!$AM$2000,5,FALSE)</f>
        <v>41011</v>
      </c>
      <c r="Q64" s="223" t="str">
        <f>VLOOKUP($C64,従業員情報!$A$2:'従業員情報'!$AM$2000,6,FALSE)</f>
        <v>本社工場ＨＹ</v>
      </c>
      <c r="R64" s="22">
        <v>1</v>
      </c>
      <c r="S64" s="22" t="s">
        <v>679</v>
      </c>
      <c r="T64" s="22">
        <v>2</v>
      </c>
      <c r="U64" s="264">
        <v>55</v>
      </c>
    </row>
    <row r="65" spans="1:21">
      <c r="A65">
        <v>107</v>
      </c>
      <c r="B65" s="21">
        <v>109</v>
      </c>
      <c r="C65" s="22">
        <v>2894</v>
      </c>
      <c r="D65" s="22" t="s">
        <v>257</v>
      </c>
      <c r="E65" s="23" t="s">
        <v>15</v>
      </c>
      <c r="F65" s="24">
        <v>19721215</v>
      </c>
      <c r="G65" s="16">
        <f t="shared" si="12"/>
        <v>26648</v>
      </c>
      <c r="H65" s="2">
        <f t="shared" si="13"/>
        <v>49</v>
      </c>
      <c r="I65" s="17"/>
      <c r="J65" s="25">
        <v>19910325</v>
      </c>
      <c r="K65" s="16">
        <f t="shared" si="14"/>
        <v>33322</v>
      </c>
      <c r="L65" s="2">
        <f t="shared" si="15"/>
        <v>30</v>
      </c>
      <c r="M65" s="25" t="e">
        <f>VLOOKUP($C65,#REF!:#REF!,2,FALSE)</f>
        <v>#REF!</v>
      </c>
      <c r="N65" s="26"/>
      <c r="O65" s="27" t="s">
        <v>35</v>
      </c>
      <c r="P65" s="223">
        <f>VLOOKUP($C65,従業員情報!$A$2:'従業員情報'!$AM$2000,5,FALSE)</f>
        <v>41011</v>
      </c>
      <c r="Q65" s="223" t="str">
        <f>VLOOKUP($C65,従業員情報!$A$2:'従業員情報'!$AM$2000,6,FALSE)</f>
        <v>本社工場ＨＹ</v>
      </c>
      <c r="R65" s="22">
        <v>1</v>
      </c>
      <c r="S65" s="22" t="s">
        <v>679</v>
      </c>
      <c r="T65" s="22">
        <v>1</v>
      </c>
      <c r="U65" s="264">
        <v>56</v>
      </c>
    </row>
    <row r="66" spans="1:21">
      <c r="A66">
        <v>120</v>
      </c>
      <c r="B66" s="21">
        <v>124</v>
      </c>
      <c r="C66" s="22">
        <v>2973</v>
      </c>
      <c r="D66" s="22" t="s">
        <v>269</v>
      </c>
      <c r="E66" s="23" t="s">
        <v>15</v>
      </c>
      <c r="F66" s="24">
        <v>19740327</v>
      </c>
      <c r="G66" s="16">
        <f t="shared" si="12"/>
        <v>27115</v>
      </c>
      <c r="H66" s="2">
        <f t="shared" si="13"/>
        <v>47</v>
      </c>
      <c r="I66" s="17"/>
      <c r="J66" s="25">
        <v>19940322</v>
      </c>
      <c r="K66" s="16">
        <f t="shared" si="14"/>
        <v>34415</v>
      </c>
      <c r="L66" s="2">
        <f t="shared" si="15"/>
        <v>27</v>
      </c>
      <c r="M66" s="25" t="e">
        <f>VLOOKUP($C66,#REF!:#REF!,2,FALSE)</f>
        <v>#REF!</v>
      </c>
      <c r="N66" s="26"/>
      <c r="O66" s="27" t="s">
        <v>19</v>
      </c>
      <c r="P66" s="223">
        <f>VLOOKUP($C66,従業員情報!$A$2:'従業員情報'!$AM$2000,5,FALSE)</f>
        <v>41011</v>
      </c>
      <c r="Q66" s="223" t="str">
        <f>VLOOKUP($C66,従業員情報!$A$2:'従業員情報'!$AM$2000,6,FALSE)</f>
        <v>本社工場ＨＹ</v>
      </c>
      <c r="R66" s="22">
        <v>1</v>
      </c>
      <c r="S66" s="22" t="s">
        <v>679</v>
      </c>
      <c r="T66" s="22">
        <v>2</v>
      </c>
      <c r="U66" s="264">
        <v>57</v>
      </c>
    </row>
    <row r="67" spans="1:21">
      <c r="A67">
        <v>152</v>
      </c>
      <c r="B67" s="21">
        <v>164</v>
      </c>
      <c r="C67" s="22">
        <v>3136</v>
      </c>
      <c r="D67" s="22" t="s">
        <v>259</v>
      </c>
      <c r="E67" s="23" t="s">
        <v>15</v>
      </c>
      <c r="F67" s="24">
        <v>19760501</v>
      </c>
      <c r="G67" s="16">
        <f t="shared" si="12"/>
        <v>27881</v>
      </c>
      <c r="H67" s="2">
        <f t="shared" si="13"/>
        <v>45</v>
      </c>
      <c r="I67" s="17"/>
      <c r="J67" s="25">
        <v>19970321</v>
      </c>
      <c r="K67" s="16">
        <f t="shared" si="14"/>
        <v>35510</v>
      </c>
      <c r="L67" s="2">
        <f t="shared" si="15"/>
        <v>24</v>
      </c>
      <c r="M67" s="25" t="e">
        <f>VLOOKUP($C67,#REF!:#REF!,2,FALSE)</f>
        <v>#REF!</v>
      </c>
      <c r="N67" s="26"/>
      <c r="O67" s="27" t="s">
        <v>19</v>
      </c>
      <c r="P67" s="223">
        <f>VLOOKUP($C67,従業員情報!$A$2:'従業員情報'!$AM$2000,5,FALSE)</f>
        <v>41011</v>
      </c>
      <c r="Q67" s="223" t="str">
        <f>VLOOKUP($C67,従業員情報!$A$2:'従業員情報'!$AM$2000,6,FALSE)</f>
        <v>本社工場ＨＹ</v>
      </c>
      <c r="R67" s="22">
        <v>1</v>
      </c>
      <c r="S67" s="22" t="s">
        <v>679</v>
      </c>
      <c r="T67" s="22">
        <v>1</v>
      </c>
      <c r="U67" s="264">
        <v>58</v>
      </c>
    </row>
    <row r="68" spans="1:21">
      <c r="A68">
        <v>160</v>
      </c>
      <c r="B68" s="21">
        <v>173</v>
      </c>
      <c r="C68" s="22">
        <v>3163</v>
      </c>
      <c r="D68" s="22" t="s">
        <v>260</v>
      </c>
      <c r="E68" s="23" t="s">
        <v>15</v>
      </c>
      <c r="F68" s="24">
        <v>19820302</v>
      </c>
      <c r="G68" s="16">
        <f t="shared" si="12"/>
        <v>30012</v>
      </c>
      <c r="H68" s="2">
        <f t="shared" si="13"/>
        <v>39</v>
      </c>
      <c r="I68" s="17"/>
      <c r="J68" s="25">
        <v>20000321</v>
      </c>
      <c r="K68" s="16">
        <f t="shared" si="14"/>
        <v>36606</v>
      </c>
      <c r="L68" s="2">
        <f t="shared" si="15"/>
        <v>21</v>
      </c>
      <c r="M68" s="25" t="e">
        <f>VLOOKUP($C68,#REF!:#REF!,2,FALSE)</f>
        <v>#REF!</v>
      </c>
      <c r="N68" s="26"/>
      <c r="O68" s="27" t="s">
        <v>35</v>
      </c>
      <c r="P68" s="223">
        <f>VLOOKUP($C68,従業員情報!$A$2:'従業員情報'!$AM$2000,5,FALSE)</f>
        <v>41011</v>
      </c>
      <c r="Q68" s="223" t="str">
        <f>VLOOKUP($C68,従業員情報!$A$2:'従業員情報'!$AM$2000,6,FALSE)</f>
        <v>本社工場ＨＹ</v>
      </c>
      <c r="R68" s="22">
        <v>1</v>
      </c>
      <c r="S68" s="22" t="s">
        <v>679</v>
      </c>
      <c r="T68" s="22">
        <v>1</v>
      </c>
      <c r="U68" s="264">
        <v>59</v>
      </c>
    </row>
    <row r="69" spans="1:21">
      <c r="A69">
        <v>181</v>
      </c>
      <c r="B69" s="21">
        <v>198</v>
      </c>
      <c r="C69" s="22">
        <v>3218</v>
      </c>
      <c r="D69" s="22" t="s">
        <v>261</v>
      </c>
      <c r="E69" s="23" t="s">
        <v>15</v>
      </c>
      <c r="F69" s="24">
        <v>19850804</v>
      </c>
      <c r="G69" s="16">
        <f t="shared" si="12"/>
        <v>31263</v>
      </c>
      <c r="H69" s="2">
        <f t="shared" si="13"/>
        <v>36</v>
      </c>
      <c r="I69" s="17"/>
      <c r="J69" s="25">
        <v>20040322</v>
      </c>
      <c r="K69" s="16">
        <f t="shared" si="14"/>
        <v>38068</v>
      </c>
      <c r="L69" s="2">
        <f t="shared" si="15"/>
        <v>17</v>
      </c>
      <c r="M69" s="25" t="e">
        <f>VLOOKUP($C69,#REF!:#REF!,2,FALSE)</f>
        <v>#REF!</v>
      </c>
      <c r="N69" s="26"/>
      <c r="O69" s="27" t="s">
        <v>35</v>
      </c>
      <c r="P69" s="223">
        <f>VLOOKUP($C69,従業員情報!$A$2:'従業員情報'!$AM$2000,5,FALSE)</f>
        <v>41011</v>
      </c>
      <c r="Q69" s="223" t="str">
        <f>VLOOKUP($C69,従業員情報!$A$2:'従業員情報'!$AM$2000,6,FALSE)</f>
        <v>本社工場ＨＹ</v>
      </c>
      <c r="R69" s="22">
        <v>1</v>
      </c>
      <c r="S69" s="22" t="s">
        <v>679</v>
      </c>
      <c r="T69" s="22">
        <v>1</v>
      </c>
      <c r="U69" s="264">
        <v>60</v>
      </c>
    </row>
    <row r="70" spans="1:21">
      <c r="A70">
        <v>193</v>
      </c>
      <c r="B70" s="21">
        <v>211</v>
      </c>
      <c r="C70" s="22">
        <v>3251</v>
      </c>
      <c r="D70" s="22" t="s">
        <v>262</v>
      </c>
      <c r="E70" s="23" t="s">
        <v>15</v>
      </c>
      <c r="F70" s="24">
        <v>19870910</v>
      </c>
      <c r="G70" s="16">
        <f t="shared" si="12"/>
        <v>32030</v>
      </c>
      <c r="H70" s="2">
        <f t="shared" si="13"/>
        <v>34</v>
      </c>
      <c r="I70" s="17"/>
      <c r="J70" s="25">
        <v>20060321</v>
      </c>
      <c r="K70" s="16">
        <f t="shared" si="14"/>
        <v>38797</v>
      </c>
      <c r="L70" s="2">
        <f t="shared" si="15"/>
        <v>15</v>
      </c>
      <c r="M70" s="25" t="e">
        <f>VLOOKUP($C70,#REF!:#REF!,2,FALSE)</f>
        <v>#REF!</v>
      </c>
      <c r="N70" s="26"/>
      <c r="O70" s="27" t="s">
        <v>35</v>
      </c>
      <c r="P70" s="223">
        <f>VLOOKUP($C70,従業員情報!$A$2:'従業員情報'!$AM$2000,5,FALSE)</f>
        <v>41011</v>
      </c>
      <c r="Q70" s="223" t="str">
        <f>VLOOKUP($C70,従業員情報!$A$2:'従業員情報'!$AM$2000,6,FALSE)</f>
        <v>本社工場ＨＹ</v>
      </c>
      <c r="R70" s="22">
        <v>1</v>
      </c>
      <c r="S70" s="22" t="s">
        <v>679</v>
      </c>
      <c r="T70" s="22">
        <v>1</v>
      </c>
      <c r="U70" s="264">
        <v>61</v>
      </c>
    </row>
    <row r="71" spans="1:21">
      <c r="A71">
        <v>194</v>
      </c>
      <c r="B71" s="21">
        <v>212</v>
      </c>
      <c r="C71" s="22">
        <v>3253</v>
      </c>
      <c r="D71" s="22" t="s">
        <v>271</v>
      </c>
      <c r="E71" s="23" t="s">
        <v>15</v>
      </c>
      <c r="F71" s="24">
        <v>19850929</v>
      </c>
      <c r="G71" s="16">
        <f t="shared" si="12"/>
        <v>31319</v>
      </c>
      <c r="H71" s="2">
        <f t="shared" si="13"/>
        <v>36</v>
      </c>
      <c r="I71" s="17"/>
      <c r="J71" s="25">
        <v>20060321</v>
      </c>
      <c r="K71" s="16">
        <f t="shared" si="14"/>
        <v>38797</v>
      </c>
      <c r="L71" s="2">
        <f t="shared" si="15"/>
        <v>15</v>
      </c>
      <c r="M71" s="25" t="e">
        <f>VLOOKUP($C71,#REF!:#REF!,2,FALSE)</f>
        <v>#REF!</v>
      </c>
      <c r="N71" s="26"/>
      <c r="O71" s="27" t="s">
        <v>19</v>
      </c>
      <c r="P71" s="223">
        <f>VLOOKUP($C71,従業員情報!$A$2:'従業員情報'!$AM$2000,5,FALSE)</f>
        <v>41011</v>
      </c>
      <c r="Q71" s="223" t="str">
        <f>VLOOKUP($C71,従業員情報!$A$2:'従業員情報'!$AM$2000,6,FALSE)</f>
        <v>本社工場ＨＹ</v>
      </c>
      <c r="R71" s="22">
        <v>1</v>
      </c>
      <c r="S71" s="22" t="s">
        <v>679</v>
      </c>
      <c r="T71" s="22">
        <v>2</v>
      </c>
      <c r="U71" s="264">
        <v>62</v>
      </c>
    </row>
    <row r="72" spans="1:21">
      <c r="A72">
        <v>197</v>
      </c>
      <c r="B72" s="21">
        <v>215</v>
      </c>
      <c r="C72" s="22">
        <v>3261</v>
      </c>
      <c r="D72" s="22" t="s">
        <v>270</v>
      </c>
      <c r="E72" s="23" t="s">
        <v>15</v>
      </c>
      <c r="F72" s="24">
        <v>19840718</v>
      </c>
      <c r="G72" s="16">
        <f t="shared" si="12"/>
        <v>30881</v>
      </c>
      <c r="H72" s="2">
        <f t="shared" si="13"/>
        <v>37</v>
      </c>
      <c r="I72" s="17"/>
      <c r="J72" s="25">
        <v>20070321</v>
      </c>
      <c r="K72" s="16">
        <f t="shared" si="14"/>
        <v>39162</v>
      </c>
      <c r="L72" s="2">
        <f t="shared" si="15"/>
        <v>14</v>
      </c>
      <c r="M72" s="25" t="e">
        <f>VLOOKUP($C72,#REF!:#REF!,2,FALSE)</f>
        <v>#REF!</v>
      </c>
      <c r="N72" s="26"/>
      <c r="O72" s="27" t="s">
        <v>16</v>
      </c>
      <c r="P72" s="223">
        <f>VLOOKUP($C72,従業員情報!$A$2:'従業員情報'!$AM$2000,5,FALSE)</f>
        <v>41011</v>
      </c>
      <c r="Q72" s="223" t="str">
        <f>VLOOKUP($C72,従業員情報!$A$2:'従業員情報'!$AM$2000,6,FALSE)</f>
        <v>本社工場ＨＹ</v>
      </c>
      <c r="R72" s="22">
        <v>1</v>
      </c>
      <c r="S72" s="22" t="s">
        <v>679</v>
      </c>
      <c r="T72" s="22">
        <v>2</v>
      </c>
      <c r="U72" s="264">
        <v>63</v>
      </c>
    </row>
    <row r="73" spans="1:21">
      <c r="A73">
        <v>233</v>
      </c>
      <c r="B73" s="21">
        <v>266</v>
      </c>
      <c r="C73" s="22">
        <v>3367</v>
      </c>
      <c r="D73" s="22" t="s">
        <v>272</v>
      </c>
      <c r="E73" s="23" t="s">
        <v>15</v>
      </c>
      <c r="F73" s="24">
        <v>19931113</v>
      </c>
      <c r="G73" s="16">
        <f t="shared" si="12"/>
        <v>34286</v>
      </c>
      <c r="H73" s="2">
        <f t="shared" si="13"/>
        <v>28</v>
      </c>
      <c r="I73" s="17"/>
      <c r="J73" s="25">
        <v>20120321</v>
      </c>
      <c r="K73" s="16">
        <f t="shared" si="14"/>
        <v>40989</v>
      </c>
      <c r="L73" s="2">
        <f t="shared" si="15"/>
        <v>9</v>
      </c>
      <c r="M73" s="25" t="e">
        <f>VLOOKUP($C73,#REF!:#REF!,2,FALSE)</f>
        <v>#REF!</v>
      </c>
      <c r="N73" s="26"/>
      <c r="O73" s="27" t="s">
        <v>35</v>
      </c>
      <c r="P73" s="223">
        <f>VLOOKUP($C73,従業員情報!$A$2:'従業員情報'!$AM$2000,5,FALSE)</f>
        <v>41011</v>
      </c>
      <c r="Q73" s="223" t="str">
        <f>VLOOKUP($C73,従業員情報!$A$2:'従業員情報'!$AM$2000,6,FALSE)</f>
        <v>本社工場ＨＹ</v>
      </c>
      <c r="R73" s="22">
        <v>1</v>
      </c>
      <c r="S73" s="22" t="s">
        <v>679</v>
      </c>
      <c r="T73" s="22">
        <v>2</v>
      </c>
      <c r="U73" s="264">
        <v>64</v>
      </c>
    </row>
    <row r="74" spans="1:21">
      <c r="A74">
        <v>235</v>
      </c>
      <c r="B74" s="21">
        <v>268</v>
      </c>
      <c r="C74" s="22">
        <v>3369</v>
      </c>
      <c r="D74" s="22" t="s">
        <v>273</v>
      </c>
      <c r="E74" s="23" t="s">
        <v>15</v>
      </c>
      <c r="F74" s="24">
        <v>19930510</v>
      </c>
      <c r="G74" s="16">
        <f t="shared" si="12"/>
        <v>34099</v>
      </c>
      <c r="H74" s="2">
        <f t="shared" si="13"/>
        <v>28</v>
      </c>
      <c r="I74" s="17"/>
      <c r="J74" s="25">
        <v>20120321</v>
      </c>
      <c r="K74" s="16">
        <f t="shared" si="14"/>
        <v>40989</v>
      </c>
      <c r="L74" s="2">
        <f t="shared" si="15"/>
        <v>9</v>
      </c>
      <c r="M74" s="25" t="e">
        <f>VLOOKUP($C74,#REF!:#REF!,2,FALSE)</f>
        <v>#REF!</v>
      </c>
      <c r="N74" s="26"/>
      <c r="O74" s="27" t="s">
        <v>35</v>
      </c>
      <c r="P74" s="223">
        <f>VLOOKUP($C74,従業員情報!$A$2:'従業員情報'!$AM$2000,5,FALSE)</f>
        <v>41011</v>
      </c>
      <c r="Q74" s="223" t="str">
        <f>VLOOKUP($C74,従業員情報!$A$2:'従業員情報'!$AM$2000,6,FALSE)</f>
        <v>本社工場ＨＹ</v>
      </c>
      <c r="R74" s="22">
        <v>1</v>
      </c>
      <c r="S74" s="22" t="s">
        <v>679</v>
      </c>
      <c r="T74" s="22">
        <v>2</v>
      </c>
      <c r="U74" s="264">
        <v>65</v>
      </c>
    </row>
    <row r="75" spans="1:21">
      <c r="A75">
        <v>243</v>
      </c>
      <c r="B75" s="21">
        <v>284</v>
      </c>
      <c r="C75" s="22">
        <v>3399</v>
      </c>
      <c r="D75" s="22" t="s">
        <v>274</v>
      </c>
      <c r="E75" s="23" t="s">
        <v>15</v>
      </c>
      <c r="F75" s="24">
        <v>19950109</v>
      </c>
      <c r="G75" s="16">
        <f t="shared" si="12"/>
        <v>34708</v>
      </c>
      <c r="H75" s="2">
        <f t="shared" si="13"/>
        <v>27</v>
      </c>
      <c r="I75" s="17"/>
      <c r="J75" s="25">
        <v>20130321</v>
      </c>
      <c r="K75" s="16">
        <f t="shared" si="14"/>
        <v>41354</v>
      </c>
      <c r="L75" s="2">
        <f t="shared" si="15"/>
        <v>8</v>
      </c>
      <c r="M75" s="25" t="e">
        <f>VLOOKUP($C75,#REF!:#REF!,2,FALSE)</f>
        <v>#REF!</v>
      </c>
      <c r="N75" s="26"/>
      <c r="O75" s="27" t="s">
        <v>35</v>
      </c>
      <c r="P75" s="223">
        <f>VLOOKUP($C75,従業員情報!$A$2:'従業員情報'!$AM$2000,5,FALSE)</f>
        <v>41011</v>
      </c>
      <c r="Q75" s="223" t="str">
        <f>VLOOKUP($C75,従業員情報!$A$2:'従業員情報'!$AM$2000,6,FALSE)</f>
        <v>本社工場ＨＹ</v>
      </c>
      <c r="R75" s="22">
        <v>1</v>
      </c>
      <c r="S75" s="22" t="s">
        <v>679</v>
      </c>
      <c r="T75" s="22">
        <v>2</v>
      </c>
      <c r="U75" s="264">
        <v>66</v>
      </c>
    </row>
    <row r="76" spans="1:21">
      <c r="A76">
        <v>273</v>
      </c>
      <c r="B76" s="21">
        <v>332</v>
      </c>
      <c r="C76" s="22">
        <v>3476</v>
      </c>
      <c r="D76" s="22" t="s">
        <v>275</v>
      </c>
      <c r="E76" s="23" t="s">
        <v>15</v>
      </c>
      <c r="F76" s="24">
        <v>19980404</v>
      </c>
      <c r="G76" s="16">
        <f t="shared" si="12"/>
        <v>35889</v>
      </c>
      <c r="H76" s="2">
        <f t="shared" si="13"/>
        <v>23</v>
      </c>
      <c r="I76" s="17"/>
      <c r="J76" s="25">
        <v>20170403</v>
      </c>
      <c r="K76" s="16">
        <f t="shared" si="14"/>
        <v>42828</v>
      </c>
      <c r="L76" s="2">
        <f t="shared" si="15"/>
        <v>4</v>
      </c>
      <c r="M76" s="25" t="e">
        <f>VLOOKUP($C76,#REF!:#REF!,2,FALSE)</f>
        <v>#REF!</v>
      </c>
      <c r="N76" s="26"/>
      <c r="O76" s="27">
        <v>6</v>
      </c>
      <c r="P76" s="223">
        <f>VLOOKUP($C76,従業員情報!$A$2:'従業員情報'!$AM$2000,5,FALSE)</f>
        <v>41011</v>
      </c>
      <c r="Q76" s="223" t="str">
        <f>VLOOKUP($C76,従業員情報!$A$2:'従業員情報'!$AM$2000,6,FALSE)</f>
        <v>本社工場ＨＹ</v>
      </c>
      <c r="R76" s="22">
        <v>1</v>
      </c>
      <c r="S76" s="22" t="s">
        <v>679</v>
      </c>
      <c r="T76" s="22">
        <v>2</v>
      </c>
      <c r="U76" s="264">
        <v>67</v>
      </c>
    </row>
    <row r="77" spans="1:21">
      <c r="A77">
        <v>292</v>
      </c>
      <c r="B77" s="21">
        <v>360</v>
      </c>
      <c r="C77" s="22">
        <v>3510</v>
      </c>
      <c r="D77" s="22" t="s">
        <v>276</v>
      </c>
      <c r="E77" s="23" t="s">
        <v>15</v>
      </c>
      <c r="F77" s="24">
        <v>20000722</v>
      </c>
      <c r="G77" s="16">
        <f t="shared" si="12"/>
        <v>36729</v>
      </c>
      <c r="H77" s="2">
        <f t="shared" si="13"/>
        <v>21</v>
      </c>
      <c r="I77" s="17"/>
      <c r="J77" s="25">
        <v>20190401</v>
      </c>
      <c r="K77" s="16">
        <f t="shared" si="14"/>
        <v>43556</v>
      </c>
      <c r="L77" s="2">
        <f t="shared" si="15"/>
        <v>2</v>
      </c>
      <c r="M77" s="25" t="e">
        <f>VLOOKUP($C77,#REF!:#REF!,2,FALSE)</f>
        <v>#REF!</v>
      </c>
      <c r="N77" s="26"/>
      <c r="O77" s="27">
        <v>6</v>
      </c>
      <c r="P77" s="223">
        <f>VLOOKUP($C77,従業員情報!$A$2:'従業員情報'!$AM$2000,5,FALSE)</f>
        <v>41011</v>
      </c>
      <c r="Q77" s="223" t="str">
        <f>VLOOKUP($C77,従業員情報!$A$2:'従業員情報'!$AM$2000,6,FALSE)</f>
        <v>本社工場ＨＹ</v>
      </c>
      <c r="R77" s="22">
        <v>1</v>
      </c>
      <c r="S77" s="22" t="s">
        <v>679</v>
      </c>
      <c r="T77" s="22">
        <v>2</v>
      </c>
      <c r="U77" s="264">
        <v>68</v>
      </c>
    </row>
    <row r="78" spans="1:21">
      <c r="A78">
        <v>316</v>
      </c>
      <c r="B78" s="21">
        <v>375</v>
      </c>
      <c r="C78" s="22">
        <v>3831</v>
      </c>
      <c r="D78" s="22" t="s">
        <v>267</v>
      </c>
      <c r="E78" s="23" t="s">
        <v>15</v>
      </c>
      <c r="F78" s="24">
        <v>19690301</v>
      </c>
      <c r="G78" s="16">
        <f t="shared" si="12"/>
        <v>25263</v>
      </c>
      <c r="H78" s="2">
        <f t="shared" si="13"/>
        <v>53</v>
      </c>
      <c r="I78" s="17"/>
      <c r="J78" s="25">
        <v>19910902</v>
      </c>
      <c r="K78" s="16">
        <f t="shared" si="14"/>
        <v>33483</v>
      </c>
      <c r="L78" s="2">
        <f t="shared" si="15"/>
        <v>30</v>
      </c>
      <c r="M78" s="25" t="e">
        <f>VLOOKUP($C78,#REF!:#REF!,2,FALSE)</f>
        <v>#REF!</v>
      </c>
      <c r="N78" s="26"/>
      <c r="O78" s="27">
        <v>0</v>
      </c>
      <c r="P78" s="223">
        <f>VLOOKUP($C78,従業員情報!$A$2:'従業員情報'!$AM$2000,5,FALSE)</f>
        <v>41011</v>
      </c>
      <c r="Q78" s="223" t="str">
        <f>VLOOKUP($C78,従業員情報!$A$2:'従業員情報'!$AM$2000,6,FALSE)</f>
        <v>本社工場ＨＹ</v>
      </c>
      <c r="R78" s="22">
        <v>1</v>
      </c>
      <c r="S78" s="22" t="s">
        <v>679</v>
      </c>
      <c r="T78" s="22">
        <v>2</v>
      </c>
      <c r="U78" s="264">
        <v>69</v>
      </c>
    </row>
    <row r="79" spans="1:21">
      <c r="A79">
        <v>333</v>
      </c>
      <c r="B79" s="21">
        <v>399</v>
      </c>
      <c r="C79" s="22">
        <v>3903</v>
      </c>
      <c r="D79" s="22" t="s">
        <v>268</v>
      </c>
      <c r="E79" s="23" t="s">
        <v>15</v>
      </c>
      <c r="F79" s="24">
        <v>19650102</v>
      </c>
      <c r="G79" s="16">
        <f t="shared" si="12"/>
        <v>23744</v>
      </c>
      <c r="H79" s="2">
        <f t="shared" si="13"/>
        <v>57</v>
      </c>
      <c r="I79" s="17"/>
      <c r="J79" s="25">
        <v>20010315</v>
      </c>
      <c r="K79" s="16">
        <f t="shared" si="14"/>
        <v>36965</v>
      </c>
      <c r="L79" s="2">
        <f t="shared" si="15"/>
        <v>20</v>
      </c>
      <c r="M79" s="25" t="e">
        <f>VLOOKUP($C79,#REF!:#REF!,2,FALSE)</f>
        <v>#REF!</v>
      </c>
      <c r="N79" s="26"/>
      <c r="O79" s="27" t="s">
        <v>35</v>
      </c>
      <c r="P79" s="223">
        <f>VLOOKUP($C79,従業員情報!$A$2:'従業員情報'!$AM$2000,5,FALSE)</f>
        <v>41011</v>
      </c>
      <c r="Q79" s="223" t="str">
        <f>VLOOKUP($C79,従業員情報!$A$2:'従業員情報'!$AM$2000,6,FALSE)</f>
        <v>本社工場ＨＹ</v>
      </c>
      <c r="R79" s="22">
        <v>1</v>
      </c>
      <c r="S79" s="22" t="s">
        <v>679</v>
      </c>
      <c r="T79" s="22">
        <v>2</v>
      </c>
      <c r="U79" s="264">
        <v>70</v>
      </c>
    </row>
    <row r="80" spans="1:21">
      <c r="A80">
        <v>379</v>
      </c>
      <c r="B80" s="21">
        <v>456</v>
      </c>
      <c r="C80" s="22">
        <v>5122</v>
      </c>
      <c r="D80" s="22" t="s">
        <v>265</v>
      </c>
      <c r="E80" s="23" t="s">
        <v>15</v>
      </c>
      <c r="F80" s="24">
        <v>19670906</v>
      </c>
      <c r="G80" s="16">
        <f t="shared" si="12"/>
        <v>24721</v>
      </c>
      <c r="H80" s="2">
        <f t="shared" si="13"/>
        <v>54</v>
      </c>
      <c r="I80" s="17"/>
      <c r="J80" s="25">
        <v>19850326</v>
      </c>
      <c r="K80" s="16">
        <f t="shared" si="14"/>
        <v>31132</v>
      </c>
      <c r="L80" s="2">
        <f t="shared" si="15"/>
        <v>36</v>
      </c>
      <c r="M80" s="25" t="e">
        <f>VLOOKUP($C80,#REF!:#REF!,2,FALSE)</f>
        <v>#REF!</v>
      </c>
      <c r="N80" s="26"/>
      <c r="O80" s="27" t="s">
        <v>75</v>
      </c>
      <c r="P80" s="223">
        <f>VLOOKUP($C80,従業員情報!$A$2:'従業員情報'!$AM$2000,5,FALSE)</f>
        <v>41011</v>
      </c>
      <c r="Q80" s="223" t="str">
        <f>VLOOKUP($C80,従業員情報!$A$2:'従業員情報'!$AM$2000,6,FALSE)</f>
        <v>本社工場ＨＹ</v>
      </c>
      <c r="R80" s="22">
        <v>1</v>
      </c>
      <c r="S80" s="22" t="s">
        <v>679</v>
      </c>
      <c r="T80" s="22">
        <v>2</v>
      </c>
      <c r="U80" s="264">
        <v>71</v>
      </c>
    </row>
    <row r="81" spans="1:21">
      <c r="A81">
        <v>382</v>
      </c>
      <c r="B81" s="21">
        <v>459</v>
      </c>
      <c r="C81" s="22">
        <v>5153</v>
      </c>
      <c r="D81" s="22" t="s">
        <v>266</v>
      </c>
      <c r="E81" s="23" t="s">
        <v>15</v>
      </c>
      <c r="F81" s="24">
        <v>19700510</v>
      </c>
      <c r="G81" s="16">
        <f t="shared" si="12"/>
        <v>25698</v>
      </c>
      <c r="H81" s="2">
        <f t="shared" si="13"/>
        <v>51</v>
      </c>
      <c r="I81" s="17"/>
      <c r="J81" s="25">
        <v>19870325</v>
      </c>
      <c r="K81" s="16">
        <f t="shared" si="14"/>
        <v>31861</v>
      </c>
      <c r="L81" s="2">
        <f t="shared" si="15"/>
        <v>34</v>
      </c>
      <c r="M81" s="25" t="e">
        <f>VLOOKUP($C81,#REF!:#REF!,2,FALSE)</f>
        <v>#REF!</v>
      </c>
      <c r="N81" s="26"/>
      <c r="O81" s="27" t="s">
        <v>105</v>
      </c>
      <c r="P81" s="223">
        <f>VLOOKUP($C81,従業員情報!$A$2:'従業員情報'!$AM$2000,5,FALSE)</f>
        <v>41011</v>
      </c>
      <c r="Q81" s="223" t="str">
        <f>VLOOKUP($C81,従業員情報!$A$2:'従業員情報'!$AM$2000,6,FALSE)</f>
        <v>本社工場ＨＹ</v>
      </c>
      <c r="R81" s="22">
        <v>1</v>
      </c>
      <c r="S81" s="22" t="s">
        <v>679</v>
      </c>
      <c r="T81" s="22">
        <v>2</v>
      </c>
      <c r="U81" s="264">
        <v>72</v>
      </c>
    </row>
    <row r="82" spans="1:21" s="264" customFormat="1">
      <c r="B82" s="21"/>
      <c r="C82" s="271">
        <v>1465</v>
      </c>
      <c r="D82" s="271" t="s">
        <v>1678</v>
      </c>
      <c r="E82" s="23"/>
      <c r="F82" s="24"/>
      <c r="G82" s="16"/>
      <c r="H82" s="2"/>
      <c r="I82" s="17"/>
      <c r="J82" s="25"/>
      <c r="K82" s="16"/>
      <c r="L82" s="2"/>
      <c r="M82" s="25"/>
      <c r="N82" s="26"/>
      <c r="O82" s="27"/>
      <c r="P82" s="223">
        <v>41011</v>
      </c>
      <c r="Q82" s="223"/>
      <c r="R82" s="271"/>
      <c r="S82" s="271"/>
      <c r="T82" s="271"/>
    </row>
    <row r="83" spans="1:21">
      <c r="A83">
        <v>79</v>
      </c>
      <c r="B83" s="21">
        <v>76</v>
      </c>
      <c r="C83" s="22">
        <v>2692</v>
      </c>
      <c r="D83" s="22" t="s">
        <v>283</v>
      </c>
      <c r="E83" s="23" t="s">
        <v>15</v>
      </c>
      <c r="F83" s="24">
        <v>19650611</v>
      </c>
      <c r="G83" s="16">
        <f t="shared" si="12"/>
        <v>23904</v>
      </c>
      <c r="H83" s="2">
        <f t="shared" si="13"/>
        <v>56</v>
      </c>
      <c r="I83" s="17"/>
      <c r="J83" s="25">
        <v>19840321</v>
      </c>
      <c r="K83" s="16">
        <f t="shared" si="14"/>
        <v>30762</v>
      </c>
      <c r="L83" s="2">
        <f t="shared" si="15"/>
        <v>37</v>
      </c>
      <c r="M83" s="25" t="e">
        <f>VLOOKUP($C83,#REF!:#REF!,2,FALSE)</f>
        <v>#REF!</v>
      </c>
      <c r="N83" s="26"/>
      <c r="O83" s="27" t="s">
        <v>35</v>
      </c>
      <c r="P83" s="223">
        <f>VLOOKUP($C83,従業員情報!$A$2:'従業員情報'!$AM$2000,5,FALSE)</f>
        <v>41111</v>
      </c>
      <c r="Q83" s="223" t="str">
        <f>VLOOKUP($C83,従業員情報!$A$2:'従業員情報'!$AM$2000,6,FALSE)</f>
        <v>本社工場ＮＣ</v>
      </c>
      <c r="R83" s="22">
        <v>1</v>
      </c>
      <c r="S83" s="22" t="s">
        <v>679</v>
      </c>
      <c r="T83" s="22">
        <v>2</v>
      </c>
      <c r="U83" s="264">
        <v>73</v>
      </c>
    </row>
    <row r="84" spans="1:21">
      <c r="A84">
        <v>104</v>
      </c>
      <c r="B84" s="21">
        <v>105</v>
      </c>
      <c r="C84" s="22">
        <v>2852</v>
      </c>
      <c r="D84" s="22" t="s">
        <v>284</v>
      </c>
      <c r="E84" s="23" t="s">
        <v>15</v>
      </c>
      <c r="F84" s="24">
        <v>19700516</v>
      </c>
      <c r="G84" s="16">
        <f t="shared" si="12"/>
        <v>25704</v>
      </c>
      <c r="H84" s="2">
        <f t="shared" si="13"/>
        <v>51</v>
      </c>
      <c r="I84" s="17"/>
      <c r="J84" s="25">
        <v>19890322</v>
      </c>
      <c r="K84" s="16">
        <f t="shared" si="14"/>
        <v>32589</v>
      </c>
      <c r="L84" s="2">
        <f t="shared" si="15"/>
        <v>32</v>
      </c>
      <c r="M84" s="25" t="e">
        <f>VLOOKUP($C84,#REF!:#REF!,2,FALSE)</f>
        <v>#REF!</v>
      </c>
      <c r="N84" s="26"/>
      <c r="O84" s="27" t="s">
        <v>35</v>
      </c>
      <c r="P84" s="223">
        <f>VLOOKUP($C84,従業員情報!$A$2:'従業員情報'!$AM$2000,5,FALSE)</f>
        <v>41111</v>
      </c>
      <c r="Q84" s="223" t="str">
        <f>VLOOKUP($C84,従業員情報!$A$2:'従業員情報'!$AM$2000,6,FALSE)</f>
        <v>本社工場ＮＣ</v>
      </c>
      <c r="R84" s="22">
        <v>1</v>
      </c>
      <c r="S84" s="22" t="s">
        <v>679</v>
      </c>
      <c r="T84" s="22">
        <v>2</v>
      </c>
      <c r="U84" s="264">
        <v>74</v>
      </c>
    </row>
    <row r="85" spans="1:21">
      <c r="A85">
        <v>157</v>
      </c>
      <c r="B85" s="21">
        <v>169</v>
      </c>
      <c r="C85" s="22">
        <v>3150</v>
      </c>
      <c r="D85" s="22" t="s">
        <v>285</v>
      </c>
      <c r="E85" s="23" t="s">
        <v>15</v>
      </c>
      <c r="F85" s="24">
        <v>19780131</v>
      </c>
      <c r="G85" s="16">
        <f t="shared" si="12"/>
        <v>28521</v>
      </c>
      <c r="H85" s="2">
        <f t="shared" si="13"/>
        <v>44</v>
      </c>
      <c r="I85" s="17"/>
      <c r="J85" s="25">
        <v>19980323</v>
      </c>
      <c r="K85" s="16">
        <f t="shared" si="14"/>
        <v>35877</v>
      </c>
      <c r="L85" s="2">
        <f t="shared" si="15"/>
        <v>23</v>
      </c>
      <c r="M85" s="25" t="e">
        <f>VLOOKUP($C85,#REF!:#REF!,2,FALSE)</f>
        <v>#REF!</v>
      </c>
      <c r="N85" s="26"/>
      <c r="O85" s="27" t="s">
        <v>19</v>
      </c>
      <c r="P85" s="223">
        <f>VLOOKUP($C85,従業員情報!$A$2:'従業員情報'!$AM$2000,5,FALSE)</f>
        <v>41111</v>
      </c>
      <c r="Q85" s="223" t="str">
        <f>VLOOKUP($C85,従業員情報!$A$2:'従業員情報'!$AM$2000,6,FALSE)</f>
        <v>本社工場ＮＣ</v>
      </c>
      <c r="R85" s="22">
        <v>1</v>
      </c>
      <c r="S85" s="22" t="s">
        <v>679</v>
      </c>
      <c r="T85" s="22">
        <v>2</v>
      </c>
      <c r="U85" s="264">
        <v>75</v>
      </c>
    </row>
    <row r="86" spans="1:21">
      <c r="A86">
        <v>200</v>
      </c>
      <c r="B86" s="21">
        <v>218</v>
      </c>
      <c r="C86" s="22">
        <v>3264</v>
      </c>
      <c r="D86" s="22" t="s">
        <v>287</v>
      </c>
      <c r="E86" s="23" t="s">
        <v>15</v>
      </c>
      <c r="F86" s="24">
        <v>19880519</v>
      </c>
      <c r="G86" s="16">
        <f t="shared" si="12"/>
        <v>32282</v>
      </c>
      <c r="H86" s="2">
        <f t="shared" si="13"/>
        <v>33</v>
      </c>
      <c r="I86" s="17"/>
      <c r="J86" s="25">
        <v>20070321</v>
      </c>
      <c r="K86" s="16">
        <f t="shared" si="14"/>
        <v>39162</v>
      </c>
      <c r="L86" s="2">
        <f t="shared" si="15"/>
        <v>14</v>
      </c>
      <c r="M86" s="25" t="e">
        <f>VLOOKUP($C86,#REF!:#REF!,2,FALSE)</f>
        <v>#REF!</v>
      </c>
      <c r="N86" s="26"/>
      <c r="O86" s="27" t="s">
        <v>35</v>
      </c>
      <c r="P86" s="223">
        <f>VLOOKUP($C86,従業員情報!$A$2:'従業員情報'!$AM$2000,5,FALSE)</f>
        <v>41111</v>
      </c>
      <c r="Q86" s="223" t="str">
        <f>VLOOKUP($C86,従業員情報!$A$2:'従業員情報'!$AM$2000,6,FALSE)</f>
        <v>本社工場ＮＣ</v>
      </c>
      <c r="R86" s="22">
        <v>1</v>
      </c>
      <c r="S86" s="22" t="s">
        <v>679</v>
      </c>
      <c r="T86" s="22">
        <v>2</v>
      </c>
      <c r="U86" s="264">
        <v>76</v>
      </c>
    </row>
    <row r="87" spans="1:21">
      <c r="A87">
        <v>232</v>
      </c>
      <c r="B87" s="21">
        <v>264</v>
      </c>
      <c r="C87" s="22">
        <v>3365</v>
      </c>
      <c r="D87" s="22" t="s">
        <v>282</v>
      </c>
      <c r="E87" s="23" t="s">
        <v>15</v>
      </c>
      <c r="F87" s="24">
        <v>19930912</v>
      </c>
      <c r="G87" s="16">
        <f t="shared" si="12"/>
        <v>34224</v>
      </c>
      <c r="H87" s="2">
        <f t="shared" si="13"/>
        <v>28</v>
      </c>
      <c r="I87" s="17"/>
      <c r="J87" s="25">
        <v>20120321</v>
      </c>
      <c r="K87" s="16">
        <f t="shared" si="14"/>
        <v>40989</v>
      </c>
      <c r="L87" s="2">
        <f t="shared" si="15"/>
        <v>9</v>
      </c>
      <c r="M87" s="25" t="e">
        <f>VLOOKUP($C87,#REF!:#REF!,2,FALSE)</f>
        <v>#REF!</v>
      </c>
      <c r="N87" s="26"/>
      <c r="O87" s="27" t="s">
        <v>35</v>
      </c>
      <c r="P87" s="223">
        <f>VLOOKUP($C87,従業員情報!$A$2:'従業員情報'!$AM$2000,5,FALSE)</f>
        <v>41111</v>
      </c>
      <c r="Q87" s="223" t="str">
        <f>VLOOKUP($C87,従業員情報!$A$2:'従業員情報'!$AM$2000,6,FALSE)</f>
        <v>本社工場ＮＣ</v>
      </c>
      <c r="R87" s="22">
        <v>1</v>
      </c>
      <c r="S87" s="22" t="s">
        <v>679</v>
      </c>
      <c r="T87" s="22">
        <v>1</v>
      </c>
      <c r="U87" s="264">
        <v>77</v>
      </c>
    </row>
    <row r="88" spans="1:21">
      <c r="A88">
        <v>298</v>
      </c>
      <c r="B88" s="21">
        <v>366</v>
      </c>
      <c r="C88" s="22">
        <v>3519</v>
      </c>
      <c r="D88" s="22" t="s">
        <v>288</v>
      </c>
      <c r="E88" s="23" t="s">
        <v>678</v>
      </c>
      <c r="F88" s="24">
        <v>20011128</v>
      </c>
      <c r="G88" s="16">
        <f t="shared" si="12"/>
        <v>37223</v>
      </c>
      <c r="H88" s="2">
        <f t="shared" si="13"/>
        <v>20</v>
      </c>
      <c r="I88" s="17"/>
      <c r="J88" s="25">
        <v>20200401</v>
      </c>
      <c r="K88" s="16">
        <f t="shared" si="14"/>
        <v>43922</v>
      </c>
      <c r="L88" s="2">
        <f t="shared" si="15"/>
        <v>1</v>
      </c>
      <c r="M88" s="25" t="e">
        <f>VLOOKUP($C88,#REF!:#REF!,2,FALSE)</f>
        <v>#REF!</v>
      </c>
      <c r="N88" s="26"/>
      <c r="O88" s="27">
        <v>6</v>
      </c>
      <c r="P88" s="223">
        <f>VLOOKUP($C88,従業員情報!$A$2:'従業員情報'!$AM$2000,5,FALSE)</f>
        <v>41111</v>
      </c>
      <c r="Q88" s="223" t="str">
        <f>VLOOKUP($C88,従業員情報!$A$2:'従業員情報'!$AM$2000,6,FALSE)</f>
        <v>本社工場ＮＣ</v>
      </c>
      <c r="R88" s="22">
        <v>1</v>
      </c>
      <c r="S88" s="22" t="s">
        <v>679</v>
      </c>
      <c r="T88" s="22">
        <v>2</v>
      </c>
      <c r="U88" s="264">
        <v>78</v>
      </c>
    </row>
    <row r="89" spans="1:21">
      <c r="A89">
        <v>362</v>
      </c>
      <c r="B89" s="21">
        <v>434</v>
      </c>
      <c r="C89" s="22">
        <v>3989</v>
      </c>
      <c r="D89" s="22" t="s">
        <v>286</v>
      </c>
      <c r="E89" s="23" t="s">
        <v>15</v>
      </c>
      <c r="F89" s="24">
        <v>19750412</v>
      </c>
      <c r="G89" s="16">
        <f t="shared" si="12"/>
        <v>27496</v>
      </c>
      <c r="H89" s="2">
        <f t="shared" si="13"/>
        <v>46</v>
      </c>
      <c r="I89" s="17"/>
      <c r="J89" s="25">
        <v>20071101</v>
      </c>
      <c r="K89" s="16">
        <f t="shared" si="14"/>
        <v>39387</v>
      </c>
      <c r="L89" s="2">
        <f t="shared" si="15"/>
        <v>14</v>
      </c>
      <c r="M89" s="25" t="e">
        <f>VLOOKUP($C89,#REF!:#REF!,2,FALSE)</f>
        <v>#REF!</v>
      </c>
      <c r="N89" s="26"/>
      <c r="O89" s="27" t="s">
        <v>19</v>
      </c>
      <c r="P89" s="223">
        <f>VLOOKUP($C89,従業員情報!$A$2:'従業員情報'!$AM$2000,5,FALSE)</f>
        <v>41111</v>
      </c>
      <c r="Q89" s="223" t="str">
        <f>VLOOKUP($C89,従業員情報!$A$2:'従業員情報'!$AM$2000,6,FALSE)</f>
        <v>本社工場ＮＣ</v>
      </c>
      <c r="R89" s="22">
        <v>1</v>
      </c>
      <c r="S89" s="22" t="s">
        <v>679</v>
      </c>
      <c r="T89" s="22">
        <v>2</v>
      </c>
      <c r="U89" s="264">
        <v>79</v>
      </c>
    </row>
    <row r="90" spans="1:21">
      <c r="B90" s="21"/>
      <c r="C90" s="22">
        <v>1453</v>
      </c>
      <c r="D90" s="22" t="s">
        <v>948</v>
      </c>
      <c r="E90" s="23"/>
      <c r="F90" s="24"/>
      <c r="G90" s="16"/>
      <c r="H90" s="2"/>
      <c r="I90" s="17"/>
      <c r="J90" s="25"/>
      <c r="K90" s="16"/>
      <c r="M90" s="25"/>
      <c r="N90" s="26"/>
      <c r="O90" s="27"/>
      <c r="P90" s="223">
        <f>VLOOKUP($C90,従業員情報!$A$2:'従業員情報'!$AM$2000,5,FALSE)</f>
        <v>41111</v>
      </c>
      <c r="Q90" s="223" t="str">
        <f>VLOOKUP($C90,従業員情報!$A$2:'従業員情報'!$AM$2000,6,FALSE)</f>
        <v>本社工場ＮＣ</v>
      </c>
      <c r="R90" s="22"/>
      <c r="S90" s="22"/>
      <c r="T90" s="22"/>
      <c r="U90" s="264">
        <v>379</v>
      </c>
    </row>
    <row r="91" spans="1:21">
      <c r="A91">
        <v>23</v>
      </c>
      <c r="B91" s="21">
        <v>32</v>
      </c>
      <c r="C91" s="22">
        <v>1368</v>
      </c>
      <c r="D91" s="22" t="s">
        <v>356</v>
      </c>
      <c r="E91" s="23" t="s">
        <v>15</v>
      </c>
      <c r="F91" s="24">
        <v>19721110</v>
      </c>
      <c r="G91" s="16">
        <f>DATE(INT(F91/10000),INT(MOD(F91,10000)/100),MOD(F91,100))</f>
        <v>26613</v>
      </c>
      <c r="H91" s="2">
        <f>DATEDIF(G91,$G$4,"Y")</f>
        <v>49</v>
      </c>
      <c r="I91" s="17"/>
      <c r="J91" s="25">
        <v>20110121</v>
      </c>
      <c r="K91" s="16">
        <f>DATE(INT(J91/10000),INT(MOD(J91,10000)/100),MOD(J91,100))</f>
        <v>40564</v>
      </c>
      <c r="L91" s="2">
        <f>DATEDIF(K91,$G$4,"Y")</f>
        <v>11</v>
      </c>
      <c r="M91" s="25" t="e">
        <f>VLOOKUP($C91,#REF!:#REF!,2,FALSE)</f>
        <v>#REF!</v>
      </c>
      <c r="N91" s="26"/>
      <c r="O91" s="27" t="s">
        <v>19</v>
      </c>
      <c r="P91" s="223">
        <f>VLOOKUP($C91,従業員情報!$A$2:'従業員情報'!$AM$2000,5,FALSE)</f>
        <v>41200</v>
      </c>
      <c r="Q91" s="223" t="str">
        <f>VLOOKUP($C91,従業員情報!$A$2:'従業員情報'!$AM$2000,6,FALSE)</f>
        <v>本社工場構内物流</v>
      </c>
      <c r="R91" s="22">
        <v>1</v>
      </c>
      <c r="S91" s="22" t="s">
        <v>679</v>
      </c>
      <c r="T91" s="22">
        <v>2</v>
      </c>
      <c r="U91" s="264">
        <v>81</v>
      </c>
    </row>
    <row r="92" spans="1:21">
      <c r="A92">
        <v>31</v>
      </c>
      <c r="B92" s="21">
        <v>41</v>
      </c>
      <c r="C92" s="22">
        <v>1385</v>
      </c>
      <c r="D92" s="22" t="s">
        <v>112</v>
      </c>
      <c r="E92" s="23" t="s">
        <v>15</v>
      </c>
      <c r="F92" s="24">
        <v>19760412</v>
      </c>
      <c r="G92" s="16">
        <f>DATE(INT(F92/10000),INT(MOD(F92,10000)/100),MOD(F92,100))</f>
        <v>27862</v>
      </c>
      <c r="H92" s="2">
        <f>DATEDIF(G92,$G$4,"Y")</f>
        <v>45</v>
      </c>
      <c r="I92" s="17"/>
      <c r="J92" s="25">
        <v>20130921</v>
      </c>
      <c r="K92" s="16">
        <f>DATE(INT(J92/10000),INT(MOD(J92,10000)/100),MOD(J92,100))</f>
        <v>41538</v>
      </c>
      <c r="L92" s="2">
        <f>DATEDIF(K92,$G$4,"Y")</f>
        <v>8</v>
      </c>
      <c r="M92" s="25" t="e">
        <f>VLOOKUP($C92,#REF!:#REF!,2,FALSE)</f>
        <v>#REF!</v>
      </c>
      <c r="N92" s="26"/>
      <c r="O92" s="27" t="s">
        <v>35</v>
      </c>
      <c r="P92" s="223">
        <f>VLOOKUP($C92,従業員情報!$A$2:'従業員情報'!$AM$2000,5,FALSE)</f>
        <v>41200</v>
      </c>
      <c r="Q92" s="223" t="str">
        <f>VLOOKUP($C92,従業員情報!$A$2:'従業員情報'!$AM$2000,6,FALSE)</f>
        <v>本社工場構内物流</v>
      </c>
      <c r="R92" s="22">
        <v>0</v>
      </c>
      <c r="S92" s="22"/>
      <c r="T92" s="22">
        <v>2</v>
      </c>
      <c r="U92" s="264">
        <v>82</v>
      </c>
    </row>
    <row r="93" spans="1:21">
      <c r="A93">
        <v>62</v>
      </c>
      <c r="B93" s="21"/>
      <c r="C93" s="22">
        <v>1430</v>
      </c>
      <c r="D93" s="22" t="s">
        <v>810</v>
      </c>
      <c r="E93" s="23" t="s">
        <v>800</v>
      </c>
      <c r="F93" s="24"/>
      <c r="G93" s="16"/>
      <c r="H93" s="2"/>
      <c r="I93" s="17"/>
      <c r="J93" s="25"/>
      <c r="K93" s="16"/>
      <c r="M93" s="25" t="e">
        <f>VLOOKUP($C93,#REF!:#REF!,2,FALSE)</f>
        <v>#REF!</v>
      </c>
      <c r="N93" s="26"/>
      <c r="O93" s="27"/>
      <c r="P93" s="223">
        <f>VLOOKUP($C93,従業員情報!$A$2:'従業員情報'!$AM$2000,5,FALSE)</f>
        <v>41200</v>
      </c>
      <c r="Q93" s="223" t="str">
        <f>VLOOKUP($C93,従業員情報!$A$2:'従業員情報'!$AM$2000,6,FALSE)</f>
        <v>本社工場構内物流</v>
      </c>
      <c r="R93" s="22"/>
      <c r="S93" s="22"/>
      <c r="T93" s="22"/>
      <c r="U93" s="264">
        <v>83</v>
      </c>
    </row>
    <row r="94" spans="1:21">
      <c r="A94">
        <v>74</v>
      </c>
      <c r="B94" s="21">
        <v>71</v>
      </c>
      <c r="C94" s="22">
        <v>2658</v>
      </c>
      <c r="D94" s="22" t="s">
        <v>107</v>
      </c>
      <c r="E94" s="23" t="s">
        <v>15</v>
      </c>
      <c r="F94" s="24">
        <v>19650202</v>
      </c>
      <c r="G94" s="16">
        <f>DATE(INT(F94/10000),INT(MOD(F94,10000)/100),MOD(F94,100))</f>
        <v>23775</v>
      </c>
      <c r="H94" s="2">
        <f>DATEDIF(G94,$G$4,"Y")</f>
        <v>57</v>
      </c>
      <c r="I94" s="17"/>
      <c r="J94" s="25">
        <v>19830325</v>
      </c>
      <c r="K94" s="16">
        <f t="shared" ref="K94:K103" si="16">DATE(INT(J94/10000),INT(MOD(J94,10000)/100),MOD(J94,100))</f>
        <v>30400</v>
      </c>
      <c r="L94" s="2">
        <f t="shared" ref="L94:L103" si="17">DATEDIF(K94,$G$4,"Y")</f>
        <v>38</v>
      </c>
      <c r="M94" s="25" t="e">
        <f>VLOOKUP($C94,#REF!:#REF!,2,FALSE)</f>
        <v>#REF!</v>
      </c>
      <c r="N94" s="26"/>
      <c r="O94" s="27" t="s">
        <v>35</v>
      </c>
      <c r="P94" s="223">
        <f>VLOOKUP($C94,従業員情報!$A$2:'従業員情報'!$AM$2000,5,FALSE)</f>
        <v>41200</v>
      </c>
      <c r="Q94" s="223" t="str">
        <f>VLOOKUP($C94,従業員情報!$A$2:'従業員情報'!$AM$2000,6,FALSE)</f>
        <v>本社工場構内物流</v>
      </c>
      <c r="R94" s="22">
        <v>0</v>
      </c>
      <c r="S94" s="22"/>
      <c r="T94" s="22">
        <v>2</v>
      </c>
      <c r="U94" s="264">
        <v>84</v>
      </c>
    </row>
    <row r="95" spans="1:21">
      <c r="A95">
        <v>101</v>
      </c>
      <c r="B95" s="21">
        <v>102</v>
      </c>
      <c r="C95" s="22">
        <v>2831</v>
      </c>
      <c r="D95" s="22" t="s">
        <v>109</v>
      </c>
      <c r="E95" s="23" t="s">
        <v>15</v>
      </c>
      <c r="F95" s="24">
        <v>19700224</v>
      </c>
      <c r="G95" s="16">
        <f>DATE(INT(F95/10000),INT(MOD(F95,10000)/100),MOD(F95,100))</f>
        <v>25623</v>
      </c>
      <c r="H95" s="2">
        <f>DATEDIF(G95,$G$4,"Y")</f>
        <v>52</v>
      </c>
      <c r="I95" s="17"/>
      <c r="J95" s="25">
        <v>19880324</v>
      </c>
      <c r="K95" s="16">
        <f t="shared" si="16"/>
        <v>32226</v>
      </c>
      <c r="L95" s="2">
        <f t="shared" si="17"/>
        <v>33</v>
      </c>
      <c r="M95" s="25" t="e">
        <f>VLOOKUP($C95,#REF!:#REF!,2,FALSE)</f>
        <v>#REF!</v>
      </c>
      <c r="N95" s="26"/>
      <c r="O95" s="27" t="s">
        <v>35</v>
      </c>
      <c r="P95" s="223">
        <f>VLOOKUP($C95,従業員情報!$A$2:'従業員情報'!$AM$2000,5,FALSE)</f>
        <v>41200</v>
      </c>
      <c r="Q95" s="223" t="str">
        <f>VLOOKUP($C95,従業員情報!$A$2:'従業員情報'!$AM$2000,6,FALSE)</f>
        <v>本社工場構内物流</v>
      </c>
      <c r="R95" s="22">
        <v>0</v>
      </c>
      <c r="S95" s="22"/>
      <c r="T95" s="22">
        <v>2</v>
      </c>
      <c r="U95" s="264">
        <v>85</v>
      </c>
    </row>
    <row r="96" spans="1:21">
      <c r="A96">
        <v>110</v>
      </c>
      <c r="B96" s="21">
        <v>113</v>
      </c>
      <c r="C96" s="22">
        <v>2930</v>
      </c>
      <c r="D96" s="22" t="s">
        <v>110</v>
      </c>
      <c r="E96" s="23" t="s">
        <v>15</v>
      </c>
      <c r="F96" s="24">
        <v>19671217</v>
      </c>
      <c r="G96" s="16">
        <f>DATE(INT(F96/10000),INT(MOD(F96,10000)/100),MOD(F96,100))</f>
        <v>24823</v>
      </c>
      <c r="H96" s="2">
        <f>DATEDIF(G96,$G$4,"Y")</f>
        <v>54</v>
      </c>
      <c r="I96" s="17"/>
      <c r="J96" s="25">
        <v>19930322</v>
      </c>
      <c r="K96" s="16">
        <f t="shared" si="16"/>
        <v>34050</v>
      </c>
      <c r="L96" s="2">
        <f t="shared" si="17"/>
        <v>28</v>
      </c>
      <c r="M96" s="25" t="e">
        <f>VLOOKUP($C96,#REF!:#REF!,2,FALSE)</f>
        <v>#REF!</v>
      </c>
      <c r="N96" s="26"/>
      <c r="O96" s="27" t="s">
        <v>16</v>
      </c>
      <c r="P96" s="223">
        <f>VLOOKUP($C96,従業員情報!$A$2:'従業員情報'!$AM$2000,5,FALSE)</f>
        <v>41200</v>
      </c>
      <c r="Q96" s="223" t="str">
        <f>VLOOKUP($C96,従業員情報!$A$2:'従業員情報'!$AM$2000,6,FALSE)</f>
        <v>本社工場構内物流</v>
      </c>
      <c r="R96" s="22">
        <v>0</v>
      </c>
      <c r="S96" s="22"/>
      <c r="T96" s="22">
        <v>2</v>
      </c>
      <c r="U96" s="264">
        <v>86</v>
      </c>
    </row>
    <row r="97" spans="1:21">
      <c r="A97">
        <v>345</v>
      </c>
      <c r="B97" s="21">
        <v>412</v>
      </c>
      <c r="C97" s="22">
        <v>3949</v>
      </c>
      <c r="D97" s="22" t="s">
        <v>376</v>
      </c>
      <c r="E97" s="23" t="s">
        <v>15</v>
      </c>
      <c r="F97" s="24">
        <v>19650914</v>
      </c>
      <c r="G97" s="16">
        <f>DATE(INT(F97/10000),INT(MOD(F97,10000)/100),MOD(F97,100))</f>
        <v>23999</v>
      </c>
      <c r="H97" s="2">
        <f>DATEDIF(G97,$G$4,"Y")</f>
        <v>56</v>
      </c>
      <c r="I97" s="17"/>
      <c r="J97" s="25">
        <v>20070621</v>
      </c>
      <c r="K97" s="16">
        <f t="shared" si="16"/>
        <v>39254</v>
      </c>
      <c r="L97" s="2">
        <f t="shared" si="17"/>
        <v>14</v>
      </c>
      <c r="M97" s="25" t="e">
        <f>VLOOKUP($C97,#REF!:#REF!,2,FALSE)</f>
        <v>#REF!</v>
      </c>
      <c r="N97" s="26"/>
      <c r="O97" s="27" t="s">
        <v>35</v>
      </c>
      <c r="P97" s="223">
        <f>VLOOKUP($C97,従業員情報!$A$2:'従業員情報'!$AM$2000,5,FALSE)</f>
        <v>41200</v>
      </c>
      <c r="Q97" s="223" t="str">
        <f>VLOOKUP($C97,従業員情報!$A$2:'従業員情報'!$AM$2000,6,FALSE)</f>
        <v>本社工場構内物流</v>
      </c>
      <c r="R97" s="22">
        <v>0</v>
      </c>
      <c r="S97" s="22"/>
      <c r="T97" s="22">
        <v>1</v>
      </c>
      <c r="U97" s="264">
        <v>87</v>
      </c>
    </row>
    <row r="98" spans="1:21">
      <c r="A98">
        <v>118</v>
      </c>
      <c r="B98" s="21">
        <v>122</v>
      </c>
      <c r="C98" s="22">
        <v>2971</v>
      </c>
      <c r="D98" s="22" t="s">
        <v>335</v>
      </c>
      <c r="E98" s="23" t="s">
        <v>15</v>
      </c>
      <c r="F98" s="24">
        <v>19730504</v>
      </c>
      <c r="G98" s="16">
        <f>DATE(INT(F98/10000),INT(MOD(F98,10000)/100),MOD(F98,100))</f>
        <v>26788</v>
      </c>
      <c r="H98" s="2">
        <f>DATEDIF(G98,$G$4,"Y")</f>
        <v>48</v>
      </c>
      <c r="I98" s="17"/>
      <c r="J98" s="25">
        <v>19940322</v>
      </c>
      <c r="K98" s="16">
        <f t="shared" si="16"/>
        <v>34415</v>
      </c>
      <c r="L98" s="2">
        <f t="shared" si="17"/>
        <v>27</v>
      </c>
      <c r="M98" s="25" t="e">
        <f>VLOOKUP($C98,#REF!:#REF!,2,FALSE)</f>
        <v>#REF!</v>
      </c>
      <c r="N98" s="26"/>
      <c r="O98" s="27" t="s">
        <v>19</v>
      </c>
      <c r="P98" s="223">
        <f>VLOOKUP($C98,従業員情報!$A$2:'従業員情報'!$AM$2000,5,FALSE)</f>
        <v>41200</v>
      </c>
      <c r="Q98" s="223" t="str">
        <f>VLOOKUP($C98,従業員情報!$A$2:'従業員情報'!$AM$2000,6,FALSE)</f>
        <v>本社工場構内物流</v>
      </c>
      <c r="R98" s="22">
        <v>1</v>
      </c>
      <c r="S98" s="22" t="s">
        <v>679</v>
      </c>
      <c r="T98" s="22">
        <v>2</v>
      </c>
      <c r="U98" s="264">
        <v>130</v>
      </c>
    </row>
    <row r="99" spans="1:21">
      <c r="A99">
        <v>60</v>
      </c>
      <c r="B99" s="21"/>
      <c r="C99" s="22">
        <v>1428</v>
      </c>
      <c r="D99" s="22" t="s">
        <v>798</v>
      </c>
      <c r="E99" s="23" t="s">
        <v>15</v>
      </c>
      <c r="F99" s="24"/>
      <c r="G99" s="16"/>
      <c r="H99" s="2"/>
      <c r="I99" s="17"/>
      <c r="J99" s="25">
        <v>20220601</v>
      </c>
      <c r="K99" s="16">
        <f t="shared" si="16"/>
        <v>44713</v>
      </c>
      <c r="L99" s="2" t="e">
        <f t="shared" si="17"/>
        <v>#NUM!</v>
      </c>
      <c r="M99" s="25" t="e">
        <f>VLOOKUP($C99,#REF!:#REF!,2,FALSE)</f>
        <v>#REF!</v>
      </c>
      <c r="N99" s="26"/>
      <c r="O99" s="27"/>
      <c r="P99" s="223">
        <f>VLOOKUP($C99,従業員情報!$A$2:'従業員情報'!$AM$2000,5,FALSE)</f>
        <v>42011</v>
      </c>
      <c r="Q99" s="223" t="str">
        <f>VLOOKUP($C99,従業員情報!$A$2:'従業員情報'!$AM$2000,6,FALSE)</f>
        <v>本社工場機械第１</v>
      </c>
      <c r="R99" s="22"/>
      <c r="S99" s="22"/>
      <c r="T99" s="22"/>
      <c r="U99" s="264">
        <v>88</v>
      </c>
    </row>
    <row r="100" spans="1:21">
      <c r="A100">
        <v>92</v>
      </c>
      <c r="B100" s="21">
        <v>92</v>
      </c>
      <c r="C100" s="22">
        <v>2776</v>
      </c>
      <c r="D100" s="22" t="s">
        <v>296</v>
      </c>
      <c r="E100" s="23" t="s">
        <v>15</v>
      </c>
      <c r="F100" s="24">
        <v>19680217</v>
      </c>
      <c r="G100" s="16">
        <f>DATE(INT(F100/10000),INT(MOD(F100,10000)/100),MOD(F100,100))</f>
        <v>24885</v>
      </c>
      <c r="H100" s="2">
        <f>DATEDIF(G100,$G$4,"Y")</f>
        <v>54</v>
      </c>
      <c r="I100" s="17"/>
      <c r="J100" s="25">
        <v>19860326</v>
      </c>
      <c r="K100" s="16">
        <f t="shared" si="16"/>
        <v>31497</v>
      </c>
      <c r="L100" s="2">
        <f t="shared" si="17"/>
        <v>35</v>
      </c>
      <c r="M100" s="25" t="e">
        <f>VLOOKUP($C100,#REF!:#REF!,2,FALSE)</f>
        <v>#REF!</v>
      </c>
      <c r="N100" s="26"/>
      <c r="O100" s="27" t="s">
        <v>35</v>
      </c>
      <c r="P100" s="223">
        <f>VLOOKUP($C100,従業員情報!$A$2:'従業員情報'!$AM$2000,5,FALSE)</f>
        <v>42011</v>
      </c>
      <c r="Q100" s="223" t="str">
        <f>VLOOKUP($C100,従業員情報!$A$2:'従業員情報'!$AM$2000,6,FALSE)</f>
        <v>本社工場機械第１</v>
      </c>
      <c r="R100" s="22">
        <v>1</v>
      </c>
      <c r="S100" s="22" t="s">
        <v>679</v>
      </c>
      <c r="T100" s="22">
        <v>2</v>
      </c>
      <c r="U100" s="264">
        <v>89</v>
      </c>
    </row>
    <row r="101" spans="1:21">
      <c r="A101">
        <v>121</v>
      </c>
      <c r="B101" s="21">
        <v>125</v>
      </c>
      <c r="C101" s="22">
        <v>2974</v>
      </c>
      <c r="D101" s="22" t="s">
        <v>298</v>
      </c>
      <c r="E101" s="23" t="s">
        <v>15</v>
      </c>
      <c r="F101" s="24">
        <v>19740124</v>
      </c>
      <c r="G101" s="16">
        <f>DATE(INT(F101/10000),INT(MOD(F101,10000)/100),MOD(F101,100))</f>
        <v>27053</v>
      </c>
      <c r="H101" s="2">
        <f>DATEDIF(G101,$G$4,"Y")</f>
        <v>48</v>
      </c>
      <c r="I101" s="17"/>
      <c r="J101" s="25">
        <v>19940322</v>
      </c>
      <c r="K101" s="16">
        <f t="shared" si="16"/>
        <v>34415</v>
      </c>
      <c r="L101" s="2">
        <f t="shared" si="17"/>
        <v>27</v>
      </c>
      <c r="M101" s="25" t="e">
        <f>VLOOKUP($C101,#REF!:#REF!,2,FALSE)</f>
        <v>#REF!</v>
      </c>
      <c r="N101" s="26"/>
      <c r="O101" s="27" t="s">
        <v>19</v>
      </c>
      <c r="P101" s="223">
        <f>VLOOKUP($C101,従業員情報!$A$2:'従業員情報'!$AM$2000,5,FALSE)</f>
        <v>42011</v>
      </c>
      <c r="Q101" s="223" t="str">
        <f>VLOOKUP($C101,従業員情報!$A$2:'従業員情報'!$AM$2000,6,FALSE)</f>
        <v>本社工場機械第１</v>
      </c>
      <c r="R101" s="22">
        <v>1</v>
      </c>
      <c r="S101" s="22" t="s">
        <v>679</v>
      </c>
      <c r="T101" s="22">
        <v>2</v>
      </c>
      <c r="U101" s="264">
        <v>90</v>
      </c>
    </row>
    <row r="102" spans="1:21">
      <c r="A102">
        <v>138</v>
      </c>
      <c r="B102" s="21">
        <v>146</v>
      </c>
      <c r="C102" s="22">
        <v>3050</v>
      </c>
      <c r="D102" s="22" t="s">
        <v>299</v>
      </c>
      <c r="E102" s="23" t="s">
        <v>15</v>
      </c>
      <c r="F102" s="24">
        <v>19770209</v>
      </c>
      <c r="G102" s="16">
        <f>DATE(INT(F102/10000),INT(MOD(F102,10000)/100),MOD(F102,100))</f>
        <v>28165</v>
      </c>
      <c r="H102" s="2">
        <f>DATEDIF(G102,$G$4,"Y")</f>
        <v>45</v>
      </c>
      <c r="I102" s="17"/>
      <c r="J102" s="25">
        <v>19950322</v>
      </c>
      <c r="K102" s="16">
        <f t="shared" si="16"/>
        <v>34780</v>
      </c>
      <c r="L102" s="2">
        <f t="shared" si="17"/>
        <v>26</v>
      </c>
      <c r="M102" s="25" t="e">
        <f>VLOOKUP($C102,#REF!:#REF!,2,FALSE)</f>
        <v>#REF!</v>
      </c>
      <c r="N102" s="26"/>
      <c r="O102" s="27" t="s">
        <v>35</v>
      </c>
      <c r="P102" s="223">
        <f>VLOOKUP($C102,従業員情報!$A$2:'従業員情報'!$AM$2000,5,FALSE)</f>
        <v>42011</v>
      </c>
      <c r="Q102" s="223" t="str">
        <f>VLOOKUP($C102,従業員情報!$A$2:'従業員情報'!$AM$2000,6,FALSE)</f>
        <v>本社工場機械第１</v>
      </c>
      <c r="R102" s="22">
        <v>1</v>
      </c>
      <c r="S102" s="22" t="s">
        <v>679</v>
      </c>
      <c r="T102" s="22">
        <v>2</v>
      </c>
      <c r="U102" s="264">
        <v>91</v>
      </c>
    </row>
    <row r="103" spans="1:21">
      <c r="A103">
        <v>174</v>
      </c>
      <c r="B103" s="21">
        <v>190</v>
      </c>
      <c r="C103" s="22">
        <v>3203</v>
      </c>
      <c r="D103" s="22" t="s">
        <v>301</v>
      </c>
      <c r="E103" s="23" t="s">
        <v>15</v>
      </c>
      <c r="F103" s="24">
        <v>19841016</v>
      </c>
      <c r="G103" s="16">
        <f>DATE(INT(F103/10000),INT(MOD(F103,10000)/100),MOD(F103,100))</f>
        <v>30971</v>
      </c>
      <c r="H103" s="2">
        <f>DATEDIF(G103,$G$4,"Y")</f>
        <v>37</v>
      </c>
      <c r="I103" s="17"/>
      <c r="J103" s="25">
        <v>20030321</v>
      </c>
      <c r="K103" s="16">
        <f t="shared" si="16"/>
        <v>37701</v>
      </c>
      <c r="L103" s="2">
        <f t="shared" si="17"/>
        <v>18</v>
      </c>
      <c r="M103" s="25" t="e">
        <f>VLOOKUP($C103,#REF!:#REF!,2,FALSE)</f>
        <v>#REF!</v>
      </c>
      <c r="N103" s="26"/>
      <c r="O103" s="27" t="s">
        <v>35</v>
      </c>
      <c r="P103" s="223">
        <f>VLOOKUP($C103,従業員情報!$A$2:'従業員情報'!$AM$2000,5,FALSE)</f>
        <v>42011</v>
      </c>
      <c r="Q103" s="223" t="str">
        <f>VLOOKUP($C103,従業員情報!$A$2:'従業員情報'!$AM$2000,6,FALSE)</f>
        <v>本社工場機械第１</v>
      </c>
      <c r="R103" s="22">
        <v>1</v>
      </c>
      <c r="S103" s="22" t="s">
        <v>679</v>
      </c>
      <c r="T103" s="22">
        <v>2</v>
      </c>
      <c r="U103" s="264">
        <v>92</v>
      </c>
    </row>
    <row r="104" spans="1:21">
      <c r="A104">
        <v>175</v>
      </c>
      <c r="B104" s="21"/>
      <c r="C104" s="22">
        <v>1467</v>
      </c>
      <c r="D104" s="271" t="s">
        <v>1680</v>
      </c>
      <c r="E104" s="23"/>
      <c r="F104" s="24"/>
      <c r="G104" s="16"/>
      <c r="H104" s="2"/>
      <c r="I104" s="17"/>
      <c r="J104" s="25"/>
      <c r="K104" s="16"/>
      <c r="M104" s="25"/>
      <c r="N104" s="26"/>
      <c r="O104" s="27"/>
      <c r="P104" s="223">
        <v>42011</v>
      </c>
      <c r="Q104" s="223"/>
      <c r="R104" s="22"/>
      <c r="S104" s="22"/>
      <c r="T104" s="22"/>
      <c r="U104" s="264"/>
    </row>
    <row r="105" spans="1:21">
      <c r="A105">
        <v>188</v>
      </c>
      <c r="B105" s="21">
        <v>205</v>
      </c>
      <c r="C105" s="22">
        <v>3236</v>
      </c>
      <c r="D105" s="22" t="s">
        <v>291</v>
      </c>
      <c r="E105" s="23" t="s">
        <v>15</v>
      </c>
      <c r="F105" s="24">
        <v>19860912</v>
      </c>
      <c r="G105" s="16">
        <f t="shared" ref="G105:G117" si="18">DATE(INT(F105/10000),INT(MOD(F105,10000)/100),MOD(F105,100))</f>
        <v>31667</v>
      </c>
      <c r="H105" s="2">
        <f t="shared" ref="H105:H117" si="19">DATEDIF(G105,$G$4,"Y")</f>
        <v>35</v>
      </c>
      <c r="I105" s="17"/>
      <c r="J105" s="25">
        <v>20050321</v>
      </c>
      <c r="K105" s="16">
        <f t="shared" ref="K105:K117" si="20">DATE(INT(J105/10000),INT(MOD(J105,10000)/100),MOD(J105,100))</f>
        <v>38432</v>
      </c>
      <c r="L105" s="2">
        <f t="shared" ref="L105:L117" si="21">DATEDIF(K105,$G$4,"Y")</f>
        <v>16</v>
      </c>
      <c r="M105" s="25" t="e">
        <f>VLOOKUP($C105,#REF!:#REF!,2,FALSE)</f>
        <v>#REF!</v>
      </c>
      <c r="N105" s="26"/>
      <c r="O105" s="27" t="s">
        <v>35</v>
      </c>
      <c r="P105" s="223">
        <f>VLOOKUP($C105,従業員情報!$A$2:'従業員情報'!$AM$2000,5,FALSE)</f>
        <v>42011</v>
      </c>
      <c r="Q105" s="223" t="str">
        <f>VLOOKUP($C105,従業員情報!$A$2:'従業員情報'!$AM$2000,6,FALSE)</f>
        <v>本社工場機械第１</v>
      </c>
      <c r="R105" s="22">
        <v>1</v>
      </c>
      <c r="S105" s="22" t="s">
        <v>679</v>
      </c>
      <c r="T105" s="22">
        <v>1</v>
      </c>
      <c r="U105" s="264">
        <v>94</v>
      </c>
    </row>
    <row r="106" spans="1:21">
      <c r="A106">
        <v>260</v>
      </c>
      <c r="B106" s="21">
        <v>307</v>
      </c>
      <c r="C106" s="22">
        <v>3439</v>
      </c>
      <c r="D106" s="22" t="s">
        <v>333</v>
      </c>
      <c r="E106" s="23" t="s">
        <v>15</v>
      </c>
      <c r="F106" s="24">
        <v>19960515</v>
      </c>
      <c r="G106" s="16">
        <f t="shared" si="18"/>
        <v>35200</v>
      </c>
      <c r="H106" s="2">
        <f t="shared" si="19"/>
        <v>25</v>
      </c>
      <c r="I106" s="17"/>
      <c r="J106" s="25">
        <v>20150401</v>
      </c>
      <c r="K106" s="16">
        <f t="shared" si="20"/>
        <v>42095</v>
      </c>
      <c r="L106" s="2">
        <f t="shared" si="21"/>
        <v>6</v>
      </c>
      <c r="M106" s="25" t="e">
        <f>VLOOKUP($C106,#REF!:#REF!,2,FALSE)</f>
        <v>#REF!</v>
      </c>
      <c r="N106" s="26"/>
      <c r="O106" s="27" t="s">
        <v>35</v>
      </c>
      <c r="P106" s="223">
        <f>VLOOKUP($C106,従業員情報!$A$2:'従業員情報'!$AM$2000,5,FALSE)</f>
        <v>42011</v>
      </c>
      <c r="Q106" s="223" t="str">
        <f>VLOOKUP($C106,従業員情報!$A$2:'従業員情報'!$AM$2000,6,FALSE)</f>
        <v>本社工場機械第１</v>
      </c>
      <c r="R106" s="22">
        <v>1</v>
      </c>
      <c r="S106" s="22" t="s">
        <v>679</v>
      </c>
      <c r="T106" s="22">
        <v>1</v>
      </c>
      <c r="U106" s="264">
        <v>95</v>
      </c>
    </row>
    <row r="107" spans="1:21">
      <c r="A107">
        <v>302</v>
      </c>
      <c r="B107" s="21"/>
      <c r="C107" s="22">
        <v>3524</v>
      </c>
      <c r="D107" s="22" t="s">
        <v>303</v>
      </c>
      <c r="E107" s="23" t="s">
        <v>678</v>
      </c>
      <c r="F107" s="24">
        <v>20020831</v>
      </c>
      <c r="G107" s="16">
        <f t="shared" si="18"/>
        <v>37499</v>
      </c>
      <c r="H107" s="2">
        <f t="shared" si="19"/>
        <v>19</v>
      </c>
      <c r="I107" s="17"/>
      <c r="J107" s="25">
        <v>20210401</v>
      </c>
      <c r="K107" s="16">
        <f t="shared" si="20"/>
        <v>44287</v>
      </c>
      <c r="L107" s="2">
        <f t="shared" si="21"/>
        <v>0</v>
      </c>
      <c r="M107" s="25" t="e">
        <f>VLOOKUP($C107,#REF!:#REF!,2,FALSE)</f>
        <v>#REF!</v>
      </c>
      <c r="N107" s="26"/>
      <c r="O107" s="27"/>
      <c r="P107" s="223">
        <v>50000</v>
      </c>
      <c r="Q107" s="223" t="s">
        <v>120</v>
      </c>
      <c r="R107" s="22"/>
      <c r="S107" s="22"/>
      <c r="T107" s="22"/>
      <c r="U107" s="264">
        <v>96</v>
      </c>
    </row>
    <row r="108" spans="1:21">
      <c r="A108">
        <v>328</v>
      </c>
      <c r="B108" s="21">
        <v>392</v>
      </c>
      <c r="C108" s="22">
        <v>3888</v>
      </c>
      <c r="D108" s="22" t="s">
        <v>300</v>
      </c>
      <c r="E108" s="23" t="s">
        <v>15</v>
      </c>
      <c r="F108" s="24">
        <v>19721231</v>
      </c>
      <c r="G108" s="16">
        <f t="shared" si="18"/>
        <v>26664</v>
      </c>
      <c r="H108" s="2">
        <f t="shared" si="19"/>
        <v>49</v>
      </c>
      <c r="I108" s="17"/>
      <c r="J108" s="25">
        <v>19910325</v>
      </c>
      <c r="K108" s="16">
        <f t="shared" si="20"/>
        <v>33322</v>
      </c>
      <c r="L108" s="2">
        <f t="shared" si="21"/>
        <v>30</v>
      </c>
      <c r="M108" s="25" t="e">
        <f>VLOOKUP($C108,#REF!:#REF!,2,FALSE)</f>
        <v>#REF!</v>
      </c>
      <c r="N108" s="26"/>
      <c r="O108" s="27" t="s">
        <v>35</v>
      </c>
      <c r="P108" s="223">
        <f>VLOOKUP($C108,従業員情報!$A$2:'従業員情報'!$AM$2000,5,FALSE)</f>
        <v>42011</v>
      </c>
      <c r="Q108" s="223" t="str">
        <f>VLOOKUP($C108,従業員情報!$A$2:'従業員情報'!$AM$2000,6,FALSE)</f>
        <v>本社工場機械第１</v>
      </c>
      <c r="R108" s="22">
        <v>1</v>
      </c>
      <c r="S108" s="22" t="s">
        <v>679</v>
      </c>
      <c r="T108" s="22">
        <v>2</v>
      </c>
      <c r="U108" s="264">
        <v>97</v>
      </c>
    </row>
    <row r="109" spans="1:21">
      <c r="A109">
        <v>370</v>
      </c>
      <c r="B109" s="21">
        <v>446</v>
      </c>
      <c r="C109" s="22">
        <v>5050</v>
      </c>
      <c r="D109" s="22" t="s">
        <v>294</v>
      </c>
      <c r="E109" s="23" t="s">
        <v>15</v>
      </c>
      <c r="F109" s="24">
        <v>19660726</v>
      </c>
      <c r="G109" s="16">
        <f t="shared" si="18"/>
        <v>24314</v>
      </c>
      <c r="H109" s="2">
        <f t="shared" si="19"/>
        <v>55</v>
      </c>
      <c r="I109" s="17"/>
      <c r="J109" s="25">
        <v>19820325</v>
      </c>
      <c r="K109" s="16">
        <f t="shared" si="20"/>
        <v>30035</v>
      </c>
      <c r="L109" s="2">
        <f t="shared" si="21"/>
        <v>39</v>
      </c>
      <c r="M109" s="25" t="e">
        <f>VLOOKUP($C109,#REF!:#REF!,2,FALSE)</f>
        <v>#REF!</v>
      </c>
      <c r="N109" s="26"/>
      <c r="O109" s="27" t="s">
        <v>295</v>
      </c>
      <c r="P109" s="223">
        <f>VLOOKUP($C109,従業員情報!$A$2:'従業員情報'!$AM$2000,5,FALSE)</f>
        <v>42011</v>
      </c>
      <c r="Q109" s="223" t="str">
        <f>VLOOKUP($C109,従業員情報!$A$2:'従業員情報'!$AM$2000,6,FALSE)</f>
        <v>本社工場機械第１</v>
      </c>
      <c r="R109" s="22">
        <v>1</v>
      </c>
      <c r="S109" s="22" t="s">
        <v>679</v>
      </c>
      <c r="T109" s="22">
        <v>2</v>
      </c>
      <c r="U109" s="264">
        <v>98</v>
      </c>
    </row>
    <row r="110" spans="1:21">
      <c r="A110">
        <v>29</v>
      </c>
      <c r="B110" s="21">
        <v>39</v>
      </c>
      <c r="C110" s="22">
        <v>1381</v>
      </c>
      <c r="D110" s="22" t="s">
        <v>311</v>
      </c>
      <c r="E110" s="23" t="s">
        <v>15</v>
      </c>
      <c r="F110" s="24">
        <v>19771023</v>
      </c>
      <c r="G110" s="16">
        <f t="shared" si="18"/>
        <v>28421</v>
      </c>
      <c r="H110" s="2">
        <f t="shared" si="19"/>
        <v>44</v>
      </c>
      <c r="I110" s="17"/>
      <c r="J110" s="25">
        <v>20120612</v>
      </c>
      <c r="K110" s="16">
        <f t="shared" si="20"/>
        <v>41072</v>
      </c>
      <c r="L110" s="2">
        <f t="shared" si="21"/>
        <v>9</v>
      </c>
      <c r="M110" s="25" t="e">
        <f>VLOOKUP($C110,#REF!:#REF!,2,FALSE)</f>
        <v>#REF!</v>
      </c>
      <c r="N110" s="26"/>
      <c r="O110" s="27" t="s">
        <v>35</v>
      </c>
      <c r="P110" s="223">
        <f>VLOOKUP($C110,従業員情報!$A$2:'従業員情報'!$AM$2000,5,FALSE)</f>
        <v>42111</v>
      </c>
      <c r="Q110" s="223" t="str">
        <f>VLOOKUP($C110,従業員情報!$A$2:'従業員情報'!$AM$2000,6,FALSE)</f>
        <v>本社工場組立第１</v>
      </c>
      <c r="R110" s="22">
        <v>1</v>
      </c>
      <c r="S110" s="22" t="s">
        <v>679</v>
      </c>
      <c r="T110" s="22">
        <v>2</v>
      </c>
      <c r="U110" s="264">
        <v>99</v>
      </c>
    </row>
    <row r="111" spans="1:21">
      <c r="A111">
        <v>106</v>
      </c>
      <c r="B111" s="21">
        <v>108</v>
      </c>
      <c r="C111" s="22">
        <v>2893</v>
      </c>
      <c r="D111" s="22" t="s">
        <v>309</v>
      </c>
      <c r="E111" s="23" t="s">
        <v>15</v>
      </c>
      <c r="F111" s="24">
        <v>19730323</v>
      </c>
      <c r="G111" s="16">
        <f t="shared" si="18"/>
        <v>26746</v>
      </c>
      <c r="H111" s="2">
        <f t="shared" si="19"/>
        <v>48</v>
      </c>
      <c r="I111" s="17"/>
      <c r="J111" s="25">
        <v>19910325</v>
      </c>
      <c r="K111" s="16">
        <f t="shared" si="20"/>
        <v>33322</v>
      </c>
      <c r="L111" s="2">
        <f t="shared" si="21"/>
        <v>30</v>
      </c>
      <c r="M111" s="25" t="e">
        <f>VLOOKUP($C111,#REF!:#REF!,2,FALSE)</f>
        <v>#REF!</v>
      </c>
      <c r="N111" s="26"/>
      <c r="O111" s="27" t="s">
        <v>35</v>
      </c>
      <c r="P111" s="223">
        <f>VLOOKUP($C111,従業員情報!$A$2:'従業員情報'!$AM$2000,5,FALSE)</f>
        <v>42111</v>
      </c>
      <c r="Q111" s="223" t="str">
        <f>VLOOKUP($C111,従業員情報!$A$2:'従業員情報'!$AM$2000,6,FALSE)</f>
        <v>本社工場組立第１</v>
      </c>
      <c r="R111" s="22">
        <v>1</v>
      </c>
      <c r="S111" s="22" t="s">
        <v>679</v>
      </c>
      <c r="T111" s="22">
        <v>2</v>
      </c>
      <c r="U111" s="264">
        <v>100</v>
      </c>
    </row>
    <row r="112" spans="1:21">
      <c r="A112">
        <v>108</v>
      </c>
      <c r="B112" s="21">
        <v>110</v>
      </c>
      <c r="C112" s="22">
        <v>2908</v>
      </c>
      <c r="D112" s="22" t="s">
        <v>310</v>
      </c>
      <c r="E112" s="23" t="s">
        <v>15</v>
      </c>
      <c r="F112" s="24">
        <v>19730404</v>
      </c>
      <c r="G112" s="16">
        <f t="shared" si="18"/>
        <v>26758</v>
      </c>
      <c r="H112" s="2">
        <f t="shared" si="19"/>
        <v>48</v>
      </c>
      <c r="I112" s="17"/>
      <c r="J112" s="25">
        <v>19920323</v>
      </c>
      <c r="K112" s="16">
        <f t="shared" si="20"/>
        <v>33686</v>
      </c>
      <c r="L112" s="2">
        <f t="shared" si="21"/>
        <v>29</v>
      </c>
      <c r="M112" s="25" t="e">
        <f>VLOOKUP($C112,#REF!:#REF!,2,FALSE)</f>
        <v>#REF!</v>
      </c>
      <c r="N112" s="26"/>
      <c r="O112" s="27" t="s">
        <v>35</v>
      </c>
      <c r="P112" s="223">
        <f>VLOOKUP($C112,従業員情報!$A$2:'従業員情報'!$AM$2000,5,FALSE)</f>
        <v>42111</v>
      </c>
      <c r="Q112" s="223" t="str">
        <f>VLOOKUP($C112,従業員情報!$A$2:'従業員情報'!$AM$2000,6,FALSE)</f>
        <v>本社工場組立第１</v>
      </c>
      <c r="R112" s="22">
        <v>1</v>
      </c>
      <c r="S112" s="22" t="s">
        <v>679</v>
      </c>
      <c r="T112" s="22">
        <v>2</v>
      </c>
      <c r="U112" s="264">
        <v>101</v>
      </c>
    </row>
    <row r="113" spans="1:21">
      <c r="A113">
        <v>131</v>
      </c>
      <c r="B113" s="21">
        <v>139</v>
      </c>
      <c r="C113" s="22">
        <v>3027</v>
      </c>
      <c r="D113" s="22" t="s">
        <v>308</v>
      </c>
      <c r="E113" s="23" t="s">
        <v>15</v>
      </c>
      <c r="F113" s="24">
        <v>19730214</v>
      </c>
      <c r="G113" s="16">
        <f t="shared" si="18"/>
        <v>26709</v>
      </c>
      <c r="H113" s="2">
        <f t="shared" si="19"/>
        <v>49</v>
      </c>
      <c r="I113" s="17"/>
      <c r="J113" s="25">
        <v>19950322</v>
      </c>
      <c r="K113" s="16">
        <f t="shared" si="20"/>
        <v>34780</v>
      </c>
      <c r="L113" s="2">
        <f t="shared" si="21"/>
        <v>26</v>
      </c>
      <c r="M113" s="25" t="e">
        <f>VLOOKUP($C113,#REF!:#REF!,2,FALSE)</f>
        <v>#REF!</v>
      </c>
      <c r="N113" s="26"/>
      <c r="O113" s="27" t="s">
        <v>16</v>
      </c>
      <c r="P113" s="223">
        <f>VLOOKUP($C113,従業員情報!$A$2:'従業員情報'!$AM$2000,5,FALSE)</f>
        <v>42111</v>
      </c>
      <c r="Q113" s="223" t="str">
        <f>VLOOKUP($C113,従業員情報!$A$2:'従業員情報'!$AM$2000,6,FALSE)</f>
        <v>本社工場組立第１</v>
      </c>
      <c r="R113" s="22">
        <v>1</v>
      </c>
      <c r="S113" s="22" t="s">
        <v>679</v>
      </c>
      <c r="T113" s="22">
        <v>2</v>
      </c>
      <c r="U113" s="264">
        <v>103</v>
      </c>
    </row>
    <row r="114" spans="1:21">
      <c r="A114">
        <v>192</v>
      </c>
      <c r="B114" s="21">
        <v>210</v>
      </c>
      <c r="C114" s="22">
        <v>3250</v>
      </c>
      <c r="D114" s="22" t="s">
        <v>346</v>
      </c>
      <c r="E114" s="23" t="s">
        <v>15</v>
      </c>
      <c r="F114" s="24">
        <v>19880106</v>
      </c>
      <c r="G114" s="16">
        <f t="shared" si="18"/>
        <v>32148</v>
      </c>
      <c r="H114" s="2">
        <f t="shared" si="19"/>
        <v>34</v>
      </c>
      <c r="I114" s="17"/>
      <c r="J114" s="25">
        <v>20060321</v>
      </c>
      <c r="K114" s="16">
        <f t="shared" si="20"/>
        <v>38797</v>
      </c>
      <c r="L114" s="2">
        <f t="shared" si="21"/>
        <v>15</v>
      </c>
      <c r="M114" s="25" t="e">
        <f>VLOOKUP($C114,#REF!:#REF!,2,FALSE)</f>
        <v>#REF!</v>
      </c>
      <c r="N114" s="26"/>
      <c r="O114" s="27" t="s">
        <v>35</v>
      </c>
      <c r="P114" s="223">
        <f>VLOOKUP($C114,従業員情報!$A$2:'従業員情報'!$AM$2000,5,FALSE)</f>
        <v>42111</v>
      </c>
      <c r="Q114" s="223" t="str">
        <f>VLOOKUP($C114,従業員情報!$A$2:'従業員情報'!$AM$2000,6,FALSE)</f>
        <v>本社工場組立第１</v>
      </c>
      <c r="R114" s="22">
        <v>1</v>
      </c>
      <c r="S114" s="22" t="s">
        <v>679</v>
      </c>
      <c r="T114" s="22">
        <v>2</v>
      </c>
      <c r="U114" s="264">
        <v>104</v>
      </c>
    </row>
    <row r="115" spans="1:21">
      <c r="A115">
        <v>199</v>
      </c>
      <c r="B115" s="21">
        <v>217</v>
      </c>
      <c r="C115" s="22">
        <v>3263</v>
      </c>
      <c r="D115" s="466" t="s">
        <v>340</v>
      </c>
      <c r="E115" s="23" t="s">
        <v>15</v>
      </c>
      <c r="F115" s="24">
        <v>19881025</v>
      </c>
      <c r="G115" s="16">
        <f t="shared" si="18"/>
        <v>32441</v>
      </c>
      <c r="H115" s="2">
        <f t="shared" si="19"/>
        <v>33</v>
      </c>
      <c r="I115" s="17"/>
      <c r="J115" s="25">
        <v>20070321</v>
      </c>
      <c r="K115" s="16">
        <f t="shared" si="20"/>
        <v>39162</v>
      </c>
      <c r="L115" s="2">
        <f t="shared" si="21"/>
        <v>14</v>
      </c>
      <c r="M115" s="25" t="e">
        <f>VLOOKUP($C115,#REF!:#REF!,2,FALSE)</f>
        <v>#REF!</v>
      </c>
      <c r="N115" s="26"/>
      <c r="O115" s="27" t="s">
        <v>35</v>
      </c>
      <c r="P115" s="223"/>
      <c r="Q115" s="223" t="str">
        <f>VLOOKUP($C115,従業員情報!$A$2:'従業員情報'!$AM$2000,6,FALSE)</f>
        <v>本社工場組立第１</v>
      </c>
      <c r="R115" s="22">
        <v>1</v>
      </c>
      <c r="S115" s="22" t="s">
        <v>679</v>
      </c>
      <c r="T115" s="22">
        <v>1</v>
      </c>
      <c r="U115" s="264">
        <v>105</v>
      </c>
    </row>
    <row r="116" spans="1:21" s="264" customFormat="1">
      <c r="A116" s="264">
        <v>206</v>
      </c>
      <c r="B116" s="21">
        <v>225</v>
      </c>
      <c r="C116" s="271">
        <v>3286</v>
      </c>
      <c r="D116" s="271" t="s">
        <v>341</v>
      </c>
      <c r="E116" s="23" t="s">
        <v>15</v>
      </c>
      <c r="F116" s="24">
        <v>19891204</v>
      </c>
      <c r="G116" s="16">
        <f t="shared" si="18"/>
        <v>32846</v>
      </c>
      <c r="H116" s="2">
        <f t="shared" si="19"/>
        <v>32</v>
      </c>
      <c r="I116" s="17"/>
      <c r="J116" s="25">
        <v>20080321</v>
      </c>
      <c r="K116" s="16">
        <f t="shared" si="20"/>
        <v>39528</v>
      </c>
      <c r="L116" s="2">
        <f t="shared" si="21"/>
        <v>13</v>
      </c>
      <c r="M116" s="25" t="e">
        <f>VLOOKUP($C116,#REF!:#REF!,2,FALSE)</f>
        <v>#REF!</v>
      </c>
      <c r="N116" s="26"/>
      <c r="O116" s="27" t="s">
        <v>35</v>
      </c>
      <c r="P116" s="223">
        <f>VLOOKUP($C116,従業員情報!$A$2:'従業員情報'!$AM$2000,5,FALSE)</f>
        <v>42111</v>
      </c>
      <c r="Q116" s="223" t="str">
        <f>VLOOKUP($C116,従業員情報!$A$2:'従業員情報'!$AM$2000,6,FALSE)</f>
        <v>本社工場組立第１</v>
      </c>
      <c r="R116" s="271">
        <v>1</v>
      </c>
      <c r="S116" s="271" t="s">
        <v>679</v>
      </c>
      <c r="T116" s="271">
        <v>1</v>
      </c>
      <c r="U116" s="264">
        <v>106</v>
      </c>
    </row>
    <row r="117" spans="1:21">
      <c r="A117">
        <v>210</v>
      </c>
      <c r="B117" s="21">
        <v>235</v>
      </c>
      <c r="C117" s="22">
        <v>3312</v>
      </c>
      <c r="D117" s="22" t="s">
        <v>312</v>
      </c>
      <c r="E117" s="23" t="s">
        <v>15</v>
      </c>
      <c r="F117" s="24">
        <v>19901025</v>
      </c>
      <c r="G117" s="16">
        <f t="shared" si="18"/>
        <v>33171</v>
      </c>
      <c r="H117" s="2">
        <f t="shared" si="19"/>
        <v>31</v>
      </c>
      <c r="I117" s="17"/>
      <c r="J117" s="25">
        <v>20090323</v>
      </c>
      <c r="K117" s="16">
        <f t="shared" si="20"/>
        <v>39895</v>
      </c>
      <c r="L117" s="2">
        <f t="shared" si="21"/>
        <v>12</v>
      </c>
      <c r="M117" s="25" t="e">
        <f>VLOOKUP($C117,#REF!:#REF!,2,FALSE)</f>
        <v>#REF!</v>
      </c>
      <c r="N117" s="26"/>
      <c r="O117" s="27" t="s">
        <v>35</v>
      </c>
      <c r="P117" s="223">
        <f>VLOOKUP($C117,従業員情報!$A$2:'従業員情報'!$AM$2000,5,FALSE)</f>
        <v>42111</v>
      </c>
      <c r="Q117" s="223" t="str">
        <f>VLOOKUP($C117,従業員情報!$A$2:'従業員情報'!$AM$2000,6,FALSE)</f>
        <v>本社工場組立第１</v>
      </c>
      <c r="R117" s="22">
        <v>1</v>
      </c>
      <c r="S117" s="22" t="s">
        <v>679</v>
      </c>
      <c r="T117" s="22">
        <v>2</v>
      </c>
      <c r="U117" s="264">
        <v>107</v>
      </c>
    </row>
    <row r="118" spans="1:21">
      <c r="A118">
        <v>241</v>
      </c>
      <c r="B118" s="21">
        <v>282</v>
      </c>
      <c r="C118" s="271"/>
      <c r="D118" s="271"/>
      <c r="E118" s="23"/>
      <c r="F118" s="24"/>
      <c r="G118" s="16"/>
      <c r="H118" s="2"/>
      <c r="I118" s="17"/>
      <c r="J118" s="25"/>
      <c r="K118" s="16"/>
      <c r="M118" s="25"/>
      <c r="N118" s="26"/>
      <c r="O118" s="27"/>
      <c r="P118" s="223"/>
      <c r="Q118" s="223"/>
      <c r="R118" s="271">
        <v>1</v>
      </c>
      <c r="S118" s="271" t="s">
        <v>679</v>
      </c>
      <c r="T118" s="271">
        <v>1</v>
      </c>
      <c r="U118" s="264">
        <v>108</v>
      </c>
    </row>
    <row r="119" spans="1:21">
      <c r="A119">
        <v>259</v>
      </c>
      <c r="B119" s="21">
        <v>306</v>
      </c>
      <c r="C119" s="22">
        <v>3438</v>
      </c>
      <c r="D119" s="464" t="s">
        <v>342</v>
      </c>
      <c r="E119" s="23" t="s">
        <v>15</v>
      </c>
      <c r="F119" s="24">
        <v>19960702</v>
      </c>
      <c r="G119" s="16">
        <f>DATE(INT(F119/10000),INT(MOD(F119,10000)/100),MOD(F119,100))</f>
        <v>35248</v>
      </c>
      <c r="H119" s="2">
        <f>DATEDIF(G119,$G$4,"Y")</f>
        <v>25</v>
      </c>
      <c r="I119" s="17"/>
      <c r="J119" s="25">
        <v>20150401</v>
      </c>
      <c r="K119" s="16">
        <f>DATE(INT(J119/10000),INT(MOD(J119,10000)/100),MOD(J119,100))</f>
        <v>42095</v>
      </c>
      <c r="L119" s="2">
        <f>DATEDIF(K119,$G$4,"Y")</f>
        <v>6</v>
      </c>
      <c r="M119" s="25" t="e">
        <f>VLOOKUP($C119,#REF!:#REF!,2,FALSE)</f>
        <v>#REF!</v>
      </c>
      <c r="N119" s="26"/>
      <c r="O119" s="27" t="s">
        <v>35</v>
      </c>
      <c r="P119" s="223">
        <f>VLOOKUP($C119,従業員情報!$A$2:'従業員情報'!$AM$2000,5,FALSE)</f>
        <v>42111</v>
      </c>
      <c r="Q119" s="223" t="str">
        <f>VLOOKUP($C119,従業員情報!$A$2:'従業員情報'!$AM$2000,6,FALSE)</f>
        <v>本社工場組立第１</v>
      </c>
      <c r="R119" s="22">
        <v>1</v>
      </c>
      <c r="S119" s="22" t="s">
        <v>679</v>
      </c>
      <c r="T119" s="22">
        <v>1</v>
      </c>
      <c r="U119" s="264">
        <v>109</v>
      </c>
    </row>
    <row r="120" spans="1:21">
      <c r="A120">
        <v>297</v>
      </c>
      <c r="B120" s="21">
        <v>365</v>
      </c>
      <c r="C120" s="22">
        <v>3518</v>
      </c>
      <c r="D120" s="22" t="s">
        <v>347</v>
      </c>
      <c r="E120" s="23" t="s">
        <v>678</v>
      </c>
      <c r="F120" s="24">
        <v>20020126</v>
      </c>
      <c r="G120" s="16">
        <f>DATE(INT(F120/10000),INT(MOD(F120,10000)/100),MOD(F120,100))</f>
        <v>37282</v>
      </c>
      <c r="H120" s="2">
        <f>DATEDIF(G120,$G$4,"Y")</f>
        <v>20</v>
      </c>
      <c r="I120" s="17"/>
      <c r="J120" s="25">
        <v>20200401</v>
      </c>
      <c r="K120" s="16">
        <f>DATE(INT(J120/10000),INT(MOD(J120,10000)/100),MOD(J120,100))</f>
        <v>43922</v>
      </c>
      <c r="L120" s="2">
        <f>DATEDIF(K120,$G$4,"Y")</f>
        <v>1</v>
      </c>
      <c r="M120" s="25" t="e">
        <f>VLOOKUP($C120,#REF!:#REF!,2,FALSE)</f>
        <v>#REF!</v>
      </c>
      <c r="N120" s="26"/>
      <c r="O120" s="27">
        <v>6</v>
      </c>
      <c r="P120" s="223">
        <f>VLOOKUP($C120,従業員情報!$A$2:'従業員情報'!$AM$2000,5,FALSE)</f>
        <v>42111</v>
      </c>
      <c r="Q120" s="223" t="str">
        <f>VLOOKUP($C120,従業員情報!$A$2:'従業員情報'!$AM$2000,6,FALSE)</f>
        <v>本社工場組立第１</v>
      </c>
      <c r="R120" s="22">
        <v>1</v>
      </c>
      <c r="S120" s="22" t="s">
        <v>679</v>
      </c>
      <c r="T120" s="22">
        <v>2</v>
      </c>
      <c r="U120" s="264">
        <v>110</v>
      </c>
    </row>
    <row r="121" spans="1:21">
      <c r="A121">
        <v>334</v>
      </c>
      <c r="B121" s="21">
        <v>401</v>
      </c>
      <c r="C121" s="22">
        <v>3910</v>
      </c>
      <c r="D121" s="22" t="s">
        <v>338</v>
      </c>
      <c r="E121" s="23" t="s">
        <v>15</v>
      </c>
      <c r="F121" s="24">
        <v>19750327</v>
      </c>
      <c r="G121" s="16">
        <f>DATE(INT(F121/10000),INT(MOD(F121,10000)/100),MOD(F121,100))</f>
        <v>27480</v>
      </c>
      <c r="H121" s="2">
        <f>DATEDIF(G121,$G$4,"Y")</f>
        <v>46</v>
      </c>
      <c r="I121" s="17"/>
      <c r="J121" s="25">
        <v>20030921</v>
      </c>
      <c r="K121" s="16">
        <f>DATE(INT(J121/10000),INT(MOD(J121,10000)/100),MOD(J121,100))</f>
        <v>37885</v>
      </c>
      <c r="L121" s="2">
        <f>DATEDIF(K121,$G$4,"Y")</f>
        <v>18</v>
      </c>
      <c r="M121" s="25" t="e">
        <f>VLOOKUP($C121,#REF!:#REF!,2,FALSE)</f>
        <v>#REF!</v>
      </c>
      <c r="N121" s="26"/>
      <c r="O121" s="27" t="s">
        <v>16</v>
      </c>
      <c r="P121" s="223">
        <v>21000</v>
      </c>
      <c r="Q121" s="223" t="s">
        <v>638</v>
      </c>
      <c r="R121" s="22">
        <v>1</v>
      </c>
      <c r="S121" s="22" t="s">
        <v>679</v>
      </c>
      <c r="T121" s="22">
        <v>1</v>
      </c>
      <c r="U121" s="264">
        <v>111</v>
      </c>
    </row>
    <row r="122" spans="1:21">
      <c r="A122">
        <v>385</v>
      </c>
      <c r="B122" s="21">
        <v>462</v>
      </c>
      <c r="C122" s="22">
        <v>5164</v>
      </c>
      <c r="D122" s="22" t="s">
        <v>343</v>
      </c>
      <c r="E122" s="23" t="s">
        <v>15</v>
      </c>
      <c r="F122" s="24">
        <v>19710821</v>
      </c>
      <c r="G122" s="16">
        <f>DATE(INT(F122/10000),INT(MOD(F122,10000)/100),MOD(F122,100))</f>
        <v>26166</v>
      </c>
      <c r="H122" s="2">
        <f>DATEDIF(G122,$G$4,"Y")</f>
        <v>50</v>
      </c>
      <c r="I122" s="17"/>
      <c r="J122" s="25">
        <v>19880325</v>
      </c>
      <c r="K122" s="16">
        <f>DATE(INT(J122/10000),INT(MOD(J122,10000)/100),MOD(J122,100))</f>
        <v>32227</v>
      </c>
      <c r="L122" s="2">
        <f>DATEDIF(K122,$G$4,"Y")</f>
        <v>33</v>
      </c>
      <c r="M122" s="25" t="e">
        <f>VLOOKUP($C122,#REF!:#REF!,2,FALSE)</f>
        <v>#REF!</v>
      </c>
      <c r="N122" s="26"/>
      <c r="O122" s="27" t="s">
        <v>105</v>
      </c>
      <c r="P122" s="223">
        <f>VLOOKUP($C122,従業員情報!$A$2:'従業員情報'!$AM$2000,5,FALSE)</f>
        <v>42111</v>
      </c>
      <c r="Q122" s="223" t="str">
        <f>VLOOKUP($C122,従業員情報!$A$2:'従業員情報'!$AM$2000,6,FALSE)</f>
        <v>本社工場組立第１</v>
      </c>
      <c r="R122" s="22">
        <v>1</v>
      </c>
      <c r="S122" s="22" t="s">
        <v>679</v>
      </c>
      <c r="T122" s="22">
        <v>2</v>
      </c>
      <c r="U122" s="264">
        <v>112</v>
      </c>
    </row>
    <row r="123" spans="1:21">
      <c r="A123">
        <v>388</v>
      </c>
      <c r="B123" s="21">
        <v>465</v>
      </c>
      <c r="C123" s="22">
        <v>5175</v>
      </c>
      <c r="D123" s="22" t="s">
        <v>344</v>
      </c>
      <c r="E123" s="23" t="s">
        <v>15</v>
      </c>
      <c r="F123" s="24">
        <v>19721126</v>
      </c>
      <c r="G123" s="16">
        <f>DATE(INT(F123/10000),INT(MOD(F123,10000)/100),MOD(F123,100))</f>
        <v>26629</v>
      </c>
      <c r="H123" s="2">
        <f>DATEDIF(G123,$G$4,"Y")</f>
        <v>49</v>
      </c>
      <c r="I123" s="17"/>
      <c r="J123" s="25">
        <v>19900322</v>
      </c>
      <c r="K123" s="16">
        <f>DATE(INT(J123/10000),INT(MOD(J123,10000)/100),MOD(J123,100))</f>
        <v>32954</v>
      </c>
      <c r="L123" s="2">
        <f>DATEDIF(K123,$G$4,"Y")</f>
        <v>31</v>
      </c>
      <c r="M123" s="25" t="e">
        <f>VLOOKUP($C123,#REF!:#REF!,2,FALSE)</f>
        <v>#REF!</v>
      </c>
      <c r="N123" s="26"/>
      <c r="O123" s="27" t="s">
        <v>345</v>
      </c>
      <c r="P123" s="223">
        <f>VLOOKUP($C123,従業員情報!$A$2:'従業員情報'!$AM$2000,5,FALSE)</f>
        <v>42111</v>
      </c>
      <c r="Q123" s="223" t="str">
        <f>VLOOKUP($C123,従業員情報!$A$2:'従業員情報'!$AM$2000,6,FALSE)</f>
        <v>本社工場組立第１</v>
      </c>
      <c r="R123" s="22">
        <v>1</v>
      </c>
      <c r="S123" s="22" t="s">
        <v>679</v>
      </c>
      <c r="T123" s="22">
        <v>2</v>
      </c>
      <c r="U123" s="264">
        <v>113</v>
      </c>
    </row>
    <row r="124" spans="1:21">
      <c r="B124" s="21"/>
      <c r="C124" s="22">
        <v>1443</v>
      </c>
      <c r="D124" s="22" t="s">
        <v>873</v>
      </c>
      <c r="E124" s="23"/>
      <c r="F124" s="24"/>
      <c r="G124" s="16"/>
      <c r="H124" s="2"/>
      <c r="I124" s="17"/>
      <c r="J124" s="25"/>
      <c r="K124" s="16"/>
      <c r="M124" s="25"/>
      <c r="N124" s="26"/>
      <c r="O124" s="27"/>
      <c r="P124" s="223">
        <f>VLOOKUP($C124,従業員情報!$A$2:'従業員情報'!$AM$2000,5,FALSE)</f>
        <v>42111</v>
      </c>
      <c r="Q124" s="223" t="str">
        <f>VLOOKUP($C124,従業員情報!$A$2:'従業員情報'!$AM$2000,6,FALSE)</f>
        <v>本社工場組立第１</v>
      </c>
      <c r="R124" s="22"/>
      <c r="S124" s="22"/>
      <c r="T124" s="22"/>
      <c r="U124" s="264">
        <v>114</v>
      </c>
    </row>
    <row r="125" spans="1:21">
      <c r="B125" s="21"/>
      <c r="C125" s="32">
        <v>3539</v>
      </c>
      <c r="D125" s="32" t="s">
        <v>886</v>
      </c>
      <c r="E125" s="271"/>
      <c r="F125" s="34"/>
      <c r="G125" s="47"/>
      <c r="J125" s="30"/>
      <c r="M125" s="30"/>
      <c r="N125" s="35"/>
      <c r="O125" s="386"/>
      <c r="P125" s="223">
        <f>VLOOKUP($C125,従業員情報!$A$2:'従業員情報'!$AM$2000,5,FALSE)</f>
        <v>42111</v>
      </c>
      <c r="Q125" s="223" t="str">
        <f>VLOOKUP($C125,従業員情報!$A$2:'従業員情報'!$AM$2000,6,FALSE)</f>
        <v>本社工場組立第１</v>
      </c>
      <c r="R125" s="22"/>
      <c r="S125" s="22"/>
      <c r="T125" s="22"/>
      <c r="U125" s="264">
        <v>115</v>
      </c>
    </row>
    <row r="126" spans="1:21">
      <c r="B126" s="21"/>
      <c r="C126" s="22">
        <v>3540</v>
      </c>
      <c r="D126" s="22" t="s">
        <v>887</v>
      </c>
      <c r="E126" s="23"/>
      <c r="F126" s="24"/>
      <c r="G126" s="16"/>
      <c r="H126" s="2"/>
      <c r="I126" s="17"/>
      <c r="J126" s="25"/>
      <c r="K126" s="16"/>
      <c r="M126" s="25"/>
      <c r="N126" s="26"/>
      <c r="O126" s="27"/>
      <c r="P126" s="223">
        <f>VLOOKUP($C126,従業員情報!$A$2:'従業員情報'!$AM$2000,5,FALSE)</f>
        <v>42111</v>
      </c>
      <c r="Q126" s="223" t="str">
        <f>VLOOKUP($C126,従業員情報!$A$2:'従業員情報'!$AM$2000,6,FALSE)</f>
        <v>本社工場組立第１</v>
      </c>
      <c r="R126" s="22"/>
      <c r="S126" s="22"/>
      <c r="T126" s="22"/>
      <c r="U126" s="264">
        <v>127</v>
      </c>
    </row>
    <row r="127" spans="1:21">
      <c r="A127">
        <v>168</v>
      </c>
      <c r="B127" s="21">
        <v>182</v>
      </c>
      <c r="C127" s="22">
        <v>3184</v>
      </c>
      <c r="D127" s="22" t="s">
        <v>317</v>
      </c>
      <c r="E127" s="23" t="s">
        <v>15</v>
      </c>
      <c r="F127" s="24">
        <v>19840311</v>
      </c>
      <c r="G127" s="16">
        <f t="shared" ref="G127:G134" si="22">DATE(INT(F127/10000),INT(MOD(F127,10000)/100),MOD(F127,100))</f>
        <v>30752</v>
      </c>
      <c r="H127" s="2">
        <f t="shared" ref="H127:H134" si="23">DATEDIF(G127,$G$4,"Y")</f>
        <v>37</v>
      </c>
      <c r="I127" s="17"/>
      <c r="J127" s="25">
        <v>20020322</v>
      </c>
      <c r="K127" s="16">
        <f t="shared" ref="K127:K134" si="24">DATE(INT(J127/10000),INT(MOD(J127,10000)/100),MOD(J127,100))</f>
        <v>37337</v>
      </c>
      <c r="L127" s="2">
        <f t="shared" ref="L127:L134" si="25">DATEDIF(K127,$G$4,"Y")</f>
        <v>19</v>
      </c>
      <c r="M127" s="25" t="e">
        <f>VLOOKUP($C127,#REF!:#REF!,2,FALSE)</f>
        <v>#REF!</v>
      </c>
      <c r="N127" s="26"/>
      <c r="O127" s="27" t="s">
        <v>35</v>
      </c>
      <c r="P127" s="223">
        <f>VLOOKUP($C127,従業員情報!$A$2:'従業員情報'!$AM$2000,5,FALSE)</f>
        <v>42211</v>
      </c>
      <c r="Q127" s="223" t="str">
        <f>VLOOKUP($C127,従業員情報!$A$2:'従業員情報'!$AM$2000,6,FALSE)</f>
        <v>本社工場ＡＣ研磨</v>
      </c>
      <c r="R127" s="22">
        <v>1</v>
      </c>
      <c r="S127" s="22" t="s">
        <v>679</v>
      </c>
      <c r="T127" s="22">
        <v>1</v>
      </c>
      <c r="U127" s="264">
        <v>118</v>
      </c>
    </row>
    <row r="128" spans="1:21">
      <c r="A128">
        <v>182</v>
      </c>
      <c r="B128" s="21">
        <v>199</v>
      </c>
      <c r="C128" s="22">
        <v>3219</v>
      </c>
      <c r="D128" s="22" t="s">
        <v>326</v>
      </c>
      <c r="E128" s="23" t="s">
        <v>15</v>
      </c>
      <c r="F128" s="24">
        <v>19851029</v>
      </c>
      <c r="G128" s="16">
        <f t="shared" si="22"/>
        <v>31349</v>
      </c>
      <c r="H128" s="2">
        <f t="shared" si="23"/>
        <v>36</v>
      </c>
      <c r="I128" s="17"/>
      <c r="J128" s="25">
        <v>20040322</v>
      </c>
      <c r="K128" s="16">
        <f t="shared" si="24"/>
        <v>38068</v>
      </c>
      <c r="L128" s="2">
        <f t="shared" si="25"/>
        <v>17</v>
      </c>
      <c r="M128" s="25" t="e">
        <f>VLOOKUP($C128,#REF!:#REF!,2,FALSE)</f>
        <v>#REF!</v>
      </c>
      <c r="N128" s="26"/>
      <c r="O128" s="27" t="s">
        <v>35</v>
      </c>
      <c r="P128" s="223">
        <f>VLOOKUP($C128,従業員情報!$A$2:'従業員情報'!$AM$2000,5,FALSE)</f>
        <v>42211</v>
      </c>
      <c r="Q128" s="223" t="str">
        <f>VLOOKUP($C128,従業員情報!$A$2:'従業員情報'!$AM$2000,6,FALSE)</f>
        <v>本社工場ＡＣ研磨</v>
      </c>
      <c r="R128" s="22">
        <v>1</v>
      </c>
      <c r="S128" s="22" t="s">
        <v>679</v>
      </c>
      <c r="T128" s="22">
        <v>2</v>
      </c>
      <c r="U128" s="264">
        <v>119</v>
      </c>
    </row>
    <row r="129" spans="1:21">
      <c r="A129">
        <v>225</v>
      </c>
      <c r="B129" s="21">
        <v>255</v>
      </c>
      <c r="C129" s="271">
        <v>3350</v>
      </c>
      <c r="D129" s="271" t="s">
        <v>319</v>
      </c>
      <c r="E129" s="23" t="s">
        <v>15</v>
      </c>
      <c r="F129" s="24">
        <v>19910903</v>
      </c>
      <c r="G129" s="16">
        <f t="shared" si="22"/>
        <v>33484</v>
      </c>
      <c r="H129" s="2">
        <f t="shared" si="23"/>
        <v>30</v>
      </c>
      <c r="I129" s="17"/>
      <c r="J129" s="25">
        <v>20110321</v>
      </c>
      <c r="K129" s="16">
        <f t="shared" si="24"/>
        <v>40623</v>
      </c>
      <c r="L129" s="2">
        <f t="shared" si="25"/>
        <v>10</v>
      </c>
      <c r="M129" s="25" t="e">
        <f>VLOOKUP($C129,#REF!:#REF!,2,FALSE)</f>
        <v>#REF!</v>
      </c>
      <c r="N129" s="26"/>
      <c r="O129" s="27" t="s">
        <v>35</v>
      </c>
      <c r="P129" s="223">
        <f>VLOOKUP($C129,従業員情報!$A$2:'従業員情報'!$AM$2000,5,FALSE)</f>
        <v>42211</v>
      </c>
      <c r="Q129" s="223" t="str">
        <f>VLOOKUP($C129,従業員情報!$A$2:'従業員情報'!$AM$2000,6,FALSE)</f>
        <v>本社工場ＡＣ研磨</v>
      </c>
      <c r="R129" s="271">
        <v>1</v>
      </c>
      <c r="S129" s="271" t="s">
        <v>679</v>
      </c>
      <c r="T129" s="271">
        <v>1</v>
      </c>
      <c r="U129" s="264">
        <v>120</v>
      </c>
    </row>
    <row r="130" spans="1:21">
      <c r="A130">
        <v>242</v>
      </c>
      <c r="B130" s="21">
        <v>283</v>
      </c>
      <c r="C130" s="22">
        <v>3398</v>
      </c>
      <c r="D130" s="22" t="s">
        <v>327</v>
      </c>
      <c r="E130" s="23" t="s">
        <v>15</v>
      </c>
      <c r="F130" s="24">
        <v>19950211</v>
      </c>
      <c r="G130" s="16">
        <f t="shared" si="22"/>
        <v>34741</v>
      </c>
      <c r="H130" s="2">
        <f t="shared" si="23"/>
        <v>27</v>
      </c>
      <c r="I130" s="17"/>
      <c r="J130" s="25">
        <v>20130321</v>
      </c>
      <c r="K130" s="16">
        <f t="shared" si="24"/>
        <v>41354</v>
      </c>
      <c r="L130" s="2">
        <f t="shared" si="25"/>
        <v>8</v>
      </c>
      <c r="M130" s="25" t="e">
        <f>VLOOKUP($C130,#REF!:#REF!,2,FALSE)</f>
        <v>#REF!</v>
      </c>
      <c r="N130" s="26"/>
      <c r="O130" s="27" t="s">
        <v>35</v>
      </c>
      <c r="P130" s="223">
        <f>VLOOKUP($C130,従業員情報!$A$2:'従業員情報'!$AM$2000,5,FALSE)</f>
        <v>42211</v>
      </c>
      <c r="Q130" s="223" t="str">
        <f>VLOOKUP($C130,従業員情報!$A$2:'従業員情報'!$AM$2000,6,FALSE)</f>
        <v>本社工場ＡＣ研磨</v>
      </c>
      <c r="R130" s="22">
        <v>1</v>
      </c>
      <c r="S130" s="22" t="s">
        <v>679</v>
      </c>
      <c r="T130" s="22">
        <v>2</v>
      </c>
      <c r="U130" s="264">
        <v>121</v>
      </c>
    </row>
    <row r="131" spans="1:21">
      <c r="A131">
        <v>266</v>
      </c>
      <c r="B131" s="21">
        <v>321</v>
      </c>
      <c r="C131" s="22">
        <v>3457</v>
      </c>
      <c r="D131" s="22" t="s">
        <v>328</v>
      </c>
      <c r="E131" s="23" t="s">
        <v>15</v>
      </c>
      <c r="F131" s="24">
        <v>19971125</v>
      </c>
      <c r="G131" s="16">
        <f t="shared" si="22"/>
        <v>35759</v>
      </c>
      <c r="H131" s="2">
        <f t="shared" si="23"/>
        <v>24</v>
      </c>
      <c r="I131" s="17"/>
      <c r="J131" s="25">
        <v>20160401</v>
      </c>
      <c r="K131" s="16">
        <f t="shared" si="24"/>
        <v>42461</v>
      </c>
      <c r="L131" s="2">
        <f t="shared" si="25"/>
        <v>5</v>
      </c>
      <c r="M131" s="25" t="e">
        <f>VLOOKUP($C131,#REF!:#REF!,2,FALSE)</f>
        <v>#REF!</v>
      </c>
      <c r="N131" s="26"/>
      <c r="O131" s="27" t="s">
        <v>35</v>
      </c>
      <c r="P131" s="223">
        <f>VLOOKUP($C131,従業員情報!$A$2:'従業員情報'!$AM$2000,5,FALSE)</f>
        <v>42211</v>
      </c>
      <c r="Q131" s="223" t="str">
        <f>VLOOKUP($C131,従業員情報!$A$2:'従業員情報'!$AM$2000,6,FALSE)</f>
        <v>本社工場ＡＣ研磨</v>
      </c>
      <c r="R131" s="22">
        <v>1</v>
      </c>
      <c r="S131" s="22" t="s">
        <v>679</v>
      </c>
      <c r="T131" s="22">
        <v>2</v>
      </c>
      <c r="U131" s="264">
        <v>122</v>
      </c>
    </row>
    <row r="132" spans="1:21">
      <c r="A132">
        <v>361</v>
      </c>
      <c r="B132" s="21">
        <v>433</v>
      </c>
      <c r="C132" s="22">
        <v>3988</v>
      </c>
      <c r="D132" s="22" t="s">
        <v>325</v>
      </c>
      <c r="E132" s="23" t="s">
        <v>15</v>
      </c>
      <c r="F132" s="24">
        <v>19730609</v>
      </c>
      <c r="G132" s="16">
        <f t="shared" si="22"/>
        <v>26824</v>
      </c>
      <c r="H132" s="2">
        <f t="shared" si="23"/>
        <v>48</v>
      </c>
      <c r="I132" s="17"/>
      <c r="J132" s="25">
        <v>20071021</v>
      </c>
      <c r="K132" s="16">
        <f t="shared" si="24"/>
        <v>39376</v>
      </c>
      <c r="L132" s="2">
        <f t="shared" si="25"/>
        <v>14</v>
      </c>
      <c r="M132" s="25" t="e">
        <f>VLOOKUP($C132,#REF!:#REF!,2,FALSE)</f>
        <v>#REF!</v>
      </c>
      <c r="N132" s="26"/>
      <c r="O132" s="27" t="s">
        <v>19</v>
      </c>
      <c r="P132" s="223">
        <f>VLOOKUP($C132,従業員情報!$A$2:'従業員情報'!$AM$2000,5,FALSE)</f>
        <v>42211</v>
      </c>
      <c r="Q132" s="223" t="str">
        <f>VLOOKUP($C132,従業員情報!$A$2:'従業員情報'!$AM$2000,6,FALSE)</f>
        <v>本社工場ＡＣ研磨</v>
      </c>
      <c r="R132" s="22">
        <v>1</v>
      </c>
      <c r="S132" s="22" t="s">
        <v>679</v>
      </c>
      <c r="T132" s="22">
        <v>2</v>
      </c>
      <c r="U132" s="264">
        <v>123</v>
      </c>
    </row>
    <row r="133" spans="1:21">
      <c r="A133">
        <v>377</v>
      </c>
      <c r="B133" s="21">
        <v>453</v>
      </c>
      <c r="C133" s="22">
        <v>5111</v>
      </c>
      <c r="D133" s="22" t="s">
        <v>322</v>
      </c>
      <c r="E133" s="23" t="s">
        <v>15</v>
      </c>
      <c r="F133" s="24">
        <v>19680901</v>
      </c>
      <c r="G133" s="16">
        <f t="shared" si="22"/>
        <v>25082</v>
      </c>
      <c r="H133" s="2">
        <f t="shared" si="23"/>
        <v>53</v>
      </c>
      <c r="I133" s="17"/>
      <c r="J133" s="25">
        <v>19840327</v>
      </c>
      <c r="K133" s="16">
        <f t="shared" si="24"/>
        <v>30768</v>
      </c>
      <c r="L133" s="2">
        <f t="shared" si="25"/>
        <v>37</v>
      </c>
      <c r="M133" s="25" t="e">
        <f>VLOOKUP($C133,#REF!:#REF!,2,FALSE)</f>
        <v>#REF!</v>
      </c>
      <c r="N133" s="26"/>
      <c r="O133" s="27" t="s">
        <v>77</v>
      </c>
      <c r="P133" s="223">
        <f>VLOOKUP($C133,従業員情報!$A$2:'従業員情報'!$AM$2000,5,FALSE)</f>
        <v>42211</v>
      </c>
      <c r="Q133" s="223" t="str">
        <f>VLOOKUP($C133,従業員情報!$A$2:'従業員情報'!$AM$2000,6,FALSE)</f>
        <v>本社工場ＡＣ研磨</v>
      </c>
      <c r="R133" s="22">
        <v>1</v>
      </c>
      <c r="S133" s="22" t="s">
        <v>679</v>
      </c>
      <c r="T133" s="22">
        <v>2</v>
      </c>
      <c r="U133" s="264">
        <v>124</v>
      </c>
    </row>
    <row r="134" spans="1:21">
      <c r="A134">
        <v>380</v>
      </c>
      <c r="B134" s="21">
        <v>457</v>
      </c>
      <c r="C134" s="22">
        <v>5132</v>
      </c>
      <c r="D134" s="22" t="s">
        <v>323</v>
      </c>
      <c r="E134" s="23" t="s">
        <v>15</v>
      </c>
      <c r="F134" s="24">
        <v>19691206</v>
      </c>
      <c r="G134" s="16">
        <f t="shared" si="22"/>
        <v>25543</v>
      </c>
      <c r="H134" s="2">
        <f t="shared" si="23"/>
        <v>52</v>
      </c>
      <c r="I134" s="17"/>
      <c r="J134" s="25">
        <v>19850326</v>
      </c>
      <c r="K134" s="16">
        <f t="shared" si="24"/>
        <v>31132</v>
      </c>
      <c r="L134" s="2">
        <f t="shared" si="25"/>
        <v>36</v>
      </c>
      <c r="M134" s="25" t="e">
        <f>VLOOKUP($C134,#REF!:#REF!,2,FALSE)</f>
        <v>#REF!</v>
      </c>
      <c r="N134" s="26"/>
      <c r="O134" s="27" t="s">
        <v>77</v>
      </c>
      <c r="P134" s="223">
        <f>VLOOKUP($C134,従業員情報!$A$2:'従業員情報'!$AM$2000,5,FALSE)</f>
        <v>42211</v>
      </c>
      <c r="Q134" s="223" t="str">
        <f>VLOOKUP($C134,従業員情報!$A$2:'従業員情報'!$AM$2000,6,FALSE)</f>
        <v>本社工場ＡＣ研磨</v>
      </c>
      <c r="R134" s="22">
        <v>1</v>
      </c>
      <c r="S134" s="22" t="s">
        <v>679</v>
      </c>
      <c r="T134" s="22">
        <v>2</v>
      </c>
      <c r="U134" s="264">
        <v>125</v>
      </c>
    </row>
    <row r="135" spans="1:21">
      <c r="B135" s="21"/>
      <c r="C135" s="22">
        <v>1441</v>
      </c>
      <c r="D135" s="22" t="s">
        <v>867</v>
      </c>
      <c r="E135" s="23"/>
      <c r="F135" s="24"/>
      <c r="G135" s="16"/>
      <c r="H135" s="2"/>
      <c r="I135" s="17"/>
      <c r="J135" s="25"/>
      <c r="K135" s="16"/>
      <c r="M135" s="25"/>
      <c r="N135" s="26"/>
      <c r="O135" s="27"/>
      <c r="P135" s="223">
        <f>VLOOKUP($C135,従業員情報!$A$2:'従業員情報'!$AM$2000,5,FALSE)</f>
        <v>42211</v>
      </c>
      <c r="Q135" s="223" t="str">
        <f>VLOOKUP($C135,従業員情報!$A$2:'従業員情報'!$AM$2000,6,FALSE)</f>
        <v>本社工場ＡＣ研磨</v>
      </c>
      <c r="R135" s="22"/>
      <c r="S135" s="22"/>
      <c r="T135" s="22"/>
      <c r="U135" s="264">
        <v>126</v>
      </c>
    </row>
    <row r="136" spans="1:21" s="264" customFormat="1">
      <c r="B136" s="21"/>
      <c r="C136" s="271">
        <v>3541</v>
      </c>
      <c r="D136" s="271" t="s">
        <v>888</v>
      </c>
      <c r="E136" s="23"/>
      <c r="F136" s="24"/>
      <c r="G136" s="16"/>
      <c r="H136" s="2"/>
      <c r="I136" s="17"/>
      <c r="J136" s="25"/>
      <c r="K136" s="16"/>
      <c r="L136" s="2"/>
      <c r="M136" s="25"/>
      <c r="N136" s="26"/>
      <c r="O136" s="27"/>
      <c r="P136" s="223">
        <f>VLOOKUP($C136,従業員情報!$A$2:'従業員情報'!$AM$2000,5,FALSE)</f>
        <v>42211</v>
      </c>
      <c r="Q136" s="223" t="str">
        <f>VLOOKUP($C136,従業員情報!$A$2:'従業員情報'!$AM$2000,6,FALSE)</f>
        <v>本社工場ＡＣ研磨</v>
      </c>
      <c r="R136" s="271"/>
      <c r="S136" s="271"/>
      <c r="T136" s="271"/>
      <c r="U136" s="264">
        <v>128</v>
      </c>
    </row>
    <row r="137" spans="1:21">
      <c r="B137" s="21"/>
      <c r="C137" s="22">
        <v>1454</v>
      </c>
      <c r="D137" s="22" t="s">
        <v>949</v>
      </c>
      <c r="E137" s="23"/>
      <c r="F137" s="24"/>
      <c r="G137" s="16"/>
      <c r="H137" s="2"/>
      <c r="I137" s="17"/>
      <c r="J137" s="25"/>
      <c r="K137" s="16"/>
      <c r="M137" s="25"/>
      <c r="N137" s="26"/>
      <c r="O137" s="27"/>
      <c r="P137" s="223">
        <f>VLOOKUP($C137,従業員情報!$A$2:'従業員情報'!$AM$2000,5,FALSE)</f>
        <v>42211</v>
      </c>
      <c r="Q137" s="223" t="str">
        <f>VLOOKUP($C137,従業員情報!$A$2:'従業員情報'!$AM$2000,6,FALSE)</f>
        <v>本社工場ＡＣ研磨</v>
      </c>
      <c r="R137" s="22"/>
      <c r="S137" s="22"/>
      <c r="T137" s="22"/>
      <c r="U137" s="264">
        <v>380</v>
      </c>
    </row>
    <row r="138" spans="1:21">
      <c r="A138">
        <v>98</v>
      </c>
      <c r="B138" s="21">
        <v>99</v>
      </c>
      <c r="C138" s="22">
        <v>2825</v>
      </c>
      <c r="D138" s="22" t="s">
        <v>334</v>
      </c>
      <c r="E138" s="23" t="s">
        <v>15</v>
      </c>
      <c r="F138" s="24">
        <v>19690623</v>
      </c>
      <c r="G138" s="16">
        <f t="shared" ref="G138:G143" si="26">DATE(INT(F138/10000),INT(MOD(F138,10000)/100),MOD(F138,100))</f>
        <v>25377</v>
      </c>
      <c r="H138" s="2">
        <f t="shared" ref="H138:H143" si="27">DATEDIF(G138,$G$4,"Y")</f>
        <v>52</v>
      </c>
      <c r="I138" s="17"/>
      <c r="J138" s="25">
        <v>19880324</v>
      </c>
      <c r="K138" s="16">
        <f t="shared" ref="K138:K144" si="28">DATE(INT(J138/10000),INT(MOD(J138,10000)/100),MOD(J138,100))</f>
        <v>32226</v>
      </c>
      <c r="L138" s="2">
        <f t="shared" ref="L138:L144" si="29">DATEDIF(K138,$G$4,"Y")</f>
        <v>33</v>
      </c>
      <c r="M138" s="25" t="e">
        <f>VLOOKUP($C138,#REF!:#REF!,2,FALSE)</f>
        <v>#REF!</v>
      </c>
      <c r="N138" s="26"/>
      <c r="O138" s="27" t="s">
        <v>35</v>
      </c>
      <c r="P138" s="223">
        <f>VLOOKUP($C138,従業員情報!$A$2:'従業員情報'!$AM$2000,5,FALSE)</f>
        <v>42311</v>
      </c>
      <c r="Q138" s="223" t="str">
        <f>VLOOKUP($C138,従業員情報!$A$2:'従業員情報'!$AM$2000,6,FALSE)</f>
        <v>本社工場機械第２</v>
      </c>
      <c r="R138" s="22">
        <v>1</v>
      </c>
      <c r="S138" s="22" t="s">
        <v>679</v>
      </c>
      <c r="T138" s="22">
        <v>2</v>
      </c>
      <c r="U138" s="264">
        <v>129</v>
      </c>
    </row>
    <row r="139" spans="1:21">
      <c r="A139">
        <v>180</v>
      </c>
      <c r="B139" s="21">
        <v>197</v>
      </c>
      <c r="C139" s="22">
        <v>3215</v>
      </c>
      <c r="D139" s="22" t="s">
        <v>99</v>
      </c>
      <c r="E139" s="23" t="s">
        <v>15</v>
      </c>
      <c r="F139" s="24">
        <v>19860121</v>
      </c>
      <c r="G139" s="16">
        <f t="shared" si="26"/>
        <v>31433</v>
      </c>
      <c r="H139" s="2">
        <f t="shared" si="27"/>
        <v>36</v>
      </c>
      <c r="I139" s="17"/>
      <c r="J139" s="25">
        <v>20040322</v>
      </c>
      <c r="K139" s="16">
        <f t="shared" si="28"/>
        <v>38068</v>
      </c>
      <c r="L139" s="2">
        <f t="shared" si="29"/>
        <v>17</v>
      </c>
      <c r="M139" s="25" t="e">
        <f>VLOOKUP($C139,#REF!:#REF!,2,FALSE)</f>
        <v>#REF!</v>
      </c>
      <c r="N139" s="26"/>
      <c r="O139" s="27" t="s">
        <v>35</v>
      </c>
      <c r="P139" s="223">
        <f>VLOOKUP($C139,従業員情報!$A$2:'従業員情報'!$AM$2000,5,FALSE)</f>
        <v>42311</v>
      </c>
      <c r="Q139" s="223" t="str">
        <f>VLOOKUP($C139,従業員情報!$A$2:'従業員情報'!$AM$2000,6,FALSE)</f>
        <v>本社工場機械第２</v>
      </c>
      <c r="R139" s="22">
        <v>0</v>
      </c>
      <c r="S139" s="22"/>
      <c r="T139" s="22">
        <v>1</v>
      </c>
      <c r="U139" s="264">
        <v>131</v>
      </c>
    </row>
    <row r="140" spans="1:21">
      <c r="A140">
        <v>236</v>
      </c>
      <c r="B140" s="21">
        <v>269</v>
      </c>
      <c r="C140" s="22">
        <v>3372</v>
      </c>
      <c r="D140" s="22" t="s">
        <v>336</v>
      </c>
      <c r="E140" s="23" t="s">
        <v>15</v>
      </c>
      <c r="F140" s="24">
        <v>19930911</v>
      </c>
      <c r="G140" s="16">
        <f t="shared" si="26"/>
        <v>34223</v>
      </c>
      <c r="H140" s="2">
        <f t="shared" si="27"/>
        <v>28</v>
      </c>
      <c r="I140" s="17"/>
      <c r="J140" s="25">
        <v>20120321</v>
      </c>
      <c r="K140" s="16">
        <f t="shared" si="28"/>
        <v>40989</v>
      </c>
      <c r="L140" s="2">
        <f t="shared" si="29"/>
        <v>9</v>
      </c>
      <c r="M140" s="25" t="e">
        <f>VLOOKUP($C140,#REF!:#REF!,2,FALSE)</f>
        <v>#REF!</v>
      </c>
      <c r="N140" s="26"/>
      <c r="O140" s="27" t="s">
        <v>35</v>
      </c>
      <c r="P140" s="223">
        <f>VLOOKUP($C140,従業員情報!$A$2:'従業員情報'!$AM$2000,5,FALSE)</f>
        <v>42311</v>
      </c>
      <c r="Q140" s="223" t="str">
        <f>VLOOKUP($C140,従業員情報!$A$2:'従業員情報'!$AM$2000,6,FALSE)</f>
        <v>本社工場機械第２</v>
      </c>
      <c r="R140" s="22">
        <v>1</v>
      </c>
      <c r="S140" s="22" t="s">
        <v>679</v>
      </c>
      <c r="T140" s="22">
        <v>2</v>
      </c>
      <c r="U140" s="264">
        <v>132</v>
      </c>
    </row>
    <row r="141" spans="1:21">
      <c r="A141">
        <v>315</v>
      </c>
      <c r="B141" s="21">
        <v>374</v>
      </c>
      <c r="C141" s="22">
        <v>3805</v>
      </c>
      <c r="D141" s="22" t="s">
        <v>332</v>
      </c>
      <c r="E141" s="23" t="s">
        <v>15</v>
      </c>
      <c r="F141" s="24">
        <v>19690803</v>
      </c>
      <c r="G141" s="16">
        <f t="shared" si="26"/>
        <v>25418</v>
      </c>
      <c r="H141" s="2">
        <f t="shared" si="27"/>
        <v>52</v>
      </c>
      <c r="I141" s="17"/>
      <c r="J141" s="25">
        <v>19900710</v>
      </c>
      <c r="K141" s="16">
        <f t="shared" si="28"/>
        <v>33064</v>
      </c>
      <c r="L141" s="2">
        <f t="shared" si="29"/>
        <v>31</v>
      </c>
      <c r="M141" s="25" t="e">
        <f>VLOOKUP($C141,#REF!:#REF!,2,FALSE)</f>
        <v>#REF!</v>
      </c>
      <c r="N141" s="26"/>
      <c r="O141" s="27" t="s">
        <v>35</v>
      </c>
      <c r="P141" s="223">
        <f>VLOOKUP($C141,従業員情報!$A$2:'従業員情報'!$AM$2000,5,FALSE)</f>
        <v>42311</v>
      </c>
      <c r="Q141" s="223" t="str">
        <f>VLOOKUP($C141,従業員情報!$A$2:'従業員情報'!$AM$2000,6,FALSE)</f>
        <v>本社工場機械第２</v>
      </c>
      <c r="R141" s="22">
        <v>1</v>
      </c>
      <c r="S141" s="22" t="s">
        <v>679</v>
      </c>
      <c r="T141" s="22">
        <v>1</v>
      </c>
      <c r="U141" s="264">
        <v>134</v>
      </c>
    </row>
    <row r="142" spans="1:21">
      <c r="A142">
        <v>374</v>
      </c>
      <c r="B142" s="21">
        <v>450</v>
      </c>
      <c r="C142" s="22">
        <v>5067</v>
      </c>
      <c r="D142" s="22" t="s">
        <v>330</v>
      </c>
      <c r="E142" s="23" t="s">
        <v>15</v>
      </c>
      <c r="F142" s="24">
        <v>19650508</v>
      </c>
      <c r="G142" s="16">
        <f t="shared" si="26"/>
        <v>23870</v>
      </c>
      <c r="H142" s="2">
        <f t="shared" si="27"/>
        <v>56</v>
      </c>
      <c r="I142" s="17"/>
      <c r="J142" s="25">
        <v>19830325</v>
      </c>
      <c r="K142" s="16">
        <f t="shared" si="28"/>
        <v>30400</v>
      </c>
      <c r="L142" s="2">
        <f t="shared" si="29"/>
        <v>38</v>
      </c>
      <c r="M142" s="25" t="e">
        <f>VLOOKUP($C142,#REF!:#REF!,2,FALSE)</f>
        <v>#REF!</v>
      </c>
      <c r="N142" s="26"/>
      <c r="O142" s="27" t="s">
        <v>75</v>
      </c>
      <c r="P142" s="223">
        <f>VLOOKUP($C142,従業員情報!$A$2:'従業員情報'!$AM$2000,5,FALSE)</f>
        <v>42311</v>
      </c>
      <c r="Q142" s="223" t="str">
        <f>VLOOKUP($C142,従業員情報!$A$2:'従業員情報'!$AM$2000,6,FALSE)</f>
        <v>本社工場機械第２</v>
      </c>
      <c r="R142" s="22">
        <v>1</v>
      </c>
      <c r="S142" s="22" t="s">
        <v>679</v>
      </c>
      <c r="T142" s="22">
        <v>1</v>
      </c>
      <c r="U142" s="264">
        <v>135</v>
      </c>
    </row>
    <row r="143" spans="1:21">
      <c r="A143">
        <v>113</v>
      </c>
      <c r="B143" s="21">
        <v>116</v>
      </c>
      <c r="C143" s="22">
        <v>2936</v>
      </c>
      <c r="D143" s="22" t="s">
        <v>304</v>
      </c>
      <c r="E143" s="23" t="s">
        <v>15</v>
      </c>
      <c r="F143" s="24">
        <v>19750215</v>
      </c>
      <c r="G143" s="16">
        <f t="shared" si="26"/>
        <v>27440</v>
      </c>
      <c r="H143" s="2">
        <f t="shared" si="27"/>
        <v>47</v>
      </c>
      <c r="I143" s="17"/>
      <c r="J143" s="25">
        <v>19930322</v>
      </c>
      <c r="K143" s="16">
        <f t="shared" si="28"/>
        <v>34050</v>
      </c>
      <c r="L143" s="2">
        <f t="shared" si="29"/>
        <v>28</v>
      </c>
      <c r="M143" s="25" t="e">
        <f>VLOOKUP($C143,#REF!:#REF!,2,FALSE)</f>
        <v>#REF!</v>
      </c>
      <c r="N143" s="26"/>
      <c r="O143" s="27" t="s">
        <v>35</v>
      </c>
      <c r="P143" s="223">
        <f>VLOOKUP($C143,従業員情報!$A$2:'従業員情報'!$AM$2000,5,FALSE)</f>
        <v>43011</v>
      </c>
      <c r="Q143" s="223" t="str">
        <f>VLOOKUP($C143,従業員情報!$A$2:'従業員情報'!$AM$2000,6,FALSE)</f>
        <v>本社工場ＴＰ</v>
      </c>
      <c r="R143" s="22">
        <v>1</v>
      </c>
      <c r="S143" s="22" t="s">
        <v>679</v>
      </c>
      <c r="T143" s="22">
        <v>1</v>
      </c>
      <c r="U143" s="264">
        <v>102</v>
      </c>
    </row>
    <row r="144" spans="1:21">
      <c r="A144">
        <v>61</v>
      </c>
      <c r="B144" s="21"/>
      <c r="C144" s="22">
        <v>1429</v>
      </c>
      <c r="D144" s="22" t="s">
        <v>799</v>
      </c>
      <c r="E144" s="23" t="s">
        <v>800</v>
      </c>
      <c r="F144" s="24"/>
      <c r="G144" s="16"/>
      <c r="H144" s="2"/>
      <c r="I144" s="17"/>
      <c r="J144" s="25">
        <v>20220601</v>
      </c>
      <c r="K144" s="16">
        <f t="shared" si="28"/>
        <v>44713</v>
      </c>
      <c r="L144" s="2" t="e">
        <f t="shared" si="29"/>
        <v>#NUM!</v>
      </c>
      <c r="M144" s="25" t="e">
        <f>VLOOKUP($C144,#REF!:#REF!,2,FALSE)</f>
        <v>#REF!</v>
      </c>
      <c r="N144" s="26"/>
      <c r="O144" s="27"/>
      <c r="P144" s="223">
        <f>VLOOKUP($C144,従業員情報!$A$2:'従業員情報'!$AM$2000,5,FALSE)</f>
        <v>43011</v>
      </c>
      <c r="Q144" s="223" t="str">
        <f>VLOOKUP($C144,従業員情報!$A$2:'従業員情報'!$AM$2000,6,FALSE)</f>
        <v>本社工場ＴＰ</v>
      </c>
      <c r="R144" s="22"/>
      <c r="S144" s="22"/>
      <c r="T144" s="22"/>
      <c r="U144" s="264">
        <v>136</v>
      </c>
    </row>
    <row r="145" spans="1:21">
      <c r="A145">
        <v>65</v>
      </c>
      <c r="B145" s="21"/>
      <c r="C145" s="22">
        <v>1434</v>
      </c>
      <c r="D145" s="22" t="s">
        <v>821</v>
      </c>
      <c r="E145" s="23" t="s">
        <v>800</v>
      </c>
      <c r="F145" s="24"/>
      <c r="G145" s="16"/>
      <c r="H145" s="2"/>
      <c r="I145" s="17"/>
      <c r="J145" s="25"/>
      <c r="K145" s="16"/>
      <c r="M145" s="25" t="e">
        <f>VLOOKUP($C145,#REF!:#REF!,2,FALSE)</f>
        <v>#REF!</v>
      </c>
      <c r="N145" s="26"/>
      <c r="O145" s="27"/>
      <c r="P145" s="223">
        <f>VLOOKUP($C145,従業員情報!$A$2:'従業員情報'!$AM$2000,5,FALSE)</f>
        <v>43011</v>
      </c>
      <c r="Q145" s="223" t="str">
        <f>VLOOKUP($C145,従業員情報!$A$2:'従業員情報'!$AM$2000,6,FALSE)</f>
        <v>本社工場ＴＰ</v>
      </c>
      <c r="R145" s="22"/>
      <c r="S145" s="22"/>
      <c r="T145" s="22"/>
      <c r="U145" s="264">
        <v>137</v>
      </c>
    </row>
    <row r="146" spans="1:21">
      <c r="B146" s="21"/>
      <c r="C146" s="22">
        <v>1445</v>
      </c>
      <c r="D146" s="22" t="s">
        <v>875</v>
      </c>
      <c r="E146" s="23"/>
      <c r="F146" s="24"/>
      <c r="G146" s="16"/>
      <c r="H146" s="2"/>
      <c r="I146" s="17"/>
      <c r="J146" s="25"/>
      <c r="K146" s="16"/>
      <c r="M146" s="25"/>
      <c r="N146" s="26"/>
      <c r="O146" s="27"/>
      <c r="P146" s="223">
        <f>VLOOKUP($C146,従業員情報!$A$2:'従業員情報'!$AM$2000,5,FALSE)</f>
        <v>43011</v>
      </c>
      <c r="Q146" s="223" t="str">
        <f>VLOOKUP($C146,従業員情報!$A$2:'従業員情報'!$AM$2000,6,FALSE)</f>
        <v>本社工場ＴＰ</v>
      </c>
      <c r="R146" s="22"/>
      <c r="S146" s="22"/>
      <c r="T146" s="22"/>
      <c r="U146" s="264">
        <v>138</v>
      </c>
    </row>
    <row r="147" spans="1:21">
      <c r="A147">
        <v>112</v>
      </c>
      <c r="B147" s="21">
        <v>115</v>
      </c>
      <c r="C147" s="22">
        <v>2934</v>
      </c>
      <c r="D147" s="22" t="s">
        <v>801</v>
      </c>
      <c r="E147" s="23" t="s">
        <v>15</v>
      </c>
      <c r="F147" s="24">
        <v>19740924</v>
      </c>
      <c r="G147" s="16">
        <f t="shared" ref="G147:G172" si="30">DATE(INT(F147/10000),INT(MOD(F147,10000)/100),MOD(F147,100))</f>
        <v>27296</v>
      </c>
      <c r="H147" s="2">
        <f t="shared" ref="H147:H172" si="31">DATEDIF(G147,$G$4,"Y")</f>
        <v>47</v>
      </c>
      <c r="I147" s="17"/>
      <c r="J147" s="25">
        <v>19930322</v>
      </c>
      <c r="K147" s="16">
        <f t="shared" ref="K147:K172" si="32">DATE(INT(J147/10000),INT(MOD(J147,10000)/100),MOD(J147,100))</f>
        <v>34050</v>
      </c>
      <c r="L147" s="2">
        <f t="shared" ref="L147:L172" si="33">DATEDIF(K147,$G$4,"Y")</f>
        <v>28</v>
      </c>
      <c r="M147" s="25" t="e">
        <f>VLOOKUP($C147,#REF!:#REF!,2,FALSE)</f>
        <v>#REF!</v>
      </c>
      <c r="N147" s="26"/>
      <c r="O147" s="27" t="s">
        <v>35</v>
      </c>
      <c r="P147" s="223">
        <f>VLOOKUP($C147,従業員情報!$A$2:'従業員情報'!$AM$2000,5,FALSE)</f>
        <v>43011</v>
      </c>
      <c r="Q147" s="223" t="str">
        <f>VLOOKUP($C147,従業員情報!$A$2:'従業員情報'!$AM$2000,6,FALSE)</f>
        <v>本社工場ＴＰ</v>
      </c>
      <c r="R147" s="22">
        <v>1</v>
      </c>
      <c r="S147" s="22" t="s">
        <v>679</v>
      </c>
      <c r="T147" s="22">
        <v>2</v>
      </c>
      <c r="U147" s="264">
        <v>139</v>
      </c>
    </row>
    <row r="148" spans="1:21">
      <c r="A148">
        <v>132</v>
      </c>
      <c r="B148" s="21">
        <v>140</v>
      </c>
      <c r="C148" s="22">
        <v>3030</v>
      </c>
      <c r="D148" s="22" t="s">
        <v>348</v>
      </c>
      <c r="E148" s="23" t="s">
        <v>15</v>
      </c>
      <c r="F148" s="24">
        <v>19740619</v>
      </c>
      <c r="G148" s="16">
        <f t="shared" si="30"/>
        <v>27199</v>
      </c>
      <c r="H148" s="2">
        <f t="shared" si="31"/>
        <v>47</v>
      </c>
      <c r="I148" s="17"/>
      <c r="J148" s="25">
        <v>19950322</v>
      </c>
      <c r="K148" s="16">
        <f t="shared" si="32"/>
        <v>34780</v>
      </c>
      <c r="L148" s="2">
        <f t="shared" si="33"/>
        <v>26</v>
      </c>
      <c r="M148" s="25" t="e">
        <f>VLOOKUP($C148,#REF!:#REF!,2,FALSE)</f>
        <v>#REF!</v>
      </c>
      <c r="N148" s="26"/>
      <c r="O148" s="27" t="s">
        <v>19</v>
      </c>
      <c r="P148" s="223">
        <f>VLOOKUP($C148,従業員情報!$A$2:'従業員情報'!$AM$2000,5,FALSE)</f>
        <v>43011</v>
      </c>
      <c r="Q148" s="223" t="str">
        <f>VLOOKUP($C148,従業員情報!$A$2:'従業員情報'!$AM$2000,6,FALSE)</f>
        <v>本社工場ＴＰ</v>
      </c>
      <c r="R148" s="22">
        <v>1</v>
      </c>
      <c r="S148" s="22" t="s">
        <v>679</v>
      </c>
      <c r="T148" s="22">
        <v>1</v>
      </c>
      <c r="U148" s="264">
        <v>140</v>
      </c>
    </row>
    <row r="149" spans="1:21">
      <c r="A149">
        <v>183</v>
      </c>
      <c r="B149" s="21">
        <v>200</v>
      </c>
      <c r="C149" s="22">
        <v>3225</v>
      </c>
      <c r="D149" s="22" t="s">
        <v>351</v>
      </c>
      <c r="E149" s="23" t="s">
        <v>15</v>
      </c>
      <c r="F149" s="24">
        <v>19850414</v>
      </c>
      <c r="G149" s="16">
        <f t="shared" si="30"/>
        <v>31151</v>
      </c>
      <c r="H149" s="2">
        <f t="shared" si="31"/>
        <v>36</v>
      </c>
      <c r="I149" s="17"/>
      <c r="J149" s="25">
        <v>20040322</v>
      </c>
      <c r="K149" s="16">
        <f t="shared" si="32"/>
        <v>38068</v>
      </c>
      <c r="L149" s="2">
        <f t="shared" si="33"/>
        <v>17</v>
      </c>
      <c r="M149" s="25" t="e">
        <f>VLOOKUP($C149,#REF!:#REF!,2,FALSE)</f>
        <v>#REF!</v>
      </c>
      <c r="N149" s="26"/>
      <c r="O149" s="27" t="s">
        <v>35</v>
      </c>
      <c r="P149" s="223">
        <f>VLOOKUP($C149,従業員情報!$A$2:'従業員情報'!$AM$2000,5,FALSE)</f>
        <v>43011</v>
      </c>
      <c r="Q149" s="223" t="str">
        <f>VLOOKUP($C149,従業員情報!$A$2:'従業員情報'!$AM$2000,6,FALSE)</f>
        <v>本社工場ＴＰ</v>
      </c>
      <c r="R149" s="22">
        <v>1</v>
      </c>
      <c r="S149" s="22" t="s">
        <v>679</v>
      </c>
      <c r="T149" s="22">
        <v>1</v>
      </c>
      <c r="U149" s="264">
        <v>141</v>
      </c>
    </row>
    <row r="150" spans="1:21">
      <c r="A150">
        <v>196</v>
      </c>
      <c r="B150" s="21">
        <v>214</v>
      </c>
      <c r="C150" s="22">
        <v>3255</v>
      </c>
      <c r="D150" s="22" t="s">
        <v>358</v>
      </c>
      <c r="E150" s="23" t="s">
        <v>15</v>
      </c>
      <c r="F150" s="24">
        <v>19870615</v>
      </c>
      <c r="G150" s="16">
        <f t="shared" si="30"/>
        <v>31943</v>
      </c>
      <c r="H150" s="2">
        <f t="shared" si="31"/>
        <v>34</v>
      </c>
      <c r="I150" s="17"/>
      <c r="J150" s="25">
        <v>20060321</v>
      </c>
      <c r="K150" s="16">
        <f t="shared" si="32"/>
        <v>38797</v>
      </c>
      <c r="L150" s="2">
        <f t="shared" si="33"/>
        <v>15</v>
      </c>
      <c r="M150" s="25" t="e">
        <f>VLOOKUP($C150,#REF!:#REF!,2,FALSE)</f>
        <v>#REF!</v>
      </c>
      <c r="N150" s="26"/>
      <c r="O150" s="27" t="s">
        <v>35</v>
      </c>
      <c r="P150" s="223">
        <f>VLOOKUP($C150,従業員情報!$A$2:'従業員情報'!$AM$2000,5,FALSE)</f>
        <v>43011</v>
      </c>
      <c r="Q150" s="223" t="str">
        <f>VLOOKUP($C150,従業員情報!$A$2:'従業員情報'!$AM$2000,6,FALSE)</f>
        <v>本社工場ＴＰ</v>
      </c>
      <c r="R150" s="22">
        <v>1</v>
      </c>
      <c r="S150" s="22" t="s">
        <v>679</v>
      </c>
      <c r="T150" s="22">
        <v>2</v>
      </c>
      <c r="U150" s="264">
        <v>142</v>
      </c>
    </row>
    <row r="151" spans="1:21">
      <c r="A151">
        <v>201</v>
      </c>
      <c r="B151" s="21">
        <v>220</v>
      </c>
      <c r="C151" s="22">
        <v>3273</v>
      </c>
      <c r="D151" s="22" t="s">
        <v>350</v>
      </c>
      <c r="E151" s="23" t="s">
        <v>15</v>
      </c>
      <c r="F151" s="24">
        <v>19850326</v>
      </c>
      <c r="G151" s="16">
        <f t="shared" si="30"/>
        <v>31132</v>
      </c>
      <c r="H151" s="2">
        <f t="shared" si="31"/>
        <v>36</v>
      </c>
      <c r="I151" s="17"/>
      <c r="J151" s="25">
        <v>20071021</v>
      </c>
      <c r="K151" s="16">
        <f t="shared" si="32"/>
        <v>39376</v>
      </c>
      <c r="L151" s="2">
        <f t="shared" si="33"/>
        <v>14</v>
      </c>
      <c r="M151" s="25" t="e">
        <f>VLOOKUP($C151,#REF!:#REF!,2,FALSE)</f>
        <v>#REF!</v>
      </c>
      <c r="N151" s="26"/>
      <c r="O151" s="27" t="s">
        <v>16</v>
      </c>
      <c r="P151" s="223">
        <f>VLOOKUP($C151,従業員情報!$A$2:'従業員情報'!$AM$2000,5,FALSE)</f>
        <v>43011</v>
      </c>
      <c r="Q151" s="223" t="str">
        <f>VLOOKUP($C151,従業員情報!$A$2:'従業員情報'!$AM$2000,6,FALSE)</f>
        <v>本社工場ＴＰ</v>
      </c>
      <c r="R151" s="22">
        <v>1</v>
      </c>
      <c r="S151" s="22" t="s">
        <v>679</v>
      </c>
      <c r="T151" s="22">
        <v>1</v>
      </c>
      <c r="U151" s="264">
        <v>143</v>
      </c>
    </row>
    <row r="152" spans="1:21">
      <c r="A152">
        <v>276</v>
      </c>
      <c r="B152" s="21">
        <v>335</v>
      </c>
      <c r="C152" s="22">
        <v>3479</v>
      </c>
      <c r="D152" s="22" t="s">
        <v>360</v>
      </c>
      <c r="E152" s="23" t="s">
        <v>15</v>
      </c>
      <c r="F152" s="24">
        <v>19980615</v>
      </c>
      <c r="G152" s="16">
        <f t="shared" si="30"/>
        <v>35961</v>
      </c>
      <c r="H152" s="2">
        <f t="shared" si="31"/>
        <v>23</v>
      </c>
      <c r="I152" s="17"/>
      <c r="J152" s="25">
        <v>20170403</v>
      </c>
      <c r="K152" s="16">
        <f t="shared" si="32"/>
        <v>42828</v>
      </c>
      <c r="L152" s="2">
        <f t="shared" si="33"/>
        <v>4</v>
      </c>
      <c r="M152" s="25" t="e">
        <f>VLOOKUP($C152,#REF!:#REF!,2,FALSE)</f>
        <v>#REF!</v>
      </c>
      <c r="N152" s="26"/>
      <c r="O152" s="27">
        <v>6</v>
      </c>
      <c r="P152" s="223">
        <f>VLOOKUP($C152,従業員情報!$A$2:'従業員情報'!$AM$2000,5,FALSE)</f>
        <v>43011</v>
      </c>
      <c r="Q152" s="223" t="str">
        <f>VLOOKUP($C152,従業員情報!$A$2:'従業員情報'!$AM$2000,6,FALSE)</f>
        <v>本社工場ＴＰ</v>
      </c>
      <c r="R152" s="22">
        <v>1</v>
      </c>
      <c r="S152" s="22" t="s">
        <v>679</v>
      </c>
      <c r="T152" s="22">
        <v>2</v>
      </c>
      <c r="U152" s="264">
        <v>144</v>
      </c>
    </row>
    <row r="153" spans="1:21">
      <c r="A153">
        <v>290</v>
      </c>
      <c r="B153" s="21">
        <v>355</v>
      </c>
      <c r="C153" s="22">
        <v>3504</v>
      </c>
      <c r="D153" s="22" t="s">
        <v>362</v>
      </c>
      <c r="E153" s="23" t="s">
        <v>15</v>
      </c>
      <c r="F153" s="24">
        <v>20010327</v>
      </c>
      <c r="G153" s="16">
        <f t="shared" si="30"/>
        <v>36977</v>
      </c>
      <c r="H153" s="2">
        <f t="shared" si="31"/>
        <v>20</v>
      </c>
      <c r="I153" s="17"/>
      <c r="J153" s="25">
        <v>20190401</v>
      </c>
      <c r="K153" s="16">
        <f t="shared" si="32"/>
        <v>43556</v>
      </c>
      <c r="L153" s="2">
        <f t="shared" si="33"/>
        <v>2</v>
      </c>
      <c r="M153" s="25" t="e">
        <f>VLOOKUP($C153,#REF!:#REF!,2,FALSE)</f>
        <v>#REF!</v>
      </c>
      <c r="N153" s="26"/>
      <c r="O153" s="27">
        <v>6</v>
      </c>
      <c r="P153" s="223">
        <f>VLOOKUP($C153,従業員情報!$A$2:'従業員情報'!$AM$2000,5,FALSE)</f>
        <v>43011</v>
      </c>
      <c r="Q153" s="223" t="str">
        <f>VLOOKUP($C153,従業員情報!$A$2:'従業員情報'!$AM$2000,6,FALSE)</f>
        <v>本社工場ＴＰ</v>
      </c>
      <c r="R153" s="22">
        <v>1</v>
      </c>
      <c r="S153" s="22" t="s">
        <v>679</v>
      </c>
      <c r="T153" s="22">
        <v>2</v>
      </c>
      <c r="U153" s="264">
        <v>145</v>
      </c>
    </row>
    <row r="154" spans="1:21">
      <c r="A154">
        <v>321</v>
      </c>
      <c r="B154" s="21">
        <v>383</v>
      </c>
      <c r="C154" s="22">
        <v>3863</v>
      </c>
      <c r="D154" s="22" t="s">
        <v>354</v>
      </c>
      <c r="E154" s="23" t="s">
        <v>15</v>
      </c>
      <c r="F154" s="24">
        <v>19750221</v>
      </c>
      <c r="G154" s="16">
        <f t="shared" si="30"/>
        <v>27446</v>
      </c>
      <c r="H154" s="2">
        <f t="shared" si="31"/>
        <v>47</v>
      </c>
      <c r="I154" s="17"/>
      <c r="J154" s="25">
        <v>19961021</v>
      </c>
      <c r="K154" s="16">
        <f t="shared" si="32"/>
        <v>35359</v>
      </c>
      <c r="L154" s="2">
        <f t="shared" si="33"/>
        <v>25</v>
      </c>
      <c r="M154" s="25" t="e">
        <f>VLOOKUP($C154,#REF!:#REF!,2,FALSE)</f>
        <v>#REF!</v>
      </c>
      <c r="N154" s="26"/>
      <c r="O154" s="27" t="s">
        <v>19</v>
      </c>
      <c r="P154" s="223">
        <f>VLOOKUP($C154,従業員情報!$A$2:'従業員情報'!$AM$2000,5,FALSE)</f>
        <v>43011</v>
      </c>
      <c r="Q154" s="223" t="str">
        <f>VLOOKUP($C154,従業員情報!$A$2:'従業員情報'!$AM$2000,6,FALSE)</f>
        <v>本社工場ＴＰ</v>
      </c>
      <c r="R154" s="22">
        <v>1</v>
      </c>
      <c r="S154" s="22" t="s">
        <v>679</v>
      </c>
      <c r="T154" s="22">
        <v>2</v>
      </c>
      <c r="U154" s="264">
        <v>146</v>
      </c>
    </row>
    <row r="155" spans="1:21">
      <c r="A155">
        <v>335</v>
      </c>
      <c r="B155" s="21">
        <v>402</v>
      </c>
      <c r="C155" s="22">
        <v>3911</v>
      </c>
      <c r="D155" s="22" t="s">
        <v>355</v>
      </c>
      <c r="E155" s="23" t="s">
        <v>15</v>
      </c>
      <c r="F155" s="24">
        <v>19741225</v>
      </c>
      <c r="G155" s="16">
        <f t="shared" si="30"/>
        <v>27388</v>
      </c>
      <c r="H155" s="2">
        <f t="shared" si="31"/>
        <v>47</v>
      </c>
      <c r="I155" s="17"/>
      <c r="J155" s="25">
        <v>20030709</v>
      </c>
      <c r="K155" s="16">
        <f t="shared" si="32"/>
        <v>37811</v>
      </c>
      <c r="L155" s="2">
        <f t="shared" si="33"/>
        <v>18</v>
      </c>
      <c r="M155" s="25" t="e">
        <f>VLOOKUP($C155,#REF!:#REF!,2,FALSE)</f>
        <v>#REF!</v>
      </c>
      <c r="N155" s="26"/>
      <c r="O155" s="27" t="s">
        <v>35</v>
      </c>
      <c r="P155" s="223">
        <f>VLOOKUP($C155,従業員情報!$A$2:'従業員情報'!$AM$2000,5,FALSE)</f>
        <v>43011</v>
      </c>
      <c r="Q155" s="223" t="str">
        <f>VLOOKUP($C155,従業員情報!$A$2:'従業員情報'!$AM$2000,6,FALSE)</f>
        <v>本社工場ＴＰ</v>
      </c>
      <c r="R155" s="22">
        <v>1</v>
      </c>
      <c r="S155" s="22" t="s">
        <v>679</v>
      </c>
      <c r="T155" s="22">
        <v>2</v>
      </c>
      <c r="U155" s="264">
        <v>147</v>
      </c>
    </row>
    <row r="156" spans="1:21">
      <c r="A156">
        <v>336</v>
      </c>
      <c r="B156" s="21">
        <v>403</v>
      </c>
      <c r="C156" s="22">
        <v>3912</v>
      </c>
      <c r="D156" s="22" t="s">
        <v>101</v>
      </c>
      <c r="E156" s="23" t="s">
        <v>15</v>
      </c>
      <c r="F156" s="24">
        <v>19740419</v>
      </c>
      <c r="G156" s="16">
        <f t="shared" si="30"/>
        <v>27138</v>
      </c>
      <c r="H156" s="2">
        <f t="shared" si="31"/>
        <v>47</v>
      </c>
      <c r="I156" s="17"/>
      <c r="J156" s="25">
        <v>20030804</v>
      </c>
      <c r="K156" s="16">
        <f t="shared" si="32"/>
        <v>37837</v>
      </c>
      <c r="L156" s="2">
        <f t="shared" si="33"/>
        <v>18</v>
      </c>
      <c r="M156" s="25" t="e">
        <f>VLOOKUP($C156,#REF!:#REF!,2,FALSE)</f>
        <v>#REF!</v>
      </c>
      <c r="N156" s="26"/>
      <c r="O156" s="27" t="s">
        <v>16</v>
      </c>
      <c r="P156" s="223">
        <f>VLOOKUP($C156,従業員情報!$A$2:'従業員情報'!$AM$2000,5,FALSE)</f>
        <v>43011</v>
      </c>
      <c r="Q156" s="223" t="str">
        <f>VLOOKUP($C156,従業員情報!$A$2:'従業員情報'!$AM$2000,6,FALSE)</f>
        <v>本社工場ＴＰ</v>
      </c>
      <c r="R156" s="22">
        <v>0</v>
      </c>
      <c r="S156" s="22"/>
      <c r="T156" s="22">
        <v>2</v>
      </c>
      <c r="U156" s="264">
        <v>148</v>
      </c>
    </row>
    <row r="157" spans="1:21">
      <c r="A157">
        <v>344</v>
      </c>
      <c r="B157" s="21">
        <v>411</v>
      </c>
      <c r="C157" s="22">
        <v>3948</v>
      </c>
      <c r="D157" s="22" t="s">
        <v>369</v>
      </c>
      <c r="E157" s="23" t="s">
        <v>15</v>
      </c>
      <c r="F157" s="24">
        <v>19671015</v>
      </c>
      <c r="G157" s="16">
        <f t="shared" si="30"/>
        <v>24760</v>
      </c>
      <c r="H157" s="2">
        <f t="shared" si="31"/>
        <v>54</v>
      </c>
      <c r="I157" s="17"/>
      <c r="J157" s="25">
        <v>20061221</v>
      </c>
      <c r="K157" s="16">
        <f t="shared" si="32"/>
        <v>39072</v>
      </c>
      <c r="L157" s="2">
        <f t="shared" si="33"/>
        <v>15</v>
      </c>
      <c r="M157" s="25" t="e">
        <f>VLOOKUP($C157,#REF!:#REF!,2,FALSE)</f>
        <v>#REF!</v>
      </c>
      <c r="N157" s="26"/>
      <c r="O157" s="27" t="s">
        <v>35</v>
      </c>
      <c r="P157" s="223">
        <f>VLOOKUP($C157,従業員情報!$A$2:'従業員情報'!$AM$2000,5,FALSE)</f>
        <v>43011</v>
      </c>
      <c r="Q157" s="223" t="str">
        <f>VLOOKUP($C157,従業員情報!$A$2:'従業員情報'!$AM$2000,6,FALSE)</f>
        <v>本社工場ＴＰ</v>
      </c>
      <c r="R157" s="22">
        <v>1</v>
      </c>
      <c r="S157" s="22" t="s">
        <v>679</v>
      </c>
      <c r="T157" s="22">
        <v>2</v>
      </c>
      <c r="U157" s="264">
        <v>149</v>
      </c>
    </row>
    <row r="158" spans="1:21">
      <c r="A158">
        <v>368</v>
      </c>
      <c r="B158" s="21">
        <v>444</v>
      </c>
      <c r="C158" s="22">
        <v>5010</v>
      </c>
      <c r="D158" s="22" t="s">
        <v>367</v>
      </c>
      <c r="E158" s="23" t="s">
        <v>15</v>
      </c>
      <c r="F158" s="24">
        <v>19640701</v>
      </c>
      <c r="G158" s="16">
        <f t="shared" si="30"/>
        <v>23559</v>
      </c>
      <c r="H158" s="2">
        <f t="shared" si="31"/>
        <v>57</v>
      </c>
      <c r="I158" s="17"/>
      <c r="J158" s="25">
        <v>19800325</v>
      </c>
      <c r="K158" s="16">
        <f t="shared" si="32"/>
        <v>29305</v>
      </c>
      <c r="L158" s="2">
        <f t="shared" si="33"/>
        <v>41</v>
      </c>
      <c r="M158" s="25" t="e">
        <f>VLOOKUP($C158,#REF!:#REF!,2,FALSE)</f>
        <v>#REF!</v>
      </c>
      <c r="N158" s="26"/>
      <c r="O158" s="27" t="s">
        <v>77</v>
      </c>
      <c r="P158" s="223">
        <f>VLOOKUP($C158,従業員情報!$A$2:'従業員情報'!$AM$2000,5,FALSE)</f>
        <v>43011</v>
      </c>
      <c r="Q158" s="223" t="str">
        <f>VLOOKUP($C158,従業員情報!$A$2:'従業員情報'!$AM$2000,6,FALSE)</f>
        <v>本社工場ＴＰ</v>
      </c>
      <c r="R158" s="22">
        <v>1</v>
      </c>
      <c r="S158" s="22" t="s">
        <v>679</v>
      </c>
      <c r="T158" s="22">
        <v>2</v>
      </c>
      <c r="U158" s="264">
        <v>150</v>
      </c>
    </row>
    <row r="159" spans="1:21">
      <c r="A159">
        <v>285</v>
      </c>
      <c r="B159" s="21">
        <v>350</v>
      </c>
      <c r="C159" s="22">
        <v>3499</v>
      </c>
      <c r="D159" s="22" t="s">
        <v>214</v>
      </c>
      <c r="E159" s="23" t="s">
        <v>15</v>
      </c>
      <c r="F159" s="24">
        <v>19961008</v>
      </c>
      <c r="G159" s="16">
        <f t="shared" si="30"/>
        <v>35346</v>
      </c>
      <c r="H159" s="2">
        <f t="shared" si="31"/>
        <v>25</v>
      </c>
      <c r="I159" s="17"/>
      <c r="J159" s="25">
        <v>20190401</v>
      </c>
      <c r="K159" s="16">
        <f t="shared" si="32"/>
        <v>43556</v>
      </c>
      <c r="L159" s="2">
        <f t="shared" si="33"/>
        <v>2</v>
      </c>
      <c r="M159" s="25" t="e">
        <f>VLOOKUP($C159,#REF!:#REF!,2,FALSE)</f>
        <v>#REF!</v>
      </c>
      <c r="N159" s="26"/>
      <c r="O159" s="27">
        <v>8</v>
      </c>
      <c r="P159" s="223">
        <f>VLOOKUP($C159,従業員情報!$A$2:'従業員情報'!$AM$2000,5,FALSE)</f>
        <v>43011</v>
      </c>
      <c r="Q159" s="223" t="str">
        <f>VLOOKUP($C159,従業員情報!$A$2:'従業員情報'!$AM$2000,6,FALSE)</f>
        <v>本社工場ＴＰ</v>
      </c>
      <c r="R159" s="22">
        <v>0</v>
      </c>
      <c r="S159" s="22"/>
      <c r="T159" s="22">
        <v>2</v>
      </c>
      <c r="U159" s="264">
        <v>365</v>
      </c>
    </row>
    <row r="160" spans="1:21">
      <c r="A160">
        <v>19</v>
      </c>
      <c r="B160" s="21">
        <v>27</v>
      </c>
      <c r="C160" s="22">
        <v>1357</v>
      </c>
      <c r="D160" s="22" t="s">
        <v>366</v>
      </c>
      <c r="E160" s="23" t="s">
        <v>15</v>
      </c>
      <c r="F160" s="24">
        <v>19750405</v>
      </c>
      <c r="G160" s="16">
        <f t="shared" si="30"/>
        <v>27489</v>
      </c>
      <c r="H160" s="2">
        <f t="shared" si="31"/>
        <v>46</v>
      </c>
      <c r="I160" s="17"/>
      <c r="J160" s="25">
        <v>20080903</v>
      </c>
      <c r="K160" s="16">
        <f t="shared" si="32"/>
        <v>39694</v>
      </c>
      <c r="L160" s="2">
        <f t="shared" si="33"/>
        <v>13</v>
      </c>
      <c r="M160" s="25" t="e">
        <f>VLOOKUP($C160,#REF!:#REF!,2,FALSE)</f>
        <v>#REF!</v>
      </c>
      <c r="N160" s="26"/>
      <c r="O160" s="27" t="s">
        <v>16</v>
      </c>
      <c r="P160" s="223">
        <f>VLOOKUP($C160,従業員情報!$A$2:'従業員情報'!$AM$2000,5,FALSE)</f>
        <v>43211</v>
      </c>
      <c r="Q160" s="223" t="str">
        <f>VLOOKUP($C160,従業員情報!$A$2:'従業員情報'!$AM$2000,6,FALSE)</f>
        <v>本社工場ＢＶ</v>
      </c>
      <c r="R160" s="22">
        <v>1</v>
      </c>
      <c r="S160" s="22" t="s">
        <v>679</v>
      </c>
      <c r="T160" s="22">
        <v>1</v>
      </c>
      <c r="U160" s="264">
        <v>151</v>
      </c>
    </row>
    <row r="161" spans="1:21">
      <c r="A161">
        <v>100</v>
      </c>
      <c r="B161" s="21">
        <v>101</v>
      </c>
      <c r="C161" s="22">
        <v>2830</v>
      </c>
      <c r="D161" s="22" t="s">
        <v>803</v>
      </c>
      <c r="E161" s="23" t="s">
        <v>15</v>
      </c>
      <c r="F161" s="24">
        <v>19700222</v>
      </c>
      <c r="G161" s="16">
        <f t="shared" si="30"/>
        <v>25621</v>
      </c>
      <c r="H161" s="2">
        <f t="shared" si="31"/>
        <v>52</v>
      </c>
      <c r="I161" s="17"/>
      <c r="J161" s="25">
        <v>19880324</v>
      </c>
      <c r="K161" s="16">
        <f t="shared" si="32"/>
        <v>32226</v>
      </c>
      <c r="L161" s="2">
        <f t="shared" si="33"/>
        <v>33</v>
      </c>
      <c r="M161" s="25" t="e">
        <f>VLOOKUP($C161,#REF!:#REF!,2,FALSE)</f>
        <v>#REF!</v>
      </c>
      <c r="N161" s="26"/>
      <c r="O161" s="27" t="s">
        <v>35</v>
      </c>
      <c r="P161" s="223">
        <f>VLOOKUP($C161,従業員情報!$A$2:'従業員情報'!$AM$2000,5,FALSE)</f>
        <v>43211</v>
      </c>
      <c r="Q161" s="223" t="str">
        <f>VLOOKUP($C161,従業員情報!$A$2:'従業員情報'!$AM$2000,6,FALSE)</f>
        <v>本社工場ＢＶ</v>
      </c>
      <c r="R161" s="22">
        <v>1</v>
      </c>
      <c r="S161" s="22" t="s">
        <v>679</v>
      </c>
      <c r="T161" s="22">
        <v>1</v>
      </c>
      <c r="U161" s="264">
        <v>152</v>
      </c>
    </row>
    <row r="162" spans="1:21">
      <c r="A162">
        <v>140</v>
      </c>
      <c r="B162" s="21">
        <v>148</v>
      </c>
      <c r="C162" s="22">
        <v>3055</v>
      </c>
      <c r="D162" s="22" t="s">
        <v>370</v>
      </c>
      <c r="E162" s="23" t="s">
        <v>15</v>
      </c>
      <c r="F162" s="24">
        <v>19761225</v>
      </c>
      <c r="G162" s="16">
        <f t="shared" si="30"/>
        <v>28119</v>
      </c>
      <c r="H162" s="2">
        <f t="shared" si="31"/>
        <v>45</v>
      </c>
      <c r="I162" s="17"/>
      <c r="J162" s="25">
        <v>19950322</v>
      </c>
      <c r="K162" s="16">
        <f t="shared" si="32"/>
        <v>34780</v>
      </c>
      <c r="L162" s="2">
        <f t="shared" si="33"/>
        <v>26</v>
      </c>
      <c r="M162" s="25" t="e">
        <f>VLOOKUP($C162,#REF!:#REF!,2,FALSE)</f>
        <v>#REF!</v>
      </c>
      <c r="N162" s="26"/>
      <c r="O162" s="27" t="s">
        <v>35</v>
      </c>
      <c r="P162" s="223">
        <f>VLOOKUP($C162,従業員情報!$A$2:'従業員情報'!$AM$2000,5,FALSE)</f>
        <v>43211</v>
      </c>
      <c r="Q162" s="223" t="str">
        <f>VLOOKUP($C162,従業員情報!$A$2:'従業員情報'!$AM$2000,6,FALSE)</f>
        <v>本社工場ＢＶ</v>
      </c>
      <c r="R162" s="22">
        <v>1</v>
      </c>
      <c r="S162" s="22" t="s">
        <v>679</v>
      </c>
      <c r="T162" s="22">
        <v>2</v>
      </c>
      <c r="U162" s="264">
        <v>154</v>
      </c>
    </row>
    <row r="163" spans="1:21">
      <c r="A163">
        <v>222</v>
      </c>
      <c r="B163" s="21">
        <v>252</v>
      </c>
      <c r="C163" s="22">
        <v>3345</v>
      </c>
      <c r="D163" s="22" t="s">
        <v>372</v>
      </c>
      <c r="E163" s="23" t="s">
        <v>15</v>
      </c>
      <c r="F163" s="24">
        <v>19921003</v>
      </c>
      <c r="G163" s="16">
        <f t="shared" si="30"/>
        <v>33880</v>
      </c>
      <c r="H163" s="2">
        <f t="shared" si="31"/>
        <v>29</v>
      </c>
      <c r="I163" s="17"/>
      <c r="J163" s="25">
        <v>20110321</v>
      </c>
      <c r="K163" s="16">
        <f t="shared" si="32"/>
        <v>40623</v>
      </c>
      <c r="L163" s="2">
        <f t="shared" si="33"/>
        <v>10</v>
      </c>
      <c r="M163" s="25" t="e">
        <f>VLOOKUP($C163,#REF!:#REF!,2,FALSE)</f>
        <v>#REF!</v>
      </c>
      <c r="N163" s="26"/>
      <c r="O163" s="27" t="s">
        <v>35</v>
      </c>
      <c r="P163" s="223">
        <f>VLOOKUP($C163,従業員情報!$A$2:'従業員情報'!$AM$2000,5,FALSE)</f>
        <v>43211</v>
      </c>
      <c r="Q163" s="223" t="str">
        <f>VLOOKUP($C163,従業員情報!$A$2:'従業員情報'!$AM$2000,6,FALSE)</f>
        <v>本社工場ＢＶ</v>
      </c>
      <c r="R163" s="22">
        <v>1</v>
      </c>
      <c r="S163" s="22" t="s">
        <v>679</v>
      </c>
      <c r="T163" s="22">
        <v>2</v>
      </c>
      <c r="U163" s="264">
        <v>155</v>
      </c>
    </row>
    <row r="164" spans="1:21">
      <c r="A164">
        <v>234</v>
      </c>
      <c r="B164" s="21">
        <v>267</v>
      </c>
      <c r="C164" s="22">
        <v>3368</v>
      </c>
      <c r="D164" s="22" t="s">
        <v>373</v>
      </c>
      <c r="E164" s="23" t="s">
        <v>15</v>
      </c>
      <c r="F164" s="24">
        <v>19931123</v>
      </c>
      <c r="G164" s="16">
        <f t="shared" si="30"/>
        <v>34296</v>
      </c>
      <c r="H164" s="2">
        <f t="shared" si="31"/>
        <v>28</v>
      </c>
      <c r="I164" s="17"/>
      <c r="J164" s="25">
        <v>20120321</v>
      </c>
      <c r="K164" s="16">
        <f t="shared" si="32"/>
        <v>40989</v>
      </c>
      <c r="L164" s="2">
        <f t="shared" si="33"/>
        <v>9</v>
      </c>
      <c r="M164" s="25" t="e">
        <f>VLOOKUP($C164,#REF!:#REF!,2,FALSE)</f>
        <v>#REF!</v>
      </c>
      <c r="N164" s="26"/>
      <c r="O164" s="27" t="s">
        <v>35</v>
      </c>
      <c r="P164" s="223">
        <f>VLOOKUP($C164,従業員情報!$A$2:'従業員情報'!$AM$2000,5,FALSE)</f>
        <v>43211</v>
      </c>
      <c r="Q164" s="223" t="str">
        <f>VLOOKUP($C164,従業員情報!$A$2:'従業員情報'!$AM$2000,6,FALSE)</f>
        <v>本社工場ＢＶ</v>
      </c>
      <c r="R164" s="22">
        <v>1</v>
      </c>
      <c r="S164" s="22" t="s">
        <v>679</v>
      </c>
      <c r="T164" s="22">
        <v>2</v>
      </c>
      <c r="U164" s="264">
        <v>156</v>
      </c>
    </row>
    <row r="165" spans="1:21">
      <c r="A165">
        <v>244</v>
      </c>
      <c r="B165" s="21">
        <v>287</v>
      </c>
      <c r="C165" s="22">
        <v>3407</v>
      </c>
      <c r="D165" s="22" t="s">
        <v>374</v>
      </c>
      <c r="E165" s="23" t="s">
        <v>15</v>
      </c>
      <c r="F165" s="24">
        <v>19940818</v>
      </c>
      <c r="G165" s="16">
        <f t="shared" si="30"/>
        <v>34564</v>
      </c>
      <c r="H165" s="2">
        <f t="shared" si="31"/>
        <v>27</v>
      </c>
      <c r="I165" s="17"/>
      <c r="J165" s="25">
        <v>20130321</v>
      </c>
      <c r="K165" s="16">
        <f t="shared" si="32"/>
        <v>41354</v>
      </c>
      <c r="L165" s="2">
        <f t="shared" si="33"/>
        <v>8</v>
      </c>
      <c r="M165" s="25" t="e">
        <f>VLOOKUP($C165,#REF!:#REF!,2,FALSE)</f>
        <v>#REF!</v>
      </c>
      <c r="N165" s="26"/>
      <c r="O165" s="27" t="s">
        <v>35</v>
      </c>
      <c r="P165" s="223">
        <f>VLOOKUP($C165,従業員情報!$A$2:'従業員情報'!$AM$2000,5,FALSE)</f>
        <v>43211</v>
      </c>
      <c r="Q165" s="223" t="str">
        <f>VLOOKUP($C165,従業員情報!$A$2:'従業員情報'!$AM$2000,6,FALSE)</f>
        <v>本社工場ＢＶ</v>
      </c>
      <c r="R165" s="22">
        <v>1</v>
      </c>
      <c r="S165" s="22" t="s">
        <v>679</v>
      </c>
      <c r="T165" s="22">
        <v>2</v>
      </c>
      <c r="U165" s="264">
        <v>157</v>
      </c>
    </row>
    <row r="166" spans="1:21">
      <c r="A166">
        <v>317</v>
      </c>
      <c r="B166" s="21">
        <v>376</v>
      </c>
      <c r="C166" s="22">
        <v>3833</v>
      </c>
      <c r="D166" s="22" t="s">
        <v>368</v>
      </c>
      <c r="E166" s="23" t="s">
        <v>15</v>
      </c>
      <c r="F166" s="24">
        <v>19710803</v>
      </c>
      <c r="G166" s="16">
        <f t="shared" si="30"/>
        <v>26148</v>
      </c>
      <c r="H166" s="2">
        <f t="shared" si="31"/>
        <v>50</v>
      </c>
      <c r="I166" s="17"/>
      <c r="J166" s="25">
        <v>19920217</v>
      </c>
      <c r="K166" s="16">
        <f t="shared" si="32"/>
        <v>33651</v>
      </c>
      <c r="L166" s="2">
        <f t="shared" si="33"/>
        <v>30</v>
      </c>
      <c r="M166" s="25" t="e">
        <f>VLOOKUP($C166,#REF!:#REF!,2,FALSE)</f>
        <v>#REF!</v>
      </c>
      <c r="N166" s="26"/>
      <c r="O166" s="27" t="s">
        <v>295</v>
      </c>
      <c r="P166" s="223">
        <f>VLOOKUP($C166,従業員情報!$A$2:'従業員情報'!$AM$2000,5,FALSE)</f>
        <v>43211</v>
      </c>
      <c r="Q166" s="223" t="str">
        <f>VLOOKUP($C166,従業員情報!$A$2:'従業員情報'!$AM$2000,6,FALSE)</f>
        <v>本社工場ＢＶ</v>
      </c>
      <c r="R166" s="22">
        <v>1</v>
      </c>
      <c r="S166" s="22" t="s">
        <v>679</v>
      </c>
      <c r="T166" s="22">
        <v>2</v>
      </c>
      <c r="U166" s="264">
        <v>158</v>
      </c>
    </row>
    <row r="167" spans="1:21">
      <c r="A167">
        <v>330</v>
      </c>
      <c r="B167" s="21">
        <v>395</v>
      </c>
      <c r="C167" s="22">
        <v>3891</v>
      </c>
      <c r="D167" s="22" t="s">
        <v>371</v>
      </c>
      <c r="E167" s="23" t="s">
        <v>15</v>
      </c>
      <c r="F167" s="24">
        <v>19771101</v>
      </c>
      <c r="G167" s="16">
        <f t="shared" si="30"/>
        <v>28430</v>
      </c>
      <c r="H167" s="2">
        <f t="shared" si="31"/>
        <v>44</v>
      </c>
      <c r="I167" s="17"/>
      <c r="J167" s="25">
        <v>19960321</v>
      </c>
      <c r="K167" s="16">
        <f t="shared" si="32"/>
        <v>35145</v>
      </c>
      <c r="L167" s="2">
        <f t="shared" si="33"/>
        <v>25</v>
      </c>
      <c r="M167" s="25" t="e">
        <f>VLOOKUP($C167,#REF!:#REF!,2,FALSE)</f>
        <v>#REF!</v>
      </c>
      <c r="N167" s="26"/>
      <c r="O167" s="27" t="s">
        <v>35</v>
      </c>
      <c r="P167" s="223">
        <f>VLOOKUP($C167,従業員情報!$A$2:'従業員情報'!$AM$2000,5,FALSE)</f>
        <v>43211</v>
      </c>
      <c r="Q167" s="223" t="str">
        <f>VLOOKUP($C167,従業員情報!$A$2:'従業員情報'!$AM$2000,6,FALSE)</f>
        <v>本社工場ＢＶ</v>
      </c>
      <c r="R167" s="22">
        <v>1</v>
      </c>
      <c r="S167" s="22" t="s">
        <v>679</v>
      </c>
      <c r="T167" s="22">
        <v>2</v>
      </c>
      <c r="U167" s="264">
        <v>159</v>
      </c>
    </row>
    <row r="168" spans="1:21">
      <c r="A168">
        <v>133</v>
      </c>
      <c r="B168" s="21">
        <v>141</v>
      </c>
      <c r="C168" s="22">
        <v>3032</v>
      </c>
      <c r="D168" s="22" t="s">
        <v>306</v>
      </c>
      <c r="E168" s="23" t="s">
        <v>15</v>
      </c>
      <c r="F168" s="24">
        <v>19750320</v>
      </c>
      <c r="G168" s="16">
        <f t="shared" si="30"/>
        <v>27473</v>
      </c>
      <c r="H168" s="2">
        <f t="shared" si="31"/>
        <v>46</v>
      </c>
      <c r="I168" s="17"/>
      <c r="J168" s="25">
        <v>19950322</v>
      </c>
      <c r="K168" s="16">
        <f t="shared" si="32"/>
        <v>34780</v>
      </c>
      <c r="L168" s="2">
        <f t="shared" si="33"/>
        <v>26</v>
      </c>
      <c r="M168" s="25" t="e">
        <f>VLOOKUP($C168,#REF!:#REF!,2,FALSE)</f>
        <v>#REF!</v>
      </c>
      <c r="N168" s="26"/>
      <c r="O168" s="27" t="s">
        <v>19</v>
      </c>
      <c r="P168" s="223">
        <f>VLOOKUP($C168,従業員情報!$A$2:'従業員情報'!$AM$2000,5,FALSE)</f>
        <v>43311</v>
      </c>
      <c r="Q168" s="223" t="str">
        <f>VLOOKUP($C168,従業員情報!$A$2:'従業員情報'!$AM$2000,6,FALSE)</f>
        <v>本社工場ＳＰ</v>
      </c>
      <c r="R168" s="22">
        <v>1</v>
      </c>
      <c r="S168" s="22" t="s">
        <v>679</v>
      </c>
      <c r="T168" s="22">
        <v>1</v>
      </c>
      <c r="U168" s="264">
        <v>160</v>
      </c>
    </row>
    <row r="169" spans="1:21">
      <c r="A169">
        <v>257</v>
      </c>
      <c r="B169" s="21">
        <v>303</v>
      </c>
      <c r="C169" s="22">
        <v>3435</v>
      </c>
      <c r="D169" s="22" t="s">
        <v>359</v>
      </c>
      <c r="E169" s="23" t="s">
        <v>15</v>
      </c>
      <c r="F169" s="24">
        <v>19970122</v>
      </c>
      <c r="G169" s="16">
        <f t="shared" si="30"/>
        <v>35452</v>
      </c>
      <c r="H169" s="2">
        <f t="shared" si="31"/>
        <v>25</v>
      </c>
      <c r="I169" s="17"/>
      <c r="J169" s="25">
        <v>20150401</v>
      </c>
      <c r="K169" s="16">
        <f t="shared" si="32"/>
        <v>42095</v>
      </c>
      <c r="L169" s="2">
        <f t="shared" si="33"/>
        <v>6</v>
      </c>
      <c r="M169" s="25" t="e">
        <f>VLOOKUP($C169,#REF!:#REF!,2,FALSE)</f>
        <v>#REF!</v>
      </c>
      <c r="N169" s="26"/>
      <c r="O169" s="27" t="s">
        <v>35</v>
      </c>
      <c r="P169" s="223">
        <f>VLOOKUP($C169,従業員情報!$A$2:'従業員情報'!$AM$2000,5,FALSE)</f>
        <v>43311</v>
      </c>
      <c r="Q169" s="223" t="str">
        <f>VLOOKUP($C169,従業員情報!$A$2:'従業員情報'!$AM$2000,6,FALSE)</f>
        <v>本社工場ＳＰ</v>
      </c>
      <c r="R169" s="22">
        <v>1</v>
      </c>
      <c r="S169" s="22" t="s">
        <v>679</v>
      </c>
      <c r="T169" s="22">
        <v>2</v>
      </c>
      <c r="U169" s="264">
        <v>161</v>
      </c>
    </row>
    <row r="170" spans="1:21">
      <c r="A170">
        <v>320</v>
      </c>
      <c r="B170" s="21">
        <v>381</v>
      </c>
      <c r="C170" s="22">
        <v>3855</v>
      </c>
      <c r="D170" s="22" t="s">
        <v>378</v>
      </c>
      <c r="E170" s="23" t="s">
        <v>15</v>
      </c>
      <c r="F170" s="24">
        <v>19720117</v>
      </c>
      <c r="G170" s="16">
        <f t="shared" si="30"/>
        <v>26315</v>
      </c>
      <c r="H170" s="2">
        <f t="shared" si="31"/>
        <v>50</v>
      </c>
      <c r="I170" s="17"/>
      <c r="J170" s="25">
        <v>19950421</v>
      </c>
      <c r="K170" s="16">
        <f t="shared" si="32"/>
        <v>34810</v>
      </c>
      <c r="L170" s="2">
        <f t="shared" si="33"/>
        <v>26</v>
      </c>
      <c r="M170" s="25" t="e">
        <f>VLOOKUP($C170,#REF!:#REF!,2,FALSE)</f>
        <v>#REF!</v>
      </c>
      <c r="N170" s="26"/>
      <c r="O170" s="27" t="s">
        <v>295</v>
      </c>
      <c r="P170" s="223">
        <f>VLOOKUP($C170,従業員情報!$A$2:'従業員情報'!$AM$2000,5,FALSE)</f>
        <v>43311</v>
      </c>
      <c r="Q170" s="223" t="str">
        <f>VLOOKUP($C170,従業員情報!$A$2:'従業員情報'!$AM$2000,6,FALSE)</f>
        <v>本社工場ＳＰ</v>
      </c>
      <c r="R170" s="22">
        <v>0</v>
      </c>
      <c r="S170" s="22"/>
      <c r="T170" s="22">
        <v>2</v>
      </c>
      <c r="U170" s="264">
        <v>162</v>
      </c>
    </row>
    <row r="171" spans="1:21">
      <c r="A171">
        <v>209</v>
      </c>
      <c r="B171" s="21">
        <v>234</v>
      </c>
      <c r="C171" s="22">
        <v>3307</v>
      </c>
      <c r="D171" s="22" t="s">
        <v>380</v>
      </c>
      <c r="E171" s="23" t="s">
        <v>15</v>
      </c>
      <c r="F171" s="24">
        <v>19901023</v>
      </c>
      <c r="G171" s="16">
        <f t="shared" si="30"/>
        <v>33169</v>
      </c>
      <c r="H171" s="2">
        <f t="shared" si="31"/>
        <v>31</v>
      </c>
      <c r="I171" s="17"/>
      <c r="J171" s="25">
        <v>20090323</v>
      </c>
      <c r="K171" s="16">
        <f t="shared" si="32"/>
        <v>39895</v>
      </c>
      <c r="L171" s="2">
        <f t="shared" si="33"/>
        <v>12</v>
      </c>
      <c r="M171" s="25" t="e">
        <f>VLOOKUP($C171,#REF!:#REF!,2,FALSE)</f>
        <v>#REF!</v>
      </c>
      <c r="N171" s="26"/>
      <c r="O171" s="27" t="s">
        <v>35</v>
      </c>
      <c r="P171" s="223">
        <f>VLOOKUP($C171,従業員情報!$A$2:'従業員情報'!$AM$2000,5,FALSE)</f>
        <v>44011</v>
      </c>
      <c r="Q171" s="223" t="str">
        <f>VLOOKUP($C171,従業員情報!$A$2:'従業員情報'!$AM$2000,6,FALSE)</f>
        <v>川越第二工場１係</v>
      </c>
      <c r="R171" s="22">
        <v>1</v>
      </c>
      <c r="S171" s="22" t="s">
        <v>679</v>
      </c>
      <c r="T171" s="22">
        <v>1</v>
      </c>
      <c r="U171" s="264">
        <v>163</v>
      </c>
    </row>
    <row r="172" spans="1:21">
      <c r="A172">
        <v>267</v>
      </c>
      <c r="B172" s="21">
        <v>322</v>
      </c>
      <c r="C172" s="22">
        <v>3459</v>
      </c>
      <c r="D172" s="22" t="s">
        <v>408</v>
      </c>
      <c r="E172" s="23" t="s">
        <v>15</v>
      </c>
      <c r="F172" s="24">
        <v>19970406</v>
      </c>
      <c r="G172" s="16">
        <f t="shared" si="30"/>
        <v>35526</v>
      </c>
      <c r="H172" s="2">
        <f t="shared" si="31"/>
        <v>24</v>
      </c>
      <c r="I172" s="17"/>
      <c r="J172" s="25">
        <v>20160401</v>
      </c>
      <c r="K172" s="16">
        <f t="shared" si="32"/>
        <v>42461</v>
      </c>
      <c r="L172" s="2">
        <f t="shared" si="33"/>
        <v>5</v>
      </c>
      <c r="M172" s="25" t="e">
        <f>VLOOKUP($C172,#REF!:#REF!,2,FALSE)</f>
        <v>#REF!</v>
      </c>
      <c r="N172" s="26"/>
      <c r="O172" s="27" t="s">
        <v>35</v>
      </c>
      <c r="P172" s="223">
        <f>VLOOKUP($C172,従業員情報!$A$2:'従業員情報'!$AM$2000,5,FALSE)</f>
        <v>44011</v>
      </c>
      <c r="Q172" s="223" t="str">
        <f>VLOOKUP($C172,従業員情報!$A$2:'従業員情報'!$AM$2000,6,FALSE)</f>
        <v>川越第二工場１係</v>
      </c>
      <c r="R172" s="22">
        <v>1</v>
      </c>
      <c r="S172" s="22" t="s">
        <v>679</v>
      </c>
      <c r="T172" s="22">
        <v>2</v>
      </c>
      <c r="U172" s="264">
        <v>164</v>
      </c>
    </row>
    <row r="173" spans="1:21">
      <c r="A173">
        <v>67</v>
      </c>
      <c r="B173" s="21"/>
      <c r="C173" s="22">
        <v>1438</v>
      </c>
      <c r="D173" s="22" t="s">
        <v>822</v>
      </c>
      <c r="E173" s="23" t="s">
        <v>800</v>
      </c>
      <c r="F173" s="24"/>
      <c r="G173" s="16"/>
      <c r="H173" s="2"/>
      <c r="I173" s="17"/>
      <c r="J173" s="25"/>
      <c r="K173" s="16"/>
      <c r="M173" s="25" t="e">
        <f>VLOOKUP($C173,#REF!:#REF!,2,FALSE)</f>
        <v>#REF!</v>
      </c>
      <c r="N173" s="26"/>
      <c r="O173" s="27"/>
      <c r="P173" s="223">
        <f>VLOOKUP($C173,従業員情報!$A$2:'従業員情報'!$AM$2000,5,FALSE)</f>
        <v>44111</v>
      </c>
      <c r="Q173" s="223" t="str">
        <f>VLOOKUP($C173,従業員情報!$A$2:'従業員情報'!$AM$2000,6,FALSE)</f>
        <v>川越第二工場２係</v>
      </c>
      <c r="R173" s="22"/>
      <c r="S173" s="22"/>
      <c r="T173" s="22"/>
      <c r="U173" s="264">
        <v>166</v>
      </c>
    </row>
    <row r="174" spans="1:21">
      <c r="A174">
        <v>76</v>
      </c>
      <c r="B174" s="21">
        <v>73</v>
      </c>
      <c r="C174" s="22">
        <v>2685</v>
      </c>
      <c r="D174" s="22" t="s">
        <v>804</v>
      </c>
      <c r="E174" s="23" t="s">
        <v>15</v>
      </c>
      <c r="F174" s="24">
        <v>19660304</v>
      </c>
      <c r="G174" s="16">
        <f t="shared" ref="G174:G192" si="34">DATE(INT(F174/10000),INT(MOD(F174,10000)/100),MOD(F174,100))</f>
        <v>24170</v>
      </c>
      <c r="H174" s="2">
        <f t="shared" ref="H174:H192" si="35">DATEDIF(G174,$G$4,"Y")</f>
        <v>55</v>
      </c>
      <c r="I174" s="17"/>
      <c r="J174" s="25">
        <v>19840321</v>
      </c>
      <c r="K174" s="16">
        <f t="shared" ref="K174:K192" si="36">DATE(INT(J174/10000),INT(MOD(J174,10000)/100),MOD(J174,100))</f>
        <v>30762</v>
      </c>
      <c r="L174" s="2">
        <f t="shared" ref="L174:L192" si="37">DATEDIF(K174,$G$4,"Y")</f>
        <v>37</v>
      </c>
      <c r="M174" s="25" t="e">
        <f>VLOOKUP($C174,#REF!:#REF!,2,FALSE)</f>
        <v>#REF!</v>
      </c>
      <c r="N174" s="26"/>
      <c r="O174" s="27" t="s">
        <v>35</v>
      </c>
      <c r="P174" s="223">
        <f>VLOOKUP($C174,従業員情報!$A$2:'従業員情報'!$AM$2000,5,FALSE)</f>
        <v>44111</v>
      </c>
      <c r="Q174" s="223" t="str">
        <f>VLOOKUP($C174,従業員情報!$A$2:'従業員情報'!$AM$2000,6,FALSE)</f>
        <v>川越第二工場２係</v>
      </c>
      <c r="R174" s="22">
        <v>1</v>
      </c>
      <c r="S174" s="22" t="s">
        <v>679</v>
      </c>
      <c r="T174" s="22">
        <v>2</v>
      </c>
      <c r="U174" s="264">
        <v>167</v>
      </c>
    </row>
    <row r="175" spans="1:21">
      <c r="A175">
        <v>90</v>
      </c>
      <c r="B175" s="21">
        <v>90</v>
      </c>
      <c r="C175" s="22">
        <v>2770</v>
      </c>
      <c r="D175" s="22" t="s">
        <v>385</v>
      </c>
      <c r="E175" s="23" t="s">
        <v>15</v>
      </c>
      <c r="F175" s="24">
        <v>19671216</v>
      </c>
      <c r="G175" s="16">
        <f t="shared" si="34"/>
        <v>24822</v>
      </c>
      <c r="H175" s="2">
        <f t="shared" si="35"/>
        <v>54</v>
      </c>
      <c r="I175" s="17"/>
      <c r="J175" s="25">
        <v>19860326</v>
      </c>
      <c r="K175" s="16">
        <f t="shared" si="36"/>
        <v>31497</v>
      </c>
      <c r="L175" s="2">
        <f t="shared" si="37"/>
        <v>35</v>
      </c>
      <c r="M175" s="25" t="e">
        <f>VLOOKUP($C175,#REF!:#REF!,2,FALSE)</f>
        <v>#REF!</v>
      </c>
      <c r="N175" s="26"/>
      <c r="O175" s="27" t="s">
        <v>35</v>
      </c>
      <c r="P175" s="223">
        <f>VLOOKUP($C175,従業員情報!$A$2:'従業員情報'!$AM$2000,5,FALSE)</f>
        <v>44111</v>
      </c>
      <c r="Q175" s="223" t="str">
        <f>VLOOKUP($C175,従業員情報!$A$2:'従業員情報'!$AM$2000,6,FALSE)</f>
        <v>川越第二工場２係</v>
      </c>
      <c r="R175" s="22">
        <v>1</v>
      </c>
      <c r="S175" s="22" t="s">
        <v>679</v>
      </c>
      <c r="T175" s="22">
        <v>2</v>
      </c>
      <c r="U175" s="264">
        <v>168</v>
      </c>
    </row>
    <row r="176" spans="1:21">
      <c r="A176">
        <v>327</v>
      </c>
      <c r="B176" s="21">
        <v>391</v>
      </c>
      <c r="C176" s="22">
        <v>3887</v>
      </c>
      <c r="D176" s="22" t="s">
        <v>386</v>
      </c>
      <c r="E176" s="23" t="s">
        <v>15</v>
      </c>
      <c r="F176" s="24">
        <v>19721013</v>
      </c>
      <c r="G176" s="16">
        <f t="shared" si="34"/>
        <v>26585</v>
      </c>
      <c r="H176" s="2">
        <f t="shared" si="35"/>
        <v>49</v>
      </c>
      <c r="I176" s="17"/>
      <c r="J176" s="25">
        <v>19890325</v>
      </c>
      <c r="K176" s="16">
        <f t="shared" si="36"/>
        <v>32592</v>
      </c>
      <c r="L176" s="2">
        <f t="shared" si="37"/>
        <v>32</v>
      </c>
      <c r="M176" s="25" t="e">
        <f>VLOOKUP($C176,#REF!:#REF!,2,FALSE)</f>
        <v>#REF!</v>
      </c>
      <c r="N176" s="26"/>
      <c r="O176" s="27" t="s">
        <v>345</v>
      </c>
      <c r="P176" s="223">
        <f>VLOOKUP($C176,従業員情報!$A$2:'従業員情報'!$AM$2000,5,FALSE)</f>
        <v>44111</v>
      </c>
      <c r="Q176" s="223" t="str">
        <f>VLOOKUP($C176,従業員情報!$A$2:'従業員情報'!$AM$2000,6,FALSE)</f>
        <v>川越第二工場２係</v>
      </c>
      <c r="R176" s="22">
        <v>1</v>
      </c>
      <c r="S176" s="22" t="s">
        <v>679</v>
      </c>
      <c r="T176" s="22">
        <v>2</v>
      </c>
      <c r="U176" s="264">
        <v>169</v>
      </c>
    </row>
    <row r="177" spans="1:21">
      <c r="A177">
        <v>7</v>
      </c>
      <c r="B177" s="21">
        <v>10</v>
      </c>
      <c r="C177" s="22">
        <v>1316</v>
      </c>
      <c r="D177" s="22" t="s">
        <v>115</v>
      </c>
      <c r="E177" s="23" t="s">
        <v>15</v>
      </c>
      <c r="F177" s="24">
        <v>19740922</v>
      </c>
      <c r="G177" s="16">
        <f t="shared" si="34"/>
        <v>27294</v>
      </c>
      <c r="H177" s="2">
        <f t="shared" si="35"/>
        <v>47</v>
      </c>
      <c r="I177" s="17"/>
      <c r="J177" s="25">
        <v>19970321</v>
      </c>
      <c r="K177" s="16">
        <f t="shared" si="36"/>
        <v>35510</v>
      </c>
      <c r="L177" s="2">
        <f t="shared" si="37"/>
        <v>24</v>
      </c>
      <c r="M177" s="25" t="e">
        <f>VLOOKUP($C177,#REF!:#REF!,2,FALSE)</f>
        <v>#REF!</v>
      </c>
      <c r="N177" s="26"/>
      <c r="O177" s="27" t="s">
        <v>19</v>
      </c>
      <c r="P177" s="223">
        <f>VLOOKUP($C177,従業員情報!$A$2:'従業員情報'!$AM$2000,5,FALSE)</f>
        <v>44200</v>
      </c>
      <c r="Q177" s="223" t="str">
        <f>VLOOKUP($C177,従業員情報!$A$2:'従業員情報'!$AM$2000,6,FALSE)</f>
        <v>川越第二工場管理</v>
      </c>
      <c r="R177" s="22">
        <v>0</v>
      </c>
      <c r="S177" s="22"/>
      <c r="T177" s="22">
        <v>1</v>
      </c>
      <c r="U177" s="264">
        <v>170</v>
      </c>
    </row>
    <row r="178" spans="1:21">
      <c r="A178">
        <v>17</v>
      </c>
      <c r="B178" s="21">
        <v>24</v>
      </c>
      <c r="C178" s="22">
        <v>1350</v>
      </c>
      <c r="D178" s="22" t="s">
        <v>118</v>
      </c>
      <c r="E178" s="23" t="s">
        <v>15</v>
      </c>
      <c r="F178" s="24">
        <v>19850331</v>
      </c>
      <c r="G178" s="16">
        <f t="shared" si="34"/>
        <v>31137</v>
      </c>
      <c r="H178" s="2">
        <f t="shared" si="35"/>
        <v>36</v>
      </c>
      <c r="I178" s="17"/>
      <c r="J178" s="25">
        <v>20080407</v>
      </c>
      <c r="K178" s="16">
        <f t="shared" si="36"/>
        <v>39545</v>
      </c>
      <c r="L178" s="2">
        <f t="shared" si="37"/>
        <v>13</v>
      </c>
      <c r="M178" s="25" t="e">
        <f>VLOOKUP($C178,#REF!:#REF!,2,FALSE)</f>
        <v>#REF!</v>
      </c>
      <c r="N178" s="26"/>
      <c r="O178" s="27" t="s">
        <v>35</v>
      </c>
      <c r="P178" s="223">
        <f>VLOOKUP($C178,従業員情報!$A$2:'従業員情報'!$AM$2000,5,FALSE)</f>
        <v>44200</v>
      </c>
      <c r="Q178" s="223" t="str">
        <f>VLOOKUP($C178,従業員情報!$A$2:'従業員情報'!$AM$2000,6,FALSE)</f>
        <v>川越第二工場管理</v>
      </c>
      <c r="R178" s="22">
        <v>0</v>
      </c>
      <c r="S178" s="22"/>
      <c r="T178" s="22">
        <v>2</v>
      </c>
      <c r="U178" s="264">
        <v>172</v>
      </c>
    </row>
    <row r="179" spans="1:21" s="264" customFormat="1">
      <c r="B179" s="21"/>
      <c r="C179" s="271">
        <v>1466</v>
      </c>
      <c r="D179" s="271" t="s">
        <v>1679</v>
      </c>
      <c r="E179" s="23"/>
      <c r="F179" s="24"/>
      <c r="G179" s="16"/>
      <c r="H179" s="2"/>
      <c r="I179" s="17"/>
      <c r="J179" s="25"/>
      <c r="K179" s="16"/>
      <c r="L179" s="2"/>
      <c r="M179" s="25"/>
      <c r="N179" s="26"/>
      <c r="O179" s="27"/>
      <c r="P179" s="223">
        <v>44200</v>
      </c>
      <c r="Q179" s="223"/>
      <c r="R179" s="271"/>
      <c r="S179" s="271"/>
      <c r="T179" s="271"/>
    </row>
    <row r="180" spans="1:21">
      <c r="A180">
        <v>341</v>
      </c>
      <c r="B180" s="21">
        <v>408</v>
      </c>
      <c r="C180" s="22">
        <v>3940</v>
      </c>
      <c r="D180" s="22" t="s">
        <v>393</v>
      </c>
      <c r="E180" s="23" t="s">
        <v>15</v>
      </c>
      <c r="F180" s="24">
        <v>19760101</v>
      </c>
      <c r="G180" s="16">
        <f t="shared" si="34"/>
        <v>27760</v>
      </c>
      <c r="H180" s="2">
        <f t="shared" si="35"/>
        <v>46</v>
      </c>
      <c r="I180" s="17"/>
      <c r="J180" s="25">
        <v>20060421</v>
      </c>
      <c r="K180" s="16">
        <f t="shared" si="36"/>
        <v>38828</v>
      </c>
      <c r="L180" s="2">
        <f t="shared" si="37"/>
        <v>15</v>
      </c>
      <c r="M180" s="25" t="e">
        <f>VLOOKUP($C180,#REF!:#REF!,2,FALSE)</f>
        <v>#REF!</v>
      </c>
      <c r="N180" s="26"/>
      <c r="O180" s="27" t="s">
        <v>35</v>
      </c>
      <c r="P180" s="223">
        <f>VLOOKUP($C180,従業員情報!$A$2:'従業員情報'!$AM$2000,5,FALSE)</f>
        <v>44200</v>
      </c>
      <c r="Q180" s="223" t="str">
        <f>VLOOKUP($C180,従業員情報!$A$2:'従業員情報'!$AM$2000,6,FALSE)</f>
        <v>川越第二工場管理</v>
      </c>
      <c r="R180" s="22">
        <v>1</v>
      </c>
      <c r="S180" s="22" t="s">
        <v>679</v>
      </c>
      <c r="T180" s="22">
        <v>2</v>
      </c>
      <c r="U180" s="264">
        <v>174</v>
      </c>
    </row>
    <row r="181" spans="1:21">
      <c r="A181">
        <v>375</v>
      </c>
      <c r="B181" s="21">
        <v>451</v>
      </c>
      <c r="C181" s="22">
        <v>5070</v>
      </c>
      <c r="D181" s="22" t="s">
        <v>388</v>
      </c>
      <c r="E181" s="23" t="s">
        <v>15</v>
      </c>
      <c r="F181" s="24">
        <v>19661026</v>
      </c>
      <c r="G181" s="16">
        <f t="shared" si="34"/>
        <v>24406</v>
      </c>
      <c r="H181" s="2">
        <f t="shared" si="35"/>
        <v>55</v>
      </c>
      <c r="I181" s="17"/>
      <c r="J181" s="25">
        <v>19830325</v>
      </c>
      <c r="K181" s="16">
        <f t="shared" si="36"/>
        <v>30400</v>
      </c>
      <c r="L181" s="2">
        <f t="shared" si="37"/>
        <v>38</v>
      </c>
      <c r="M181" s="25" t="e">
        <f>VLOOKUP($C181,#REF!:#REF!,2,FALSE)</f>
        <v>#REF!</v>
      </c>
      <c r="N181" s="26"/>
      <c r="O181" s="27" t="s">
        <v>105</v>
      </c>
      <c r="P181" s="223">
        <f>VLOOKUP($C181,従業員情報!$A$2:'従業員情報'!$AM$2000,5,FALSE)</f>
        <v>44200</v>
      </c>
      <c r="Q181" s="223" t="str">
        <f>VLOOKUP($C181,従業員情報!$A$2:'従業員情報'!$AM$2000,6,FALSE)</f>
        <v>川越第二工場管理</v>
      </c>
      <c r="R181" s="22">
        <v>0</v>
      </c>
      <c r="S181" s="22"/>
      <c r="T181" s="22">
        <v>1</v>
      </c>
      <c r="U181" s="264">
        <v>175</v>
      </c>
    </row>
    <row r="182" spans="1:21">
      <c r="A182">
        <v>274</v>
      </c>
      <c r="B182" s="465">
        <v>333</v>
      </c>
      <c r="C182" s="466">
        <v>3477</v>
      </c>
      <c r="D182" s="466" t="s">
        <v>337</v>
      </c>
      <c r="E182" s="23" t="s">
        <v>15</v>
      </c>
      <c r="F182" s="24">
        <v>19990326</v>
      </c>
      <c r="G182" s="16">
        <f t="shared" si="34"/>
        <v>36245</v>
      </c>
      <c r="H182" s="2">
        <f t="shared" si="35"/>
        <v>22</v>
      </c>
      <c r="I182" s="17"/>
      <c r="J182" s="25">
        <v>20170403</v>
      </c>
      <c r="K182" s="16">
        <f t="shared" si="36"/>
        <v>42828</v>
      </c>
      <c r="L182" s="2">
        <f t="shared" si="37"/>
        <v>4</v>
      </c>
      <c r="M182" s="25" t="e">
        <f>VLOOKUP($C182,#REF!:#REF!,2,FALSE)</f>
        <v>#REF!</v>
      </c>
      <c r="N182" s="26"/>
      <c r="O182" s="27">
        <v>6</v>
      </c>
      <c r="P182" s="223"/>
      <c r="Q182" s="223" t="str">
        <f>VLOOKUP($C182,従業員情報!$A$2:'従業員情報'!$AM$2000,6,FALSE)</f>
        <v>川越第二工場５係</v>
      </c>
      <c r="R182" s="22">
        <v>1</v>
      </c>
      <c r="S182" s="22" t="s">
        <v>679</v>
      </c>
      <c r="T182" s="22">
        <v>2</v>
      </c>
      <c r="U182" s="264">
        <v>133</v>
      </c>
    </row>
    <row r="183" spans="1:21">
      <c r="A183">
        <v>291</v>
      </c>
      <c r="B183" s="21">
        <v>357</v>
      </c>
      <c r="C183" s="22">
        <v>3506</v>
      </c>
      <c r="D183" s="22" t="s">
        <v>329</v>
      </c>
      <c r="E183" s="23" t="s">
        <v>15</v>
      </c>
      <c r="F183" s="24">
        <v>20000526</v>
      </c>
      <c r="G183" s="16">
        <f t="shared" si="34"/>
        <v>36672</v>
      </c>
      <c r="H183" s="2">
        <f t="shared" si="35"/>
        <v>21</v>
      </c>
      <c r="I183" s="17"/>
      <c r="J183" s="25">
        <v>20190401</v>
      </c>
      <c r="K183" s="16">
        <f t="shared" si="36"/>
        <v>43556</v>
      </c>
      <c r="L183" s="2">
        <f t="shared" si="37"/>
        <v>2</v>
      </c>
      <c r="M183" s="25" t="e">
        <f>VLOOKUP($C183,#REF!:#REF!,2,FALSE)</f>
        <v>#REF!</v>
      </c>
      <c r="N183" s="26"/>
      <c r="O183" s="27">
        <v>6</v>
      </c>
      <c r="P183" s="223">
        <f>VLOOKUP($C183,従業員情報!$A$2:'従業員情報'!$AM$2000,5,FALSE)</f>
        <v>44511</v>
      </c>
      <c r="Q183" s="223" t="str">
        <f>VLOOKUP($C183,従業員情報!$A$2:'従業員情報'!$AM$2000,6,FALSE)</f>
        <v>川越第二工場５係</v>
      </c>
      <c r="R183" s="22">
        <v>1</v>
      </c>
      <c r="S183" s="22" t="s">
        <v>679</v>
      </c>
      <c r="T183" s="22">
        <v>2</v>
      </c>
      <c r="U183" s="264">
        <v>165</v>
      </c>
    </row>
    <row r="184" spans="1:21">
      <c r="A184">
        <v>10</v>
      </c>
      <c r="B184" s="21">
        <v>13</v>
      </c>
      <c r="C184" s="22">
        <v>1326</v>
      </c>
      <c r="D184" s="22" t="s">
        <v>117</v>
      </c>
      <c r="E184" s="23" t="s">
        <v>15</v>
      </c>
      <c r="F184" s="24">
        <v>19750911</v>
      </c>
      <c r="G184" s="16">
        <f t="shared" si="34"/>
        <v>27648</v>
      </c>
      <c r="H184" s="2">
        <f t="shared" si="35"/>
        <v>46</v>
      </c>
      <c r="I184" s="17"/>
      <c r="J184" s="25">
        <v>20041102</v>
      </c>
      <c r="K184" s="16">
        <f t="shared" si="36"/>
        <v>38293</v>
      </c>
      <c r="L184" s="2">
        <f t="shared" si="37"/>
        <v>17</v>
      </c>
      <c r="M184" s="25" t="e">
        <f>VLOOKUP($C184,#REF!:#REF!,2,FALSE)</f>
        <v>#REF!</v>
      </c>
      <c r="N184" s="26"/>
      <c r="O184" s="27" t="s">
        <v>16</v>
      </c>
      <c r="P184" s="223">
        <v>42311</v>
      </c>
      <c r="Q184" s="223" t="s">
        <v>331</v>
      </c>
      <c r="R184" s="22">
        <v>0</v>
      </c>
      <c r="S184" s="22"/>
      <c r="T184" s="22">
        <v>2</v>
      </c>
      <c r="U184" s="264">
        <v>176</v>
      </c>
    </row>
    <row r="185" spans="1:21">
      <c r="A185">
        <v>144</v>
      </c>
      <c r="B185" s="21">
        <v>155</v>
      </c>
      <c r="C185" s="22">
        <v>3097</v>
      </c>
      <c r="D185" s="22" t="s">
        <v>390</v>
      </c>
      <c r="E185" s="23" t="s">
        <v>15</v>
      </c>
      <c r="F185" s="24">
        <v>19750514</v>
      </c>
      <c r="G185" s="16">
        <f t="shared" si="34"/>
        <v>27528</v>
      </c>
      <c r="H185" s="2">
        <f t="shared" si="35"/>
        <v>46</v>
      </c>
      <c r="I185" s="17"/>
      <c r="J185" s="25">
        <v>19960325</v>
      </c>
      <c r="K185" s="16">
        <f t="shared" si="36"/>
        <v>35149</v>
      </c>
      <c r="L185" s="2">
        <f t="shared" si="37"/>
        <v>25</v>
      </c>
      <c r="M185" s="25" t="e">
        <f>VLOOKUP($C185,#REF!:#REF!,2,FALSE)</f>
        <v>#REF!</v>
      </c>
      <c r="N185" s="26"/>
      <c r="O185" s="27" t="s">
        <v>19</v>
      </c>
      <c r="P185" s="223">
        <f>VLOOKUP($C185,従業員情報!$A$2:'従業員情報'!$AM$2000,5,FALSE)</f>
        <v>44511</v>
      </c>
      <c r="Q185" s="223" t="str">
        <f>VLOOKUP($C185,従業員情報!$A$2:'従業員情報'!$AM$2000,6,FALSE)</f>
        <v>川越第二工場５係</v>
      </c>
      <c r="R185" s="22">
        <v>1</v>
      </c>
      <c r="S185" s="22" t="s">
        <v>679</v>
      </c>
      <c r="T185" s="22">
        <v>1</v>
      </c>
      <c r="U185" s="264">
        <v>178</v>
      </c>
    </row>
    <row r="186" spans="1:21">
      <c r="A186">
        <v>268</v>
      </c>
      <c r="B186" s="21">
        <v>323</v>
      </c>
      <c r="C186" s="22">
        <v>3460</v>
      </c>
      <c r="D186" s="22" t="s">
        <v>394</v>
      </c>
      <c r="E186" s="23" t="s">
        <v>15</v>
      </c>
      <c r="F186" s="24">
        <v>19980313</v>
      </c>
      <c r="G186" s="16">
        <f t="shared" si="34"/>
        <v>35867</v>
      </c>
      <c r="H186" s="2">
        <f t="shared" si="35"/>
        <v>23</v>
      </c>
      <c r="I186" s="17"/>
      <c r="J186" s="25">
        <v>20160401</v>
      </c>
      <c r="K186" s="16">
        <f t="shared" si="36"/>
        <v>42461</v>
      </c>
      <c r="L186" s="2">
        <f t="shared" si="37"/>
        <v>5</v>
      </c>
      <c r="M186" s="25" t="e">
        <f>VLOOKUP($C186,#REF!:#REF!,2,FALSE)</f>
        <v>#REF!</v>
      </c>
      <c r="N186" s="26"/>
      <c r="O186" s="27" t="s">
        <v>35</v>
      </c>
      <c r="P186" s="223">
        <f>VLOOKUP($C186,従業員情報!$A$2:'従業員情報'!$AM$2000,5,FALSE)</f>
        <v>44511</v>
      </c>
      <c r="Q186" s="223" t="str">
        <f>VLOOKUP($C186,従業員情報!$A$2:'従業員情報'!$AM$2000,6,FALSE)</f>
        <v>川越第二工場５係</v>
      </c>
      <c r="R186" s="22">
        <v>1</v>
      </c>
      <c r="S186" s="22" t="s">
        <v>679</v>
      </c>
      <c r="T186" s="22">
        <v>2</v>
      </c>
      <c r="U186" s="264">
        <v>179</v>
      </c>
    </row>
    <row r="187" spans="1:21">
      <c r="A187">
        <v>343</v>
      </c>
      <c r="B187" s="21">
        <v>410</v>
      </c>
      <c r="C187" s="22">
        <v>3946</v>
      </c>
      <c r="D187" s="22" t="s">
        <v>391</v>
      </c>
      <c r="E187" s="23" t="s">
        <v>15</v>
      </c>
      <c r="F187" s="24">
        <v>19750308</v>
      </c>
      <c r="G187" s="16">
        <f t="shared" si="34"/>
        <v>27461</v>
      </c>
      <c r="H187" s="2">
        <f t="shared" si="35"/>
        <v>46</v>
      </c>
      <c r="I187" s="17"/>
      <c r="J187" s="25">
        <v>20070301</v>
      </c>
      <c r="K187" s="16">
        <f t="shared" si="36"/>
        <v>39142</v>
      </c>
      <c r="L187" s="2">
        <f t="shared" si="37"/>
        <v>15</v>
      </c>
      <c r="M187" s="25" t="e">
        <f>VLOOKUP($C187,#REF!:#REF!,2,FALSE)</f>
        <v>#REF!</v>
      </c>
      <c r="N187" s="26"/>
      <c r="O187" s="27" t="s">
        <v>19</v>
      </c>
      <c r="P187" s="223">
        <f>VLOOKUP($C187,従業員情報!$A$2:'従業員情報'!$AM$2000,5,FALSE)</f>
        <v>44511</v>
      </c>
      <c r="Q187" s="223" t="str">
        <f>VLOOKUP($C187,従業員情報!$A$2:'従業員情報'!$AM$2000,6,FALSE)</f>
        <v>川越第二工場５係</v>
      </c>
      <c r="R187" s="22">
        <v>1</v>
      </c>
      <c r="S187" s="22" t="s">
        <v>679</v>
      </c>
      <c r="T187" s="22">
        <v>1</v>
      </c>
      <c r="U187" s="264">
        <v>180</v>
      </c>
    </row>
    <row r="188" spans="1:21">
      <c r="A188">
        <v>97</v>
      </c>
      <c r="B188" s="21">
        <v>98</v>
      </c>
      <c r="C188" s="22">
        <v>2811</v>
      </c>
      <c r="D188" s="22" t="s">
        <v>324</v>
      </c>
      <c r="E188" s="23" t="s">
        <v>15</v>
      </c>
      <c r="F188" s="24">
        <v>19690124</v>
      </c>
      <c r="G188" s="16">
        <f t="shared" si="34"/>
        <v>25227</v>
      </c>
      <c r="H188" s="2">
        <f t="shared" si="35"/>
        <v>53</v>
      </c>
      <c r="I188" s="17"/>
      <c r="J188" s="25">
        <v>19870326</v>
      </c>
      <c r="K188" s="16">
        <f t="shared" si="36"/>
        <v>31862</v>
      </c>
      <c r="L188" s="2">
        <f t="shared" si="37"/>
        <v>34</v>
      </c>
      <c r="M188" s="25" t="e">
        <f>VLOOKUP($C188,#REF!:#REF!,2,FALSE)</f>
        <v>#REF!</v>
      </c>
      <c r="N188" s="26"/>
      <c r="O188" s="27" t="s">
        <v>35</v>
      </c>
      <c r="P188" s="223">
        <f>VLOOKUP($C188,従業員情報!$A$2:'従業員情報'!$AM$2000,5,FALSE)</f>
        <v>45111</v>
      </c>
      <c r="Q188" s="223" t="str">
        <f>VLOOKUP($C188,従業員情報!$A$2:'従業員情報'!$AM$2000,6,FALSE)</f>
        <v>川越第二工場鋳造部門</v>
      </c>
      <c r="R188" s="22">
        <v>1</v>
      </c>
      <c r="S188" s="22" t="s">
        <v>679</v>
      </c>
      <c r="T188" s="22">
        <v>2</v>
      </c>
      <c r="U188" s="264">
        <v>117</v>
      </c>
    </row>
    <row r="189" spans="1:21">
      <c r="A189">
        <v>8</v>
      </c>
      <c r="B189" s="21">
        <v>11</v>
      </c>
      <c r="C189" s="22">
        <v>1322</v>
      </c>
      <c r="D189" s="22" t="s">
        <v>113</v>
      </c>
      <c r="E189" s="23" t="s">
        <v>15</v>
      </c>
      <c r="F189" s="24">
        <v>19740628</v>
      </c>
      <c r="G189" s="16">
        <f t="shared" si="34"/>
        <v>27208</v>
      </c>
      <c r="H189" s="2">
        <f t="shared" si="35"/>
        <v>47</v>
      </c>
      <c r="I189" s="17"/>
      <c r="J189" s="25">
        <v>20020401</v>
      </c>
      <c r="K189" s="16">
        <f t="shared" si="36"/>
        <v>37347</v>
      </c>
      <c r="L189" s="2">
        <f t="shared" si="37"/>
        <v>19</v>
      </c>
      <c r="M189" s="25" t="e">
        <f>VLOOKUP($C189,#REF!:#REF!,2,FALSE)</f>
        <v>#REF!</v>
      </c>
      <c r="N189" s="26"/>
      <c r="O189" s="27" t="s">
        <v>19</v>
      </c>
      <c r="P189" s="223">
        <f>VLOOKUP($C189,従業員情報!$A$2:'従業員情報'!$AM$2000,5,FALSE)</f>
        <v>45111</v>
      </c>
      <c r="Q189" s="223" t="str">
        <f>VLOOKUP($C189,従業員情報!$A$2:'従業員情報'!$AM$2000,6,FALSE)</f>
        <v>川越第二工場鋳造部門</v>
      </c>
      <c r="R189" s="22">
        <v>0</v>
      </c>
      <c r="S189" s="22"/>
      <c r="T189" s="22">
        <v>1</v>
      </c>
      <c r="U189" s="264">
        <v>171</v>
      </c>
    </row>
    <row r="190" spans="1:21">
      <c r="A190">
        <v>37</v>
      </c>
      <c r="B190" s="21">
        <v>49</v>
      </c>
      <c r="C190" s="22">
        <v>1394</v>
      </c>
      <c r="D190" s="22" t="s">
        <v>400</v>
      </c>
      <c r="E190" s="23" t="s">
        <v>15</v>
      </c>
      <c r="F190" s="24">
        <v>19760731</v>
      </c>
      <c r="G190" s="16">
        <f t="shared" si="34"/>
        <v>27972</v>
      </c>
      <c r="H190" s="2">
        <f t="shared" si="35"/>
        <v>45</v>
      </c>
      <c r="I190" s="17"/>
      <c r="J190" s="25">
        <v>20150201</v>
      </c>
      <c r="K190" s="16">
        <f t="shared" si="36"/>
        <v>42036</v>
      </c>
      <c r="L190" s="2">
        <f t="shared" si="37"/>
        <v>7</v>
      </c>
      <c r="M190" s="25" t="e">
        <f>VLOOKUP($C190,#REF!:#REF!,2,FALSE)</f>
        <v>#REF!</v>
      </c>
      <c r="N190" s="26"/>
      <c r="O190" s="27" t="s">
        <v>35</v>
      </c>
      <c r="P190" s="223">
        <f>VLOOKUP($C190,従業員情報!$A$2:'従業員情報'!$AM$2000,5,FALSE)</f>
        <v>45111</v>
      </c>
      <c r="Q190" s="223" t="str">
        <f>VLOOKUP($C190,従業員情報!$A$2:'従業員情報'!$AM$2000,6,FALSE)</f>
        <v>川越第二工場鋳造部門</v>
      </c>
      <c r="R190" s="22">
        <v>1</v>
      </c>
      <c r="S190" s="22" t="s">
        <v>679</v>
      </c>
      <c r="T190" s="22">
        <v>1</v>
      </c>
      <c r="U190" s="264">
        <v>177</v>
      </c>
    </row>
    <row r="191" spans="1:21">
      <c r="A191">
        <v>20</v>
      </c>
      <c r="B191" s="21">
        <v>28</v>
      </c>
      <c r="C191" s="22">
        <v>1359</v>
      </c>
      <c r="D191" s="22" t="s">
        <v>403</v>
      </c>
      <c r="E191" s="23" t="s">
        <v>15</v>
      </c>
      <c r="F191" s="24">
        <v>19720520</v>
      </c>
      <c r="G191" s="16">
        <f t="shared" si="34"/>
        <v>26439</v>
      </c>
      <c r="H191" s="2">
        <f t="shared" si="35"/>
        <v>49</v>
      </c>
      <c r="I191" s="17"/>
      <c r="J191" s="25">
        <v>20081021</v>
      </c>
      <c r="K191" s="16">
        <f t="shared" si="36"/>
        <v>39742</v>
      </c>
      <c r="L191" s="2">
        <f t="shared" si="37"/>
        <v>13</v>
      </c>
      <c r="M191" s="25" t="e">
        <f>VLOOKUP($C191,#REF!:#REF!,2,FALSE)</f>
        <v>#REF!</v>
      </c>
      <c r="N191" s="26"/>
      <c r="O191" s="27" t="s">
        <v>35</v>
      </c>
      <c r="P191" s="223">
        <f>VLOOKUP($C191,従業員情報!$A$2:'従業員情報'!$AM$2000,5,FALSE)</f>
        <v>45111</v>
      </c>
      <c r="Q191" s="223" t="str">
        <f>VLOOKUP($C191,従業員情報!$A$2:'従業員情報'!$AM$2000,6,FALSE)</f>
        <v>川越第二工場鋳造部門</v>
      </c>
      <c r="R191" s="22">
        <v>1</v>
      </c>
      <c r="S191" s="22" t="s">
        <v>679</v>
      </c>
      <c r="T191" s="22">
        <v>2</v>
      </c>
      <c r="U191" s="264">
        <v>181</v>
      </c>
    </row>
    <row r="192" spans="1:21">
      <c r="A192">
        <v>45</v>
      </c>
      <c r="B192" s="21">
        <v>59</v>
      </c>
      <c r="C192" s="22">
        <v>1406</v>
      </c>
      <c r="D192" s="22" t="s">
        <v>404</v>
      </c>
      <c r="E192" s="23" t="s">
        <v>678</v>
      </c>
      <c r="F192" s="24">
        <v>19880709</v>
      </c>
      <c r="G192" s="16">
        <f t="shared" si="34"/>
        <v>32333</v>
      </c>
      <c r="H192" s="2">
        <f t="shared" si="35"/>
        <v>33</v>
      </c>
      <c r="I192" s="17"/>
      <c r="J192" s="25">
        <v>20150706</v>
      </c>
      <c r="K192" s="16">
        <f t="shared" si="36"/>
        <v>42191</v>
      </c>
      <c r="L192" s="2">
        <f t="shared" si="37"/>
        <v>6</v>
      </c>
      <c r="M192" s="25" t="e">
        <f>VLOOKUP($C192,#REF!:#REF!,2,FALSE)</f>
        <v>#REF!</v>
      </c>
      <c r="N192" s="26"/>
      <c r="O192" s="27">
        <v>6</v>
      </c>
      <c r="P192" s="223">
        <f>VLOOKUP($C192,従業員情報!$A$2:'従業員情報'!$AM$2000,5,FALSE)</f>
        <v>45111</v>
      </c>
      <c r="Q192" s="223" t="str">
        <f>VLOOKUP($C192,従業員情報!$A$2:'従業員情報'!$AM$2000,6,FALSE)</f>
        <v>川越第二工場鋳造部門</v>
      </c>
      <c r="R192" s="22">
        <v>1</v>
      </c>
      <c r="S192" s="22" t="s">
        <v>679</v>
      </c>
      <c r="T192" s="22">
        <v>2</v>
      </c>
      <c r="U192" s="264">
        <v>182</v>
      </c>
    </row>
    <row r="193" spans="1:21">
      <c r="A193">
        <v>63</v>
      </c>
      <c r="B193" s="21"/>
      <c r="C193" s="22">
        <v>1431</v>
      </c>
      <c r="D193" s="22" t="s">
        <v>809</v>
      </c>
      <c r="E193" s="23" t="s">
        <v>800</v>
      </c>
      <c r="F193" s="24"/>
      <c r="G193" s="16"/>
      <c r="H193" s="2"/>
      <c r="I193" s="17"/>
      <c r="J193" s="25"/>
      <c r="K193" s="16"/>
      <c r="M193" s="25" t="e">
        <f>VLOOKUP($C193,#REF!:#REF!,2,FALSE)</f>
        <v>#REF!</v>
      </c>
      <c r="N193" s="26"/>
      <c r="O193" s="27"/>
      <c r="P193" s="223">
        <f>VLOOKUP($C193,従業員情報!$A$2:'従業員情報'!$AM$2000,5,FALSE)</f>
        <v>45111</v>
      </c>
      <c r="Q193" s="223" t="str">
        <f>VLOOKUP($C193,従業員情報!$A$2:'従業員情報'!$AM$2000,6,FALSE)</f>
        <v>川越第二工場鋳造部門</v>
      </c>
      <c r="R193" s="22"/>
      <c r="S193" s="22"/>
      <c r="T193" s="22"/>
      <c r="U193" s="264">
        <v>183</v>
      </c>
    </row>
    <row r="194" spans="1:21">
      <c r="A194">
        <v>223</v>
      </c>
      <c r="B194" s="21">
        <v>253</v>
      </c>
      <c r="C194" s="22">
        <v>3348</v>
      </c>
      <c r="D194" s="22" t="s">
        <v>405</v>
      </c>
      <c r="E194" s="23" t="s">
        <v>15</v>
      </c>
      <c r="F194" s="24">
        <v>19921110</v>
      </c>
      <c r="G194" s="16">
        <f>DATE(INT(F194/10000),INT(MOD(F194,10000)/100),MOD(F194,100))</f>
        <v>33918</v>
      </c>
      <c r="H194" s="2">
        <f>DATEDIF(G194,$G$4,"Y")</f>
        <v>29</v>
      </c>
      <c r="I194" s="17"/>
      <c r="J194" s="25">
        <v>20110321</v>
      </c>
      <c r="K194" s="16">
        <f>DATE(INT(J194/10000),INT(MOD(J194,10000)/100),MOD(J194,100))</f>
        <v>40623</v>
      </c>
      <c r="L194" s="2">
        <f>DATEDIF(K194,$G$4,"Y")</f>
        <v>10</v>
      </c>
      <c r="M194" s="25" t="e">
        <f>VLOOKUP($C194,#REF!:#REF!,2,FALSE)</f>
        <v>#REF!</v>
      </c>
      <c r="N194" s="26"/>
      <c r="O194" s="27" t="s">
        <v>35</v>
      </c>
      <c r="P194" s="223">
        <f>VLOOKUP($C194,従業員情報!$A$2:'従業員情報'!$AM$2000,5,FALSE)</f>
        <v>45111</v>
      </c>
      <c r="Q194" s="223" t="str">
        <f>VLOOKUP($C194,従業員情報!$A$2:'従業員情報'!$AM$2000,6,FALSE)</f>
        <v>川越第二工場鋳造部門</v>
      </c>
      <c r="R194" s="22">
        <v>1</v>
      </c>
      <c r="S194" s="22" t="s">
        <v>679</v>
      </c>
      <c r="T194" s="22">
        <v>2</v>
      </c>
      <c r="U194" s="264">
        <v>184</v>
      </c>
    </row>
    <row r="195" spans="1:21">
      <c r="A195">
        <v>224</v>
      </c>
      <c r="B195" s="21">
        <v>254</v>
      </c>
      <c r="C195" s="22">
        <v>3349</v>
      </c>
      <c r="D195" s="22" t="s">
        <v>406</v>
      </c>
      <c r="E195" s="23" t="s">
        <v>15</v>
      </c>
      <c r="F195" s="24">
        <v>19930105</v>
      </c>
      <c r="G195" s="16">
        <f>DATE(INT(F195/10000),INT(MOD(F195,10000)/100),MOD(F195,100))</f>
        <v>33974</v>
      </c>
      <c r="H195" s="2">
        <f>DATEDIF(G195,$G$4,"Y")</f>
        <v>29</v>
      </c>
      <c r="I195" s="17"/>
      <c r="J195" s="25">
        <v>20110321</v>
      </c>
      <c r="K195" s="16">
        <f>DATE(INT(J195/10000),INT(MOD(J195,10000)/100),MOD(J195,100))</f>
        <v>40623</v>
      </c>
      <c r="L195" s="2">
        <f>DATEDIF(K195,$G$4,"Y")</f>
        <v>10</v>
      </c>
      <c r="M195" s="25" t="e">
        <f>VLOOKUP($C195,#REF!:#REF!,2,FALSE)</f>
        <v>#REF!</v>
      </c>
      <c r="N195" s="26"/>
      <c r="O195" s="27" t="s">
        <v>35</v>
      </c>
      <c r="P195" s="223">
        <f>VLOOKUP($C195,従業員情報!$A$2:'従業員情報'!$AM$2000,5,FALSE)</f>
        <v>45111</v>
      </c>
      <c r="Q195" s="223" t="str">
        <f>VLOOKUP($C195,従業員情報!$A$2:'従業員情報'!$AM$2000,6,FALSE)</f>
        <v>川越第二工場鋳造部門</v>
      </c>
      <c r="R195" s="22">
        <v>1</v>
      </c>
      <c r="S195" s="22" t="s">
        <v>679</v>
      </c>
      <c r="T195" s="22">
        <v>2</v>
      </c>
      <c r="U195" s="264">
        <v>185</v>
      </c>
    </row>
    <row r="196" spans="1:21">
      <c r="A196">
        <v>261</v>
      </c>
      <c r="B196" s="21">
        <v>310</v>
      </c>
      <c r="C196" s="22">
        <v>3445</v>
      </c>
      <c r="D196" s="22" t="s">
        <v>407</v>
      </c>
      <c r="E196" s="23" t="s">
        <v>15</v>
      </c>
      <c r="F196" s="24">
        <v>19960708</v>
      </c>
      <c r="G196" s="16">
        <f>DATE(INT(F196/10000),INT(MOD(F196,10000)/100),MOD(F196,100))</f>
        <v>35254</v>
      </c>
      <c r="H196" s="2">
        <f>DATEDIF(G196,$G$4,"Y")</f>
        <v>25</v>
      </c>
      <c r="I196" s="17"/>
      <c r="J196" s="25">
        <v>20150401</v>
      </c>
      <c r="K196" s="16">
        <f>DATE(INT(J196/10000),INT(MOD(J196,10000)/100),MOD(J196,100))</f>
        <v>42095</v>
      </c>
      <c r="L196" s="2">
        <f>DATEDIF(K196,$G$4,"Y")</f>
        <v>6</v>
      </c>
      <c r="M196" s="25" t="e">
        <f>VLOOKUP($C196,#REF!:#REF!,2,FALSE)</f>
        <v>#REF!</v>
      </c>
      <c r="N196" s="26"/>
      <c r="O196" s="27" t="s">
        <v>35</v>
      </c>
      <c r="P196" s="223">
        <f>VLOOKUP($C196,従業員情報!$A$2:'従業員情報'!$AM$2000,5,FALSE)</f>
        <v>45111</v>
      </c>
      <c r="Q196" s="223" t="str">
        <f>VLOOKUP($C196,従業員情報!$A$2:'従業員情報'!$AM$2000,6,FALSE)</f>
        <v>川越第二工場鋳造部門</v>
      </c>
      <c r="R196" s="22">
        <v>1</v>
      </c>
      <c r="S196" s="22" t="s">
        <v>679</v>
      </c>
      <c r="T196" s="22">
        <v>2</v>
      </c>
      <c r="U196" s="264">
        <v>186</v>
      </c>
    </row>
    <row r="197" spans="1:21">
      <c r="A197">
        <v>277</v>
      </c>
      <c r="B197" s="21">
        <v>338</v>
      </c>
      <c r="C197" s="22">
        <v>3483</v>
      </c>
      <c r="D197" s="22" t="s">
        <v>409</v>
      </c>
      <c r="E197" s="23" t="s">
        <v>15</v>
      </c>
      <c r="F197" s="24">
        <v>19981013</v>
      </c>
      <c r="G197" s="16">
        <f>DATE(INT(F197/10000),INT(MOD(F197,10000)/100),MOD(F197,100))</f>
        <v>36081</v>
      </c>
      <c r="H197" s="2">
        <f>DATEDIF(G197,$G$4,"Y")</f>
        <v>23</v>
      </c>
      <c r="I197" s="17"/>
      <c r="J197" s="25">
        <v>20170403</v>
      </c>
      <c r="K197" s="16">
        <f>DATE(INT(J197/10000),INT(MOD(J197,10000)/100),MOD(J197,100))</f>
        <v>42828</v>
      </c>
      <c r="L197" s="2">
        <f>DATEDIF(K197,$G$4,"Y")</f>
        <v>4</v>
      </c>
      <c r="M197" s="25" t="e">
        <f>VLOOKUP($C197,#REF!:#REF!,2,FALSE)</f>
        <v>#REF!</v>
      </c>
      <c r="N197" s="26"/>
      <c r="O197" s="27">
        <v>6</v>
      </c>
      <c r="P197" s="223">
        <f>VLOOKUP($C197,従業員情報!$A$2:'従業員情報'!$AM$2000,5,FALSE)</f>
        <v>45111</v>
      </c>
      <c r="Q197" s="223" t="str">
        <f>VLOOKUP($C197,従業員情報!$A$2:'従業員情報'!$AM$2000,6,FALSE)</f>
        <v>川越第二工場鋳造部門</v>
      </c>
      <c r="R197" s="22">
        <v>1</v>
      </c>
      <c r="S197" s="22" t="s">
        <v>679</v>
      </c>
      <c r="T197" s="22">
        <v>2</v>
      </c>
      <c r="U197" s="264">
        <v>187</v>
      </c>
    </row>
    <row r="198" spans="1:21">
      <c r="A198">
        <v>331</v>
      </c>
      <c r="B198" s="21">
        <v>397</v>
      </c>
      <c r="C198" s="22">
        <v>3899</v>
      </c>
      <c r="D198" s="22" t="s">
        <v>397</v>
      </c>
      <c r="E198" s="23" t="s">
        <v>15</v>
      </c>
      <c r="F198" s="24">
        <v>19660510</v>
      </c>
      <c r="G198" s="16">
        <f>DATE(INT(F198/10000),INT(MOD(F198,10000)/100),MOD(F198,100))</f>
        <v>24237</v>
      </c>
      <c r="H198" s="2">
        <f>DATEDIF(G198,$G$4,"Y")</f>
        <v>55</v>
      </c>
      <c r="I198" s="17"/>
      <c r="J198" s="25">
        <v>19850401</v>
      </c>
      <c r="K198" s="16">
        <f>DATE(INT(J198/10000),INT(MOD(J198,10000)/100),MOD(J198,100))</f>
        <v>31138</v>
      </c>
      <c r="L198" s="2">
        <f>DATEDIF(K198,$G$4,"Y")</f>
        <v>36</v>
      </c>
      <c r="M198" s="25" t="e">
        <f>VLOOKUP($C198,#REF!:#REF!,2,FALSE)</f>
        <v>#REF!</v>
      </c>
      <c r="N198" s="26"/>
      <c r="O198" s="27" t="s">
        <v>35</v>
      </c>
      <c r="P198" s="223">
        <f>VLOOKUP($C198,従業員情報!$A$2:'従業員情報'!$AM$2000,5,FALSE)</f>
        <v>45111</v>
      </c>
      <c r="Q198" s="223" t="str">
        <f>VLOOKUP($C198,従業員情報!$A$2:'従業員情報'!$AM$2000,6,FALSE)</f>
        <v>川越第二工場鋳造部門</v>
      </c>
      <c r="R198" s="22">
        <v>1</v>
      </c>
      <c r="S198" s="22" t="s">
        <v>679</v>
      </c>
      <c r="T198" s="22">
        <v>1</v>
      </c>
      <c r="U198" s="264">
        <v>188</v>
      </c>
    </row>
    <row r="199" spans="1:21">
      <c r="A199">
        <v>332</v>
      </c>
      <c r="B199" s="21">
        <v>398</v>
      </c>
      <c r="C199" s="22">
        <v>3900</v>
      </c>
      <c r="D199" s="22"/>
      <c r="E199" s="23"/>
      <c r="F199" s="24"/>
      <c r="G199" s="16"/>
      <c r="H199" s="2"/>
      <c r="I199" s="17"/>
      <c r="J199" s="25"/>
      <c r="K199" s="16"/>
      <c r="M199" s="25"/>
      <c r="N199" s="26"/>
      <c r="O199" s="27"/>
      <c r="P199" s="223"/>
      <c r="Q199" s="223"/>
      <c r="R199" s="22">
        <v>0</v>
      </c>
      <c r="S199" s="22"/>
      <c r="T199" s="22">
        <v>1</v>
      </c>
      <c r="U199" s="264">
        <v>189</v>
      </c>
    </row>
    <row r="200" spans="1:21">
      <c r="A200">
        <v>346</v>
      </c>
      <c r="B200" s="21">
        <v>415</v>
      </c>
      <c r="C200" s="22">
        <v>3952</v>
      </c>
      <c r="D200" s="22" t="s">
        <v>402</v>
      </c>
      <c r="E200" s="23" t="s">
        <v>15</v>
      </c>
      <c r="F200" s="24">
        <v>19750521</v>
      </c>
      <c r="G200" s="16">
        <f t="shared" ref="G200:G234" si="38">DATE(INT(F200/10000),INT(MOD(F200,10000)/100),MOD(F200,100))</f>
        <v>27535</v>
      </c>
      <c r="H200" s="2">
        <f t="shared" ref="H200:H234" si="39">DATEDIF(G200,$G$4,"Y")</f>
        <v>46</v>
      </c>
      <c r="I200" s="17"/>
      <c r="J200" s="25">
        <v>20070701</v>
      </c>
      <c r="K200" s="16">
        <f t="shared" ref="K200:K234" si="40">DATE(INT(J200/10000),INT(MOD(J200,10000)/100),MOD(J200,100))</f>
        <v>39264</v>
      </c>
      <c r="L200" s="2">
        <f t="shared" ref="L200:L234" si="41">DATEDIF(K200,$G$4,"Y")</f>
        <v>14</v>
      </c>
      <c r="M200" s="25" t="e">
        <f>VLOOKUP($C200,#REF!:#REF!,2,FALSE)</f>
        <v>#REF!</v>
      </c>
      <c r="N200" s="26"/>
      <c r="O200" s="27" t="s">
        <v>35</v>
      </c>
      <c r="P200" s="223">
        <f>VLOOKUP($C200,従業員情報!$A$2:'従業員情報'!$AM$2000,5,FALSE)</f>
        <v>45111</v>
      </c>
      <c r="Q200" s="223" t="str">
        <f>VLOOKUP($C200,従業員情報!$A$2:'従業員情報'!$AM$2000,6,FALSE)</f>
        <v>川越第二工場鋳造部門</v>
      </c>
      <c r="R200" s="22">
        <v>1</v>
      </c>
      <c r="S200" s="22" t="s">
        <v>679</v>
      </c>
      <c r="T200" s="22">
        <v>2</v>
      </c>
      <c r="U200" s="264">
        <v>190</v>
      </c>
    </row>
    <row r="201" spans="1:21">
      <c r="A201">
        <v>355</v>
      </c>
      <c r="B201" s="21">
        <v>427</v>
      </c>
      <c r="C201" s="22">
        <v>3978</v>
      </c>
      <c r="D201" s="22" t="s">
        <v>398</v>
      </c>
      <c r="E201" s="23" t="s">
        <v>15</v>
      </c>
      <c r="F201" s="24">
        <v>19780520</v>
      </c>
      <c r="G201" s="16">
        <f t="shared" si="38"/>
        <v>28630</v>
      </c>
      <c r="H201" s="2">
        <f t="shared" si="39"/>
        <v>43</v>
      </c>
      <c r="I201" s="17"/>
      <c r="J201" s="25">
        <v>20070921</v>
      </c>
      <c r="K201" s="16">
        <f t="shared" si="40"/>
        <v>39346</v>
      </c>
      <c r="L201" s="2">
        <f t="shared" si="41"/>
        <v>14</v>
      </c>
      <c r="M201" s="25" t="e">
        <f>VLOOKUP($C201,#REF!:#REF!,2,FALSE)</f>
        <v>#REF!</v>
      </c>
      <c r="N201" s="26"/>
      <c r="O201" s="27" t="s">
        <v>35</v>
      </c>
      <c r="P201" s="223">
        <f>VLOOKUP($C201,従業員情報!$A$2:'従業員情報'!$AM$2000,5,FALSE)</f>
        <v>45111</v>
      </c>
      <c r="Q201" s="223" t="str">
        <f>VLOOKUP($C201,従業員情報!$A$2:'従業員情報'!$AM$2000,6,FALSE)</f>
        <v>川越第二工場鋳造部門</v>
      </c>
      <c r="R201" s="22">
        <v>1</v>
      </c>
      <c r="S201" s="22" t="s">
        <v>679</v>
      </c>
      <c r="T201" s="22">
        <v>1</v>
      </c>
      <c r="U201" s="264">
        <v>191</v>
      </c>
    </row>
    <row r="202" spans="1:21">
      <c r="A202">
        <v>356</v>
      </c>
      <c r="B202" s="21">
        <v>428</v>
      </c>
      <c r="C202" s="22">
        <v>3979</v>
      </c>
      <c r="D202" s="22" t="s">
        <v>399</v>
      </c>
      <c r="E202" s="23" t="s">
        <v>15</v>
      </c>
      <c r="F202" s="24">
        <v>19800125</v>
      </c>
      <c r="G202" s="16">
        <f t="shared" si="38"/>
        <v>29245</v>
      </c>
      <c r="H202" s="2">
        <f t="shared" si="39"/>
        <v>42</v>
      </c>
      <c r="I202" s="17"/>
      <c r="J202" s="25">
        <v>20070921</v>
      </c>
      <c r="K202" s="16">
        <f t="shared" si="40"/>
        <v>39346</v>
      </c>
      <c r="L202" s="2">
        <f t="shared" si="41"/>
        <v>14</v>
      </c>
      <c r="M202" s="25" t="e">
        <f>VLOOKUP($C202,#REF!:#REF!,2,FALSE)</f>
        <v>#REF!</v>
      </c>
      <c r="N202" s="26"/>
      <c r="O202" s="27" t="s">
        <v>295</v>
      </c>
      <c r="P202" s="223">
        <f>VLOOKUP($C202,従業員情報!$A$2:'従業員情報'!$AM$2000,5,FALSE)</f>
        <v>45111</v>
      </c>
      <c r="Q202" s="223" t="str">
        <f>VLOOKUP($C202,従業員情報!$A$2:'従業員情報'!$AM$2000,6,FALSE)</f>
        <v>川越第二工場鋳造部門</v>
      </c>
      <c r="R202" s="22">
        <v>1</v>
      </c>
      <c r="S202" s="22" t="s">
        <v>679</v>
      </c>
      <c r="T202" s="22">
        <v>1</v>
      </c>
      <c r="U202" s="264">
        <v>192</v>
      </c>
    </row>
    <row r="203" spans="1:21">
      <c r="A203">
        <v>357</v>
      </c>
      <c r="B203" s="21">
        <v>429</v>
      </c>
      <c r="C203" s="22">
        <v>3980</v>
      </c>
      <c r="D203" s="22" t="s">
        <v>401</v>
      </c>
      <c r="E203" s="23" t="s">
        <v>15</v>
      </c>
      <c r="F203" s="24">
        <v>19710502</v>
      </c>
      <c r="G203" s="16">
        <f t="shared" si="38"/>
        <v>26055</v>
      </c>
      <c r="H203" s="2">
        <f t="shared" si="39"/>
        <v>50</v>
      </c>
      <c r="I203" s="17"/>
      <c r="J203" s="25">
        <v>20070921</v>
      </c>
      <c r="K203" s="16">
        <f t="shared" si="40"/>
        <v>39346</v>
      </c>
      <c r="L203" s="2">
        <f t="shared" si="41"/>
        <v>14</v>
      </c>
      <c r="M203" s="25" t="e">
        <f>VLOOKUP($C203,#REF!:#REF!,2,FALSE)</f>
        <v>#REF!</v>
      </c>
      <c r="N203" s="26"/>
      <c r="O203" s="27" t="s">
        <v>19</v>
      </c>
      <c r="P203" s="223">
        <f>VLOOKUP($C203,従業員情報!$A$2:'従業員情報'!$AM$2000,5,FALSE)</f>
        <v>45111</v>
      </c>
      <c r="Q203" s="223" t="str">
        <f>VLOOKUP($C203,従業員情報!$A$2:'従業員情報'!$AM$2000,6,FALSE)</f>
        <v>川越第二工場鋳造部門</v>
      </c>
      <c r="R203" s="22">
        <v>1</v>
      </c>
      <c r="S203" s="22" t="s">
        <v>679</v>
      </c>
      <c r="T203" s="22">
        <v>2</v>
      </c>
      <c r="U203" s="264">
        <v>193</v>
      </c>
    </row>
    <row r="204" spans="1:21">
      <c r="A204">
        <v>51</v>
      </c>
      <c r="B204" s="21"/>
      <c r="C204" s="22">
        <v>1418</v>
      </c>
      <c r="D204" s="22" t="s">
        <v>691</v>
      </c>
      <c r="E204" s="23" t="s">
        <v>692</v>
      </c>
      <c r="F204" s="24">
        <v>19880409</v>
      </c>
      <c r="G204" s="16">
        <f t="shared" si="38"/>
        <v>32242</v>
      </c>
      <c r="H204" s="2">
        <f t="shared" si="39"/>
        <v>33</v>
      </c>
      <c r="I204" s="17"/>
      <c r="J204" s="25">
        <v>20011201</v>
      </c>
      <c r="K204" s="16">
        <f t="shared" si="40"/>
        <v>37226</v>
      </c>
      <c r="L204" s="2">
        <f t="shared" si="41"/>
        <v>20</v>
      </c>
      <c r="M204" s="25" t="e">
        <f>VLOOKUP($C204,#REF!:#REF!,2,FALSE)</f>
        <v>#REF!</v>
      </c>
      <c r="N204" s="26"/>
      <c r="O204" s="27"/>
      <c r="P204" s="223">
        <f>VLOOKUP($C204,従業員情報!$A$2:'従業員情報'!$AM$2000,5,FALSE)</f>
        <v>50000</v>
      </c>
      <c r="Q204" s="223" t="str">
        <f>VLOOKUP($C204,従業員情報!$A$2:'従業員情報'!$AM$2000,6,FALSE)</f>
        <v>品質保証部検査課</v>
      </c>
      <c r="R204" s="22"/>
      <c r="S204" s="22"/>
      <c r="T204" s="22"/>
      <c r="U204" s="264">
        <v>194</v>
      </c>
    </row>
    <row r="205" spans="1:21">
      <c r="A205">
        <v>281</v>
      </c>
      <c r="B205" s="21">
        <v>343</v>
      </c>
      <c r="C205" s="22">
        <v>3489</v>
      </c>
      <c r="D205" s="22" t="s">
        <v>122</v>
      </c>
      <c r="E205" s="23" t="s">
        <v>15</v>
      </c>
      <c r="F205" s="24">
        <v>19950615</v>
      </c>
      <c r="G205" s="16">
        <f t="shared" si="38"/>
        <v>34865</v>
      </c>
      <c r="H205" s="2">
        <f t="shared" si="39"/>
        <v>26</v>
      </c>
      <c r="I205" s="17"/>
      <c r="J205" s="25">
        <v>20180402</v>
      </c>
      <c r="K205" s="16">
        <f t="shared" si="40"/>
        <v>43192</v>
      </c>
      <c r="L205" s="2">
        <f t="shared" si="41"/>
        <v>3</v>
      </c>
      <c r="M205" s="25" t="e">
        <f>VLOOKUP($C205,#REF!:#REF!,2,FALSE)</f>
        <v>#REF!</v>
      </c>
      <c r="N205" s="26"/>
      <c r="O205" s="27">
        <v>8</v>
      </c>
      <c r="P205" s="223">
        <f>VLOOKUP($C205,従業員情報!$A$2:'従業員情報'!$AM$2000,5,FALSE)</f>
        <v>50000</v>
      </c>
      <c r="Q205" s="223" t="str">
        <f>VLOOKUP($C205,従業員情報!$A$2:'従業員情報'!$AM$2000,6,FALSE)</f>
        <v>品質保証部検査課</v>
      </c>
      <c r="R205" s="22">
        <v>0</v>
      </c>
      <c r="S205" s="22"/>
      <c r="T205" s="22">
        <v>2</v>
      </c>
      <c r="U205" s="264">
        <v>195</v>
      </c>
    </row>
    <row r="206" spans="1:21">
      <c r="A206">
        <v>127</v>
      </c>
      <c r="B206" s="21">
        <v>133</v>
      </c>
      <c r="C206" s="22">
        <v>3019</v>
      </c>
      <c r="D206" s="22" t="s">
        <v>164</v>
      </c>
      <c r="E206" s="23" t="s">
        <v>15</v>
      </c>
      <c r="F206" s="24">
        <v>19721207</v>
      </c>
      <c r="G206" s="16">
        <f t="shared" si="38"/>
        <v>26640</v>
      </c>
      <c r="H206" s="2">
        <f t="shared" si="39"/>
        <v>49</v>
      </c>
      <c r="I206" s="17"/>
      <c r="J206" s="25">
        <v>19950322</v>
      </c>
      <c r="K206" s="16">
        <f t="shared" si="40"/>
        <v>34780</v>
      </c>
      <c r="L206" s="2">
        <f t="shared" si="41"/>
        <v>26</v>
      </c>
      <c r="M206" s="25" t="e">
        <f>VLOOKUP($C206,#REF!:#REF!,2,FALSE)</f>
        <v>#REF!</v>
      </c>
      <c r="N206" s="26"/>
      <c r="O206" s="27" t="s">
        <v>16</v>
      </c>
      <c r="P206" s="223">
        <f>VLOOKUP($C206,従業員情報!$A$2:'従業員情報'!$AM$2000,5,FALSE)</f>
        <v>51000</v>
      </c>
      <c r="Q206" s="223" t="str">
        <f>VLOOKUP($C206,従業員情報!$A$2:'従業員情報'!$AM$2000,6,FALSE)</f>
        <v>品質保証部品質管理課</v>
      </c>
      <c r="R206" s="22">
        <v>0</v>
      </c>
      <c r="S206" s="22"/>
      <c r="T206" s="22">
        <v>1</v>
      </c>
      <c r="U206" s="264">
        <v>197</v>
      </c>
    </row>
    <row r="207" spans="1:21">
      <c r="A207">
        <v>165</v>
      </c>
      <c r="B207" s="21">
        <v>179</v>
      </c>
      <c r="C207" s="22">
        <v>3178</v>
      </c>
      <c r="D207" s="22" t="s">
        <v>125</v>
      </c>
      <c r="E207" s="23" t="s">
        <v>15</v>
      </c>
      <c r="F207" s="24">
        <v>19791022</v>
      </c>
      <c r="G207" s="16">
        <f t="shared" si="38"/>
        <v>29150</v>
      </c>
      <c r="H207" s="2">
        <f t="shared" si="39"/>
        <v>42</v>
      </c>
      <c r="I207" s="17"/>
      <c r="J207" s="25">
        <v>20020322</v>
      </c>
      <c r="K207" s="16">
        <f t="shared" si="40"/>
        <v>37337</v>
      </c>
      <c r="L207" s="2">
        <f t="shared" si="41"/>
        <v>19</v>
      </c>
      <c r="M207" s="25" t="e">
        <f>VLOOKUP($C207,#REF!:#REF!,2,FALSE)</f>
        <v>#REF!</v>
      </c>
      <c r="N207" s="26"/>
      <c r="O207" s="27" t="s">
        <v>16</v>
      </c>
      <c r="P207" s="223">
        <f>VLOOKUP($C207,従業員情報!$A$2:'従業員情報'!$AM$2000,5,FALSE)</f>
        <v>51000</v>
      </c>
      <c r="Q207" s="223" t="str">
        <f>VLOOKUP($C207,従業員情報!$A$2:'従業員情報'!$AM$2000,6,FALSE)</f>
        <v>品質保証部品質管理課</v>
      </c>
      <c r="R207" s="22">
        <v>0</v>
      </c>
      <c r="S207" s="271"/>
      <c r="T207" s="22">
        <v>1</v>
      </c>
      <c r="U207" s="264">
        <v>198</v>
      </c>
    </row>
    <row r="208" spans="1:21">
      <c r="A208">
        <v>213</v>
      </c>
      <c r="B208" s="21">
        <v>239</v>
      </c>
      <c r="C208" s="22">
        <v>3319</v>
      </c>
      <c r="D208" s="22" t="s">
        <v>126</v>
      </c>
      <c r="E208" s="23" t="s">
        <v>15</v>
      </c>
      <c r="F208" s="24">
        <v>19871212</v>
      </c>
      <c r="G208" s="16">
        <f t="shared" si="38"/>
        <v>32123</v>
      </c>
      <c r="H208" s="2">
        <f t="shared" si="39"/>
        <v>34</v>
      </c>
      <c r="I208" s="17"/>
      <c r="J208" s="25">
        <v>20100321</v>
      </c>
      <c r="K208" s="16">
        <f t="shared" si="40"/>
        <v>40258</v>
      </c>
      <c r="L208" s="2">
        <f t="shared" si="41"/>
        <v>11</v>
      </c>
      <c r="M208" s="25" t="e">
        <f>VLOOKUP($C208,#REF!:#REF!,2,FALSE)</f>
        <v>#REF!</v>
      </c>
      <c r="N208" s="26"/>
      <c r="O208" s="27" t="s">
        <v>16</v>
      </c>
      <c r="P208" s="223">
        <f>VLOOKUP($C208,従業員情報!$A$2:'従業員情報'!$AM$2000,5,FALSE)</f>
        <v>51000</v>
      </c>
      <c r="Q208" s="223" t="str">
        <f>VLOOKUP($C208,従業員情報!$A$2:'従業員情報'!$AM$2000,6,FALSE)</f>
        <v>品質保証部品質管理課</v>
      </c>
      <c r="R208" s="22">
        <v>0</v>
      </c>
      <c r="S208" s="271"/>
      <c r="T208" s="22">
        <v>1</v>
      </c>
      <c r="U208" s="264">
        <v>199</v>
      </c>
    </row>
    <row r="209" spans="1:21">
      <c r="A209">
        <v>229</v>
      </c>
      <c r="B209" s="21">
        <v>261</v>
      </c>
      <c r="C209" s="22">
        <v>3360</v>
      </c>
      <c r="D209" s="22" t="s">
        <v>127</v>
      </c>
      <c r="E209" s="23" t="s">
        <v>15</v>
      </c>
      <c r="F209" s="24">
        <v>19891103</v>
      </c>
      <c r="G209" s="16">
        <f t="shared" si="38"/>
        <v>32815</v>
      </c>
      <c r="H209" s="2">
        <f t="shared" si="39"/>
        <v>32</v>
      </c>
      <c r="I209" s="17"/>
      <c r="J209" s="25">
        <v>20120321</v>
      </c>
      <c r="K209" s="16">
        <f t="shared" si="40"/>
        <v>40989</v>
      </c>
      <c r="L209" s="2">
        <f t="shared" si="41"/>
        <v>9</v>
      </c>
      <c r="M209" s="25" t="e">
        <f>VLOOKUP($C209,#REF!:#REF!,2,FALSE)</f>
        <v>#REF!</v>
      </c>
      <c r="N209" s="26"/>
      <c r="O209" s="27" t="s">
        <v>16</v>
      </c>
      <c r="P209" s="223">
        <f>VLOOKUP($C209,従業員情報!$A$2:'従業員情報'!$AM$2000,5,FALSE)</f>
        <v>51000</v>
      </c>
      <c r="Q209" s="223" t="str">
        <f>VLOOKUP($C209,従業員情報!$A$2:'従業員情報'!$AM$2000,6,FALSE)</f>
        <v>品質保証部品質管理課</v>
      </c>
      <c r="R209" s="22">
        <v>0</v>
      </c>
      <c r="S209" s="271"/>
      <c r="T209" s="22">
        <v>1</v>
      </c>
      <c r="U209" s="264">
        <v>200</v>
      </c>
    </row>
    <row r="210" spans="1:21">
      <c r="A210">
        <v>287</v>
      </c>
      <c r="B210" s="21">
        <v>352</v>
      </c>
      <c r="C210" s="22">
        <v>3501</v>
      </c>
      <c r="D210" s="22" t="s">
        <v>156</v>
      </c>
      <c r="E210" s="23" t="s">
        <v>15</v>
      </c>
      <c r="F210" s="24">
        <v>19970128</v>
      </c>
      <c r="G210" s="16">
        <f t="shared" si="38"/>
        <v>35458</v>
      </c>
      <c r="H210" s="2">
        <f t="shared" si="39"/>
        <v>25</v>
      </c>
      <c r="I210" s="17"/>
      <c r="J210" s="25">
        <v>20190401</v>
      </c>
      <c r="K210" s="16">
        <f t="shared" si="40"/>
        <v>43556</v>
      </c>
      <c r="L210" s="2">
        <f t="shared" si="41"/>
        <v>2</v>
      </c>
      <c r="M210" s="25" t="e">
        <f>VLOOKUP($C210,#REF!:#REF!,2,FALSE)</f>
        <v>#REF!</v>
      </c>
      <c r="N210" s="26"/>
      <c r="O210" s="27">
        <v>8</v>
      </c>
      <c r="P210" s="223">
        <f>VLOOKUP($C210,従業員情報!$A$2:'従業員情報'!$AM$2000,5,FALSE)</f>
        <v>51000</v>
      </c>
      <c r="Q210" s="223" t="str">
        <f>VLOOKUP($C210,従業員情報!$A$2:'従業員情報'!$AM$2000,6,FALSE)</f>
        <v>品質保証部品質管理課</v>
      </c>
      <c r="R210" s="22">
        <v>0</v>
      </c>
      <c r="S210" s="271"/>
      <c r="T210" s="22">
        <v>2</v>
      </c>
      <c r="U210" s="264">
        <v>202</v>
      </c>
    </row>
    <row r="211" spans="1:21">
      <c r="A211">
        <v>249</v>
      </c>
      <c r="B211" s="21">
        <v>292</v>
      </c>
      <c r="C211" s="22">
        <v>3413</v>
      </c>
      <c r="D211" s="22" t="s">
        <v>169</v>
      </c>
      <c r="E211" s="23" t="s">
        <v>15</v>
      </c>
      <c r="F211" s="24">
        <v>19890624</v>
      </c>
      <c r="G211" s="16">
        <f t="shared" si="38"/>
        <v>32683</v>
      </c>
      <c r="H211" s="2">
        <f t="shared" si="39"/>
        <v>32</v>
      </c>
      <c r="I211" s="17"/>
      <c r="J211" s="25">
        <v>20140321</v>
      </c>
      <c r="K211" s="16">
        <f t="shared" si="40"/>
        <v>41719</v>
      </c>
      <c r="L211" s="2">
        <f t="shared" si="41"/>
        <v>7</v>
      </c>
      <c r="M211" s="25" t="e">
        <f>VLOOKUP($C211,#REF!:#REF!,2,FALSE)</f>
        <v>#REF!</v>
      </c>
      <c r="N211" s="26"/>
      <c r="O211" s="27" t="s">
        <v>16</v>
      </c>
      <c r="P211" s="223">
        <f>VLOOKUP($C211,従業員情報!$A$2:'従業員情報'!$AM$2000,5,FALSE)</f>
        <v>51000</v>
      </c>
      <c r="Q211" s="223" t="str">
        <f>VLOOKUP($C211,従業員情報!$A$2:'従業員情報'!$AM$2000,6,FALSE)</f>
        <v>品質保証部品質管理課</v>
      </c>
      <c r="R211" s="22">
        <v>0</v>
      </c>
      <c r="S211" s="271"/>
      <c r="T211" s="22">
        <v>1</v>
      </c>
      <c r="U211" s="264">
        <v>246</v>
      </c>
    </row>
    <row r="212" spans="1:21">
      <c r="A212">
        <v>11</v>
      </c>
      <c r="B212" s="21">
        <v>14</v>
      </c>
      <c r="C212" s="22">
        <v>1338</v>
      </c>
      <c r="D212" s="22" t="s">
        <v>132</v>
      </c>
      <c r="E212" s="23" t="s">
        <v>15</v>
      </c>
      <c r="F212" s="24">
        <v>19700525</v>
      </c>
      <c r="G212" s="16">
        <f t="shared" si="38"/>
        <v>25713</v>
      </c>
      <c r="H212" s="2">
        <f t="shared" si="39"/>
        <v>51</v>
      </c>
      <c r="I212" s="17"/>
      <c r="J212" s="25">
        <v>20050901</v>
      </c>
      <c r="K212" s="16">
        <f t="shared" si="40"/>
        <v>38596</v>
      </c>
      <c r="L212" s="2">
        <f t="shared" si="41"/>
        <v>16</v>
      </c>
      <c r="M212" s="25" t="e">
        <f>VLOOKUP($C212,#REF!:#REF!,2,FALSE)</f>
        <v>#REF!</v>
      </c>
      <c r="N212" s="26"/>
      <c r="O212" s="27" t="s">
        <v>35</v>
      </c>
      <c r="P212" s="223">
        <f>VLOOKUP($C212,従業員情報!$A$2:'従業員情報'!$AM$2000,5,FALSE)</f>
        <v>60000</v>
      </c>
      <c r="Q212" s="223" t="str">
        <f>VLOOKUP($C212,従業員情報!$A$2:'従業員情報'!$AM$2000,6,FALSE)</f>
        <v>生産管理部製品管理課(羽生)</v>
      </c>
      <c r="R212" s="22">
        <v>0</v>
      </c>
      <c r="S212" s="271"/>
      <c r="T212" s="22">
        <v>1</v>
      </c>
      <c r="U212" s="264">
        <v>204</v>
      </c>
    </row>
    <row r="213" spans="1:21">
      <c r="A213">
        <v>364</v>
      </c>
      <c r="B213" s="21">
        <v>436</v>
      </c>
      <c r="C213" s="22">
        <v>3992</v>
      </c>
      <c r="D213" s="22" t="s">
        <v>43</v>
      </c>
      <c r="E213" s="23" t="s">
        <v>15</v>
      </c>
      <c r="F213" s="24">
        <v>19750708</v>
      </c>
      <c r="G213" s="16">
        <f t="shared" si="38"/>
        <v>27583</v>
      </c>
      <c r="H213" s="2">
        <f t="shared" si="39"/>
        <v>46</v>
      </c>
      <c r="I213" s="17"/>
      <c r="J213" s="25">
        <v>20071211</v>
      </c>
      <c r="K213" s="16">
        <f t="shared" si="40"/>
        <v>39427</v>
      </c>
      <c r="L213" s="2">
        <f t="shared" si="41"/>
        <v>14</v>
      </c>
      <c r="M213" s="25" t="e">
        <f>VLOOKUP($C213,#REF!:#REF!,2,FALSE)</f>
        <v>#REF!</v>
      </c>
      <c r="N213" s="26"/>
      <c r="O213" s="27" t="s">
        <v>16</v>
      </c>
      <c r="P213" s="223">
        <f>VLOOKUP($C213,従業員情報!$A$2:'従業員情報'!$AM$2000,5,FALSE)</f>
        <v>60000</v>
      </c>
      <c r="Q213" s="223" t="str">
        <f>VLOOKUP($C213,従業員情報!$A$2:'従業員情報'!$AM$2000,6,FALSE)</f>
        <v>生産管理部製品管理課(羽生)</v>
      </c>
      <c r="R213" s="22">
        <v>0</v>
      </c>
      <c r="S213" s="271"/>
      <c r="T213" s="22">
        <v>1</v>
      </c>
      <c r="U213" s="264">
        <v>205</v>
      </c>
    </row>
    <row r="214" spans="1:21">
      <c r="A214">
        <v>126</v>
      </c>
      <c r="B214" s="21">
        <v>132</v>
      </c>
      <c r="C214" s="22">
        <v>3014</v>
      </c>
      <c r="D214" s="22" t="s">
        <v>222</v>
      </c>
      <c r="E214" s="23" t="s">
        <v>15</v>
      </c>
      <c r="F214" s="24">
        <v>19700419</v>
      </c>
      <c r="G214" s="16">
        <f t="shared" si="38"/>
        <v>25677</v>
      </c>
      <c r="H214" s="2">
        <f t="shared" si="39"/>
        <v>51</v>
      </c>
      <c r="I214" s="17"/>
      <c r="J214" s="25">
        <v>19950322</v>
      </c>
      <c r="K214" s="16">
        <f t="shared" si="40"/>
        <v>34780</v>
      </c>
      <c r="L214" s="2">
        <f t="shared" si="41"/>
        <v>26</v>
      </c>
      <c r="M214" s="25" t="e">
        <f>VLOOKUP($C214,#REF!:#REF!,2,FALSE)</f>
        <v>#REF!</v>
      </c>
      <c r="N214" s="26"/>
      <c r="O214" s="27" t="s">
        <v>16</v>
      </c>
      <c r="P214" s="223">
        <f>VLOOKUP($C214,従業員情報!$A$2:'従業員情報'!$AM$2000,5,FALSE)</f>
        <v>60100</v>
      </c>
      <c r="Q214" s="223" t="str">
        <f>VLOOKUP($C214,従業員情報!$A$2:'従業員情報'!$AM$2000,6,FALSE)</f>
        <v>生産管理部調達課(羽生)</v>
      </c>
      <c r="R214" s="22">
        <v>0</v>
      </c>
      <c r="S214" s="271"/>
      <c r="T214" s="22">
        <v>1</v>
      </c>
      <c r="U214" s="264">
        <v>206</v>
      </c>
    </row>
    <row r="215" spans="1:21">
      <c r="A215">
        <v>240</v>
      </c>
      <c r="B215" s="21">
        <v>281</v>
      </c>
      <c r="C215" s="22">
        <v>3393</v>
      </c>
      <c r="D215" s="22" t="s">
        <v>136</v>
      </c>
      <c r="E215" s="23" t="s">
        <v>15</v>
      </c>
      <c r="F215" s="24">
        <v>19930104</v>
      </c>
      <c r="G215" s="16">
        <f t="shared" si="38"/>
        <v>33973</v>
      </c>
      <c r="H215" s="2">
        <f t="shared" si="39"/>
        <v>29</v>
      </c>
      <c r="I215" s="17"/>
      <c r="J215" s="25">
        <v>20130321</v>
      </c>
      <c r="K215" s="16">
        <f t="shared" si="40"/>
        <v>41354</v>
      </c>
      <c r="L215" s="2">
        <f t="shared" si="41"/>
        <v>8</v>
      </c>
      <c r="M215" s="25" t="e">
        <f>VLOOKUP($C215,#REF!:#REF!,2,FALSE)</f>
        <v>#REF!</v>
      </c>
      <c r="N215" s="26"/>
      <c r="O215" s="27" t="s">
        <v>19</v>
      </c>
      <c r="P215" s="223">
        <f>VLOOKUP($C215,従業員情報!$A$2:'従業員情報'!$AM$2000,5,FALSE)</f>
        <v>60200</v>
      </c>
      <c r="Q215" s="223" t="str">
        <f>VLOOKUP($C215,従業員情報!$A$2:'従業員情報'!$AM$2000,6,FALSE)</f>
        <v>生産管理部ＩＴ管理課(羽生)</v>
      </c>
      <c r="R215" s="22">
        <v>0</v>
      </c>
      <c r="S215" s="271"/>
      <c r="T215" s="22">
        <v>2</v>
      </c>
      <c r="U215" s="264">
        <v>208</v>
      </c>
    </row>
    <row r="216" spans="1:21">
      <c r="A216">
        <v>14</v>
      </c>
      <c r="B216" s="21">
        <v>17</v>
      </c>
      <c r="C216" s="22">
        <v>1341</v>
      </c>
      <c r="D216" s="22" t="s">
        <v>137</v>
      </c>
      <c r="E216" s="23" t="s">
        <v>15</v>
      </c>
      <c r="F216" s="24">
        <v>19710325</v>
      </c>
      <c r="G216" s="16">
        <f t="shared" si="38"/>
        <v>26017</v>
      </c>
      <c r="H216" s="2">
        <f t="shared" si="39"/>
        <v>50</v>
      </c>
      <c r="I216" s="17"/>
      <c r="J216" s="25">
        <v>20060321</v>
      </c>
      <c r="K216" s="16">
        <f t="shared" si="40"/>
        <v>38797</v>
      </c>
      <c r="L216" s="2">
        <f t="shared" si="41"/>
        <v>15</v>
      </c>
      <c r="M216" s="25" t="e">
        <f>VLOOKUP($C216,#REF!:#REF!,2,FALSE)</f>
        <v>#REF!</v>
      </c>
      <c r="N216" s="26"/>
      <c r="O216" s="27" t="s">
        <v>35</v>
      </c>
      <c r="P216" s="223">
        <f>VLOOKUP($C216,従業員情報!$A$2:'従業員情報'!$AM$2000,5,FALSE)</f>
        <v>60300</v>
      </c>
      <c r="Q216" s="223" t="str">
        <f>VLOOKUP($C216,従業員情報!$A$2:'従業員情報'!$AM$2000,6,FALSE)</f>
        <v>羽生工場構内物流</v>
      </c>
      <c r="R216" s="22">
        <v>0</v>
      </c>
      <c r="S216" s="306"/>
      <c r="T216" s="22">
        <v>1</v>
      </c>
      <c r="U216" s="264">
        <v>209</v>
      </c>
    </row>
    <row r="217" spans="1:21">
      <c r="A217">
        <v>115</v>
      </c>
      <c r="B217" s="21">
        <v>118</v>
      </c>
      <c r="C217" s="22">
        <v>2953</v>
      </c>
      <c r="D217" s="22" t="s">
        <v>145</v>
      </c>
      <c r="E217" s="23" t="s">
        <v>15</v>
      </c>
      <c r="F217" s="24">
        <v>19741026</v>
      </c>
      <c r="G217" s="16">
        <f t="shared" si="38"/>
        <v>27328</v>
      </c>
      <c r="H217" s="2">
        <f t="shared" si="39"/>
        <v>47</v>
      </c>
      <c r="I217" s="17"/>
      <c r="J217" s="25">
        <v>19930322</v>
      </c>
      <c r="K217" s="16">
        <f t="shared" si="40"/>
        <v>34050</v>
      </c>
      <c r="L217" s="2">
        <f t="shared" si="41"/>
        <v>28</v>
      </c>
      <c r="M217" s="25" t="e">
        <f>VLOOKUP($C217,#REF!:#REF!,2,FALSE)</f>
        <v>#REF!</v>
      </c>
      <c r="N217" s="26"/>
      <c r="O217" s="27" t="s">
        <v>35</v>
      </c>
      <c r="P217" s="223">
        <f>VLOOKUP($C217,従業員情報!$A$2:'従業員情報'!$AM$2000,5,FALSE)</f>
        <v>60300</v>
      </c>
      <c r="Q217" s="223" t="str">
        <f>VLOOKUP($C217,従業員情報!$A$2:'従業員情報'!$AM$2000,6,FALSE)</f>
        <v>羽生工場構内物流</v>
      </c>
      <c r="R217" s="22">
        <v>0</v>
      </c>
      <c r="S217" s="306"/>
      <c r="T217" s="22">
        <v>2</v>
      </c>
      <c r="U217" s="264">
        <v>210</v>
      </c>
    </row>
    <row r="218" spans="1:21">
      <c r="A218">
        <v>153</v>
      </c>
      <c r="B218" s="21">
        <v>165</v>
      </c>
      <c r="C218" s="22">
        <v>3137</v>
      </c>
      <c r="D218" s="22" t="s">
        <v>140</v>
      </c>
      <c r="E218" s="23" t="s">
        <v>15</v>
      </c>
      <c r="F218" s="24">
        <v>19761016</v>
      </c>
      <c r="G218" s="16">
        <f t="shared" si="38"/>
        <v>28049</v>
      </c>
      <c r="H218" s="2">
        <f t="shared" si="39"/>
        <v>45</v>
      </c>
      <c r="I218" s="17"/>
      <c r="J218" s="25">
        <v>19970321</v>
      </c>
      <c r="K218" s="16">
        <f t="shared" si="40"/>
        <v>35510</v>
      </c>
      <c r="L218" s="2">
        <f t="shared" si="41"/>
        <v>24</v>
      </c>
      <c r="M218" s="25" t="e">
        <f>VLOOKUP($C218,#REF!:#REF!,2,FALSE)</f>
        <v>#REF!</v>
      </c>
      <c r="N218" s="26"/>
      <c r="O218" s="27" t="s">
        <v>19</v>
      </c>
      <c r="P218" s="223">
        <f>VLOOKUP($C218,従業員情報!$A$2:'従業員情報'!$AM$2000,5,FALSE)</f>
        <v>60300</v>
      </c>
      <c r="Q218" s="223" t="str">
        <f>VLOOKUP($C218,従業員情報!$A$2:'従業員情報'!$AM$2000,6,FALSE)</f>
        <v>羽生工場構内物流</v>
      </c>
      <c r="R218" s="22">
        <v>0</v>
      </c>
      <c r="S218" s="306"/>
      <c r="T218" s="22">
        <v>2</v>
      </c>
      <c r="U218" s="264">
        <v>211</v>
      </c>
    </row>
    <row r="219" spans="1:21">
      <c r="A219">
        <v>313</v>
      </c>
      <c r="B219" s="21">
        <v>372</v>
      </c>
      <c r="C219" s="22">
        <v>3762</v>
      </c>
      <c r="D219" s="22" t="s">
        <v>139</v>
      </c>
      <c r="E219" s="23" t="s">
        <v>15</v>
      </c>
      <c r="F219" s="24">
        <v>19680423</v>
      </c>
      <c r="G219" s="16">
        <f t="shared" si="38"/>
        <v>24951</v>
      </c>
      <c r="H219" s="2">
        <f t="shared" si="39"/>
        <v>53</v>
      </c>
      <c r="I219" s="17"/>
      <c r="J219" s="25">
        <v>19890425</v>
      </c>
      <c r="K219" s="16">
        <f t="shared" si="40"/>
        <v>32623</v>
      </c>
      <c r="L219" s="2">
        <f t="shared" si="41"/>
        <v>32</v>
      </c>
      <c r="M219" s="25" t="e">
        <f>VLOOKUP($C219,#REF!:#REF!,2,FALSE)</f>
        <v>#REF!</v>
      </c>
      <c r="N219" s="26"/>
      <c r="O219" s="27" t="s">
        <v>35</v>
      </c>
      <c r="P219" s="223">
        <f>VLOOKUP($C219,従業員情報!$A$2:'従業員情報'!$AM$2000,5,FALSE)</f>
        <v>60300</v>
      </c>
      <c r="Q219" s="223" t="str">
        <f>VLOOKUP($C219,従業員情報!$A$2:'従業員情報'!$AM$2000,6,FALSE)</f>
        <v>羽生工場構内物流</v>
      </c>
      <c r="R219" s="22">
        <v>0</v>
      </c>
      <c r="S219" s="306"/>
      <c r="T219" s="22">
        <v>2</v>
      </c>
      <c r="U219" s="264">
        <v>212</v>
      </c>
    </row>
    <row r="220" spans="1:21">
      <c r="A220">
        <v>348</v>
      </c>
      <c r="B220" s="21">
        <v>418</v>
      </c>
      <c r="C220" s="22">
        <v>3959</v>
      </c>
      <c r="D220" s="22" t="s">
        <v>142</v>
      </c>
      <c r="E220" s="23" t="s">
        <v>15</v>
      </c>
      <c r="F220" s="24">
        <v>19670717</v>
      </c>
      <c r="G220" s="16">
        <f t="shared" si="38"/>
        <v>24670</v>
      </c>
      <c r="H220" s="2">
        <f t="shared" si="39"/>
        <v>54</v>
      </c>
      <c r="I220" s="17"/>
      <c r="J220" s="25">
        <v>20070613</v>
      </c>
      <c r="K220" s="16">
        <f t="shared" si="40"/>
        <v>39246</v>
      </c>
      <c r="L220" s="2">
        <f t="shared" si="41"/>
        <v>14</v>
      </c>
      <c r="M220" s="25" t="e">
        <f>VLOOKUP($C220,#REF!:#REF!,2,FALSE)</f>
        <v>#REF!</v>
      </c>
      <c r="N220" s="26"/>
      <c r="O220" s="27" t="s">
        <v>16</v>
      </c>
      <c r="P220" s="223">
        <f>VLOOKUP($C220,従業員情報!$A$2:'従業員情報'!$AM$2000,5,FALSE)</f>
        <v>60300</v>
      </c>
      <c r="Q220" s="223" t="str">
        <f>VLOOKUP($C220,従業員情報!$A$2:'従業員情報'!$AM$2000,6,FALSE)</f>
        <v>羽生工場構内物流</v>
      </c>
      <c r="R220" s="22">
        <v>0</v>
      </c>
      <c r="S220" s="306"/>
      <c r="T220" s="22">
        <v>2</v>
      </c>
      <c r="U220" s="264">
        <v>213</v>
      </c>
    </row>
    <row r="221" spans="1:21">
      <c r="A221">
        <v>354</v>
      </c>
      <c r="B221" s="21">
        <v>426</v>
      </c>
      <c r="C221" s="22">
        <v>3970</v>
      </c>
      <c r="D221" s="22" t="s">
        <v>143</v>
      </c>
      <c r="E221" s="23" t="s">
        <v>15</v>
      </c>
      <c r="F221" s="24">
        <v>19640913</v>
      </c>
      <c r="G221" s="16">
        <f t="shared" si="38"/>
        <v>23633</v>
      </c>
      <c r="H221" s="2">
        <f t="shared" si="39"/>
        <v>57</v>
      </c>
      <c r="I221" s="17"/>
      <c r="J221" s="25">
        <v>20070910</v>
      </c>
      <c r="K221" s="16">
        <f t="shared" si="40"/>
        <v>39335</v>
      </c>
      <c r="L221" s="2">
        <f t="shared" si="41"/>
        <v>14</v>
      </c>
      <c r="M221" s="25" t="e">
        <f>VLOOKUP($C221,#REF!:#REF!,2,FALSE)</f>
        <v>#REF!</v>
      </c>
      <c r="N221" s="26"/>
      <c r="O221" s="27" t="s">
        <v>19</v>
      </c>
      <c r="P221" s="223">
        <f>VLOOKUP($C221,従業員情報!$A$2:'従業員情報'!$AM$2000,5,FALSE)</f>
        <v>60300</v>
      </c>
      <c r="Q221" s="223" t="str">
        <f>VLOOKUP($C221,従業員情報!$A$2:'従業員情報'!$AM$2000,6,FALSE)</f>
        <v>羽生工場構内物流</v>
      </c>
      <c r="R221" s="22">
        <v>0</v>
      </c>
      <c r="S221" s="381"/>
      <c r="T221" s="22">
        <v>2</v>
      </c>
      <c r="U221" s="264">
        <v>214</v>
      </c>
    </row>
    <row r="222" spans="1:21">
      <c r="A222">
        <v>366</v>
      </c>
      <c r="B222" s="21">
        <v>438</v>
      </c>
      <c r="C222" s="22">
        <v>3994</v>
      </c>
      <c r="D222" s="22" t="s">
        <v>144</v>
      </c>
      <c r="E222" s="23" t="s">
        <v>15</v>
      </c>
      <c r="F222" s="24">
        <v>19750404</v>
      </c>
      <c r="G222" s="16">
        <f t="shared" si="38"/>
        <v>27488</v>
      </c>
      <c r="H222" s="2">
        <f t="shared" si="39"/>
        <v>46</v>
      </c>
      <c r="I222" s="17"/>
      <c r="J222" s="25">
        <v>20080121</v>
      </c>
      <c r="K222" s="16">
        <f t="shared" si="40"/>
        <v>39468</v>
      </c>
      <c r="L222" s="2">
        <f t="shared" si="41"/>
        <v>14</v>
      </c>
      <c r="M222" s="25" t="e">
        <f>VLOOKUP($C222,#REF!:#REF!,2,FALSE)</f>
        <v>#REF!</v>
      </c>
      <c r="N222" s="26"/>
      <c r="O222" s="27" t="s">
        <v>35</v>
      </c>
      <c r="P222" s="223">
        <f>VLOOKUP($C222,従業員情報!$A$2:'従業員情報'!$AM$2000,5,FALSE)</f>
        <v>60300</v>
      </c>
      <c r="Q222" s="223" t="str">
        <f>VLOOKUP($C222,従業員情報!$A$2:'従業員情報'!$AM$2000,6,FALSE)</f>
        <v>羽生工場構内物流</v>
      </c>
      <c r="R222" s="22">
        <v>0</v>
      </c>
      <c r="S222" s="381"/>
      <c r="T222" s="22">
        <v>2</v>
      </c>
      <c r="U222" s="264">
        <v>215</v>
      </c>
    </row>
    <row r="223" spans="1:21">
      <c r="A223">
        <v>99</v>
      </c>
      <c r="B223" s="21">
        <v>100</v>
      </c>
      <c r="C223" s="22">
        <v>2829</v>
      </c>
      <c r="D223" s="22" t="s">
        <v>102</v>
      </c>
      <c r="E223" s="23" t="s">
        <v>15</v>
      </c>
      <c r="F223" s="24">
        <v>19700309</v>
      </c>
      <c r="G223" s="16">
        <f t="shared" si="38"/>
        <v>25636</v>
      </c>
      <c r="H223" s="2">
        <f t="shared" si="39"/>
        <v>51</v>
      </c>
      <c r="I223" s="17"/>
      <c r="J223" s="25">
        <v>19880324</v>
      </c>
      <c r="K223" s="16">
        <f t="shared" si="40"/>
        <v>32226</v>
      </c>
      <c r="L223" s="2">
        <f t="shared" si="41"/>
        <v>33</v>
      </c>
      <c r="M223" s="25" t="e">
        <f>VLOOKUP($C223,#REF!:#REF!,2,FALSE)</f>
        <v>#REF!</v>
      </c>
      <c r="N223" s="26"/>
      <c r="O223" s="27" t="s">
        <v>35</v>
      </c>
      <c r="P223" s="223">
        <f>VLOOKUP($C223,従業員情報!$A$2:'従業員情報'!$AM$2000,5,FALSE)</f>
        <v>60300</v>
      </c>
      <c r="Q223" s="223" t="str">
        <f>VLOOKUP($C223,従業員情報!$A$2:'従業員情報'!$AM$2000,6,FALSE)</f>
        <v>羽生工場構内物流</v>
      </c>
      <c r="R223" s="22">
        <v>0</v>
      </c>
      <c r="S223" s="22"/>
      <c r="T223" s="22">
        <v>1</v>
      </c>
      <c r="U223" s="264">
        <v>310</v>
      </c>
    </row>
    <row r="224" spans="1:21">
      <c r="A224">
        <v>93</v>
      </c>
      <c r="B224" s="21">
        <v>93</v>
      </c>
      <c r="C224" s="22">
        <v>2777</v>
      </c>
      <c r="D224" s="22" t="s">
        <v>413</v>
      </c>
      <c r="E224" s="23" t="s">
        <v>15</v>
      </c>
      <c r="F224" s="24">
        <v>19670803</v>
      </c>
      <c r="G224" s="16">
        <f t="shared" si="38"/>
        <v>24687</v>
      </c>
      <c r="H224" s="2">
        <f t="shared" si="39"/>
        <v>54</v>
      </c>
      <c r="I224" s="17"/>
      <c r="J224" s="25">
        <v>19860326</v>
      </c>
      <c r="K224" s="16">
        <f t="shared" si="40"/>
        <v>31497</v>
      </c>
      <c r="L224" s="2">
        <f t="shared" si="41"/>
        <v>35</v>
      </c>
      <c r="M224" s="25" t="e">
        <f>VLOOKUP($C224,#REF!:#REF!,2,FALSE)</f>
        <v>#REF!</v>
      </c>
      <c r="N224" s="26"/>
      <c r="O224" s="27" t="s">
        <v>35</v>
      </c>
      <c r="P224" s="223">
        <f>VLOOKUP($C224,従業員情報!$A$2:'従業員情報'!$AM$2000,5,FALSE)</f>
        <v>60411</v>
      </c>
      <c r="Q224" s="223" t="str">
        <f>VLOOKUP($C224,従業員情報!$A$2:'従業員情報'!$AM$2000,6,FALSE)</f>
        <v>羽生工場構内ＳＰ</v>
      </c>
      <c r="R224" s="22">
        <v>0</v>
      </c>
      <c r="S224" s="381"/>
      <c r="T224" s="22">
        <v>2</v>
      </c>
      <c r="U224" s="264">
        <v>216</v>
      </c>
    </row>
    <row r="225" spans="1:21">
      <c r="A225">
        <v>324</v>
      </c>
      <c r="B225" s="21">
        <v>386</v>
      </c>
      <c r="C225" s="22">
        <v>3873</v>
      </c>
      <c r="D225" s="22" t="s">
        <v>412</v>
      </c>
      <c r="E225" s="23" t="s">
        <v>15</v>
      </c>
      <c r="F225" s="24">
        <v>19750520</v>
      </c>
      <c r="G225" s="16">
        <f t="shared" si="38"/>
        <v>27534</v>
      </c>
      <c r="H225" s="2">
        <f t="shared" si="39"/>
        <v>46</v>
      </c>
      <c r="I225" s="17"/>
      <c r="J225" s="25">
        <v>19970729</v>
      </c>
      <c r="K225" s="16">
        <f t="shared" si="40"/>
        <v>35640</v>
      </c>
      <c r="L225" s="2">
        <f t="shared" si="41"/>
        <v>24</v>
      </c>
      <c r="M225" s="25" t="e">
        <f>VLOOKUP($C225,#REF!:#REF!,2,FALSE)</f>
        <v>#REF!</v>
      </c>
      <c r="N225" s="26"/>
      <c r="O225" s="27" t="s">
        <v>77</v>
      </c>
      <c r="P225" s="223">
        <f>VLOOKUP($C225,従業員情報!$A$2:'従業員情報'!$AM$2000,5,FALSE)</f>
        <v>60411</v>
      </c>
      <c r="Q225" s="223" t="str">
        <f>VLOOKUP($C225,従業員情報!$A$2:'従業員情報'!$AM$2000,6,FALSE)</f>
        <v>羽生工場構内ＳＰ</v>
      </c>
      <c r="R225" s="22">
        <v>0</v>
      </c>
      <c r="S225" s="381"/>
      <c r="T225" s="22">
        <v>1</v>
      </c>
      <c r="U225" s="264">
        <v>217</v>
      </c>
    </row>
    <row r="226" spans="1:21">
      <c r="A226">
        <v>3</v>
      </c>
      <c r="B226" s="21">
        <v>6</v>
      </c>
      <c r="C226" s="22">
        <v>1292</v>
      </c>
      <c r="D226" s="22" t="s">
        <v>54</v>
      </c>
      <c r="E226" s="23" t="s">
        <v>15</v>
      </c>
      <c r="F226" s="24">
        <v>19730829</v>
      </c>
      <c r="G226" s="16">
        <f t="shared" si="38"/>
        <v>26905</v>
      </c>
      <c r="H226" s="2">
        <f t="shared" si="39"/>
        <v>48</v>
      </c>
      <c r="I226" s="17"/>
      <c r="J226" s="25">
        <v>19940321</v>
      </c>
      <c r="K226" s="16">
        <f t="shared" si="40"/>
        <v>34414</v>
      </c>
      <c r="L226" s="2">
        <f t="shared" si="41"/>
        <v>27</v>
      </c>
      <c r="M226" s="25" t="e">
        <f>VLOOKUP($C226,#REF!:#REF!,2,FALSE)</f>
        <v>#REF!</v>
      </c>
      <c r="N226" s="26"/>
      <c r="O226" s="27" t="s">
        <v>35</v>
      </c>
      <c r="P226" s="223">
        <f>VLOOKUP($C226,従業員情報!$A$2:'従業員情報'!$AM$2000,5,FALSE)</f>
        <v>61000</v>
      </c>
      <c r="Q226" s="223" t="str">
        <f>VLOOKUP($C226,従業員情報!$A$2:'従業員情報'!$AM$2000,6,FALSE)</f>
        <v>生産技術部（羽生）</v>
      </c>
      <c r="R226" s="22">
        <v>0</v>
      </c>
      <c r="S226" s="22"/>
      <c r="T226" s="22">
        <v>1</v>
      </c>
      <c r="U226" s="264">
        <v>33</v>
      </c>
    </row>
    <row r="227" spans="1:21">
      <c r="A227">
        <v>82</v>
      </c>
      <c r="B227" s="21">
        <v>79</v>
      </c>
      <c r="C227" s="271">
        <v>2700</v>
      </c>
      <c r="D227" s="22" t="s">
        <v>153</v>
      </c>
      <c r="E227" s="23" t="s">
        <v>15</v>
      </c>
      <c r="F227" s="24">
        <v>19660129</v>
      </c>
      <c r="G227" s="16">
        <f t="shared" si="38"/>
        <v>24136</v>
      </c>
      <c r="H227" s="2">
        <f t="shared" si="39"/>
        <v>56</v>
      </c>
      <c r="I227" s="17"/>
      <c r="J227" s="25">
        <v>19840321</v>
      </c>
      <c r="K227" s="16">
        <f t="shared" si="40"/>
        <v>30762</v>
      </c>
      <c r="L227" s="2">
        <f t="shared" si="41"/>
        <v>37</v>
      </c>
      <c r="M227" s="25" t="e">
        <f>VLOOKUP($C227,#REF!:#REF!,2,FALSE)</f>
        <v>#REF!</v>
      </c>
      <c r="N227" s="26"/>
      <c r="O227" s="27" t="s">
        <v>35</v>
      </c>
      <c r="P227" s="223">
        <f>VLOOKUP($C227,従業員情報!$A$2:'従業員情報'!$AM$2000,5,FALSE)</f>
        <v>61000</v>
      </c>
      <c r="Q227" s="223" t="str">
        <f>VLOOKUP($C227,従業員情報!$A$2:'従業員情報'!$AM$2000,6,FALSE)</f>
        <v>生産技術部（羽生）</v>
      </c>
      <c r="R227" s="22">
        <v>0</v>
      </c>
      <c r="S227" s="22"/>
      <c r="T227" s="22">
        <v>2</v>
      </c>
      <c r="U227" s="264">
        <v>218</v>
      </c>
    </row>
    <row r="228" spans="1:21">
      <c r="A228">
        <v>123</v>
      </c>
      <c r="B228" s="21">
        <v>127</v>
      </c>
      <c r="C228" s="22">
        <v>2983</v>
      </c>
      <c r="D228" s="22" t="s">
        <v>149</v>
      </c>
      <c r="E228" s="23" t="s">
        <v>15</v>
      </c>
      <c r="F228" s="24">
        <v>19710614</v>
      </c>
      <c r="G228" s="16">
        <f t="shared" si="38"/>
        <v>26098</v>
      </c>
      <c r="H228" s="2">
        <f t="shared" si="39"/>
        <v>50</v>
      </c>
      <c r="I228" s="17"/>
      <c r="J228" s="25">
        <v>19940322</v>
      </c>
      <c r="K228" s="16">
        <f t="shared" si="40"/>
        <v>34415</v>
      </c>
      <c r="L228" s="2">
        <f t="shared" si="41"/>
        <v>27</v>
      </c>
      <c r="M228" s="25" t="e">
        <f>VLOOKUP($C228,#REF!:#REF!,2,FALSE)</f>
        <v>#REF!</v>
      </c>
      <c r="N228" s="26"/>
      <c r="O228" s="27" t="s">
        <v>19</v>
      </c>
      <c r="P228" s="223">
        <f>VLOOKUP($C228,従業員情報!$A$2:'従業員情報'!$AM$2000,5,FALSE)</f>
        <v>61000</v>
      </c>
      <c r="Q228" s="223" t="str">
        <f>VLOOKUP($C228,従業員情報!$A$2:'従業員情報'!$AM$2000,6,FALSE)</f>
        <v>生産技術部（羽生）</v>
      </c>
      <c r="R228" s="22">
        <v>0</v>
      </c>
      <c r="S228" s="22"/>
      <c r="T228" s="22">
        <v>1</v>
      </c>
      <c r="U228" s="264">
        <v>221</v>
      </c>
    </row>
    <row r="229" spans="1:21">
      <c r="A229">
        <v>130</v>
      </c>
      <c r="B229" s="21">
        <v>136</v>
      </c>
      <c r="C229" s="22">
        <v>3022</v>
      </c>
      <c r="D229" s="22" t="s">
        <v>154</v>
      </c>
      <c r="E229" s="23" t="s">
        <v>15</v>
      </c>
      <c r="F229" s="24">
        <v>19720416</v>
      </c>
      <c r="G229" s="16">
        <f t="shared" si="38"/>
        <v>26405</v>
      </c>
      <c r="H229" s="2">
        <f t="shared" si="39"/>
        <v>49</v>
      </c>
      <c r="I229" s="17"/>
      <c r="J229" s="25">
        <v>19950322</v>
      </c>
      <c r="K229" s="16">
        <f t="shared" si="40"/>
        <v>34780</v>
      </c>
      <c r="L229" s="2">
        <f t="shared" si="41"/>
        <v>26</v>
      </c>
      <c r="M229" s="25" t="e">
        <f>VLOOKUP($C229,#REF!:#REF!,2,FALSE)</f>
        <v>#REF!</v>
      </c>
      <c r="N229" s="26"/>
      <c r="O229" s="27" t="s">
        <v>16</v>
      </c>
      <c r="P229" s="223">
        <f>VLOOKUP($C229,従業員情報!$A$2:'従業員情報'!$AM$2000,5,FALSE)</f>
        <v>61000</v>
      </c>
      <c r="Q229" s="223" t="str">
        <f>VLOOKUP($C229,従業員情報!$A$2:'従業員情報'!$AM$2000,6,FALSE)</f>
        <v>生産技術部（羽生）</v>
      </c>
      <c r="R229" s="22">
        <v>0</v>
      </c>
      <c r="S229" s="22"/>
      <c r="T229" s="22">
        <v>2</v>
      </c>
      <c r="U229" s="264">
        <v>222</v>
      </c>
    </row>
    <row r="230" spans="1:21">
      <c r="A230">
        <v>184</v>
      </c>
      <c r="B230" s="21">
        <v>201</v>
      </c>
      <c r="C230" s="22">
        <v>3228</v>
      </c>
      <c r="D230" s="22" t="s">
        <v>150</v>
      </c>
      <c r="E230" s="23" t="s">
        <v>15</v>
      </c>
      <c r="F230" s="24">
        <v>19830224</v>
      </c>
      <c r="G230" s="16">
        <f t="shared" si="38"/>
        <v>30371</v>
      </c>
      <c r="H230" s="2">
        <f t="shared" si="39"/>
        <v>39</v>
      </c>
      <c r="I230" s="17"/>
      <c r="J230" s="25">
        <v>20050321</v>
      </c>
      <c r="K230" s="16">
        <f t="shared" si="40"/>
        <v>38432</v>
      </c>
      <c r="L230" s="2">
        <f t="shared" si="41"/>
        <v>16</v>
      </c>
      <c r="M230" s="25" t="e">
        <f>VLOOKUP($C230,#REF!:#REF!,2,FALSE)</f>
        <v>#REF!</v>
      </c>
      <c r="N230" s="26"/>
      <c r="O230" s="27" t="s">
        <v>16</v>
      </c>
      <c r="P230" s="223">
        <f>VLOOKUP($C230,従業員情報!$A$2:'従業員情報'!$AM$2000,5,FALSE)</f>
        <v>61000</v>
      </c>
      <c r="Q230" s="223" t="str">
        <f>VLOOKUP($C230,従業員情報!$A$2:'従業員情報'!$AM$2000,6,FALSE)</f>
        <v>生産技術部（羽生）</v>
      </c>
      <c r="R230" s="22">
        <v>0</v>
      </c>
      <c r="S230" s="22"/>
      <c r="T230" s="22">
        <v>1</v>
      </c>
      <c r="U230" s="264">
        <v>223</v>
      </c>
    </row>
    <row r="231" spans="1:21">
      <c r="A231">
        <v>189</v>
      </c>
      <c r="B231" s="21">
        <v>207</v>
      </c>
      <c r="C231" s="22">
        <v>3246</v>
      </c>
      <c r="D231" s="22" t="s">
        <v>191</v>
      </c>
      <c r="E231" s="23" t="s">
        <v>15</v>
      </c>
      <c r="F231" s="24">
        <v>19830430</v>
      </c>
      <c r="G231" s="16">
        <f t="shared" si="38"/>
        <v>30436</v>
      </c>
      <c r="H231" s="2">
        <f t="shared" si="39"/>
        <v>38</v>
      </c>
      <c r="I231" s="17"/>
      <c r="J231" s="25">
        <v>20060321</v>
      </c>
      <c r="K231" s="16">
        <f t="shared" si="40"/>
        <v>38797</v>
      </c>
      <c r="L231" s="2">
        <f t="shared" si="41"/>
        <v>15</v>
      </c>
      <c r="M231" s="25" t="e">
        <f>VLOOKUP($C231,#REF!:#REF!,2,FALSE)</f>
        <v>#REF!</v>
      </c>
      <c r="N231" s="26"/>
      <c r="O231" s="27" t="s">
        <v>16</v>
      </c>
      <c r="P231" s="223">
        <f>VLOOKUP($C231,従業員情報!$A$2:'従業員情報'!$AM$2000,5,FALSE)</f>
        <v>61000</v>
      </c>
      <c r="Q231" s="223" t="str">
        <f>VLOOKUP($C231,従業員情報!$A$2:'従業員情報'!$AM$2000,6,FALSE)</f>
        <v>生産技術部（羽生）</v>
      </c>
      <c r="R231" s="22">
        <v>0</v>
      </c>
      <c r="S231" s="22"/>
      <c r="T231" s="22">
        <v>1</v>
      </c>
      <c r="U231" s="264">
        <v>224</v>
      </c>
    </row>
    <row r="232" spans="1:21">
      <c r="A232">
        <v>215</v>
      </c>
      <c r="B232" s="21">
        <v>242</v>
      </c>
      <c r="C232" s="271">
        <v>3328</v>
      </c>
      <c r="D232" s="22" t="s">
        <v>151</v>
      </c>
      <c r="E232" s="23" t="s">
        <v>15</v>
      </c>
      <c r="F232" s="24">
        <v>19880225</v>
      </c>
      <c r="G232" s="16">
        <f t="shared" si="38"/>
        <v>32198</v>
      </c>
      <c r="H232" s="2">
        <f t="shared" si="39"/>
        <v>34</v>
      </c>
      <c r="I232" s="17"/>
      <c r="J232" s="25">
        <v>20110321</v>
      </c>
      <c r="K232" s="16">
        <f t="shared" si="40"/>
        <v>40623</v>
      </c>
      <c r="L232" s="2">
        <f t="shared" si="41"/>
        <v>10</v>
      </c>
      <c r="M232" s="25" t="e">
        <f>VLOOKUP($C232,#REF!:#REF!,2,FALSE)</f>
        <v>#REF!</v>
      </c>
      <c r="N232" s="26"/>
      <c r="O232" s="27" t="s">
        <v>16</v>
      </c>
      <c r="P232" s="223">
        <f>VLOOKUP($C232,従業員情報!$A$2:'従業員情報'!$AM$2000,5,FALSE)</f>
        <v>61000</v>
      </c>
      <c r="Q232" s="223" t="str">
        <f>VLOOKUP($C232,従業員情報!$A$2:'従業員情報'!$AM$2000,6,FALSE)</f>
        <v>生産技術部（羽生）</v>
      </c>
      <c r="R232" s="22">
        <v>0</v>
      </c>
      <c r="S232" s="22"/>
      <c r="T232" s="22">
        <v>1</v>
      </c>
      <c r="U232" s="264">
        <v>225</v>
      </c>
    </row>
    <row r="233" spans="1:21">
      <c r="A233">
        <v>250</v>
      </c>
      <c r="B233" s="21">
        <v>293</v>
      </c>
      <c r="C233" s="22">
        <v>3414</v>
      </c>
      <c r="D233" s="22" t="s">
        <v>152</v>
      </c>
      <c r="E233" s="23" t="s">
        <v>15</v>
      </c>
      <c r="F233" s="24">
        <v>19910608</v>
      </c>
      <c r="G233" s="16">
        <f t="shared" si="38"/>
        <v>33397</v>
      </c>
      <c r="H233" s="2">
        <f t="shared" si="39"/>
        <v>30</v>
      </c>
      <c r="I233" s="17"/>
      <c r="J233" s="25">
        <v>20140321</v>
      </c>
      <c r="K233" s="16">
        <f t="shared" si="40"/>
        <v>41719</v>
      </c>
      <c r="L233" s="2">
        <f t="shared" si="41"/>
        <v>7</v>
      </c>
      <c r="M233" s="25" t="e">
        <f>VLOOKUP($C233,#REF!:#REF!,2,FALSE)</f>
        <v>#REF!</v>
      </c>
      <c r="N233" s="26"/>
      <c r="O233" s="27" t="s">
        <v>16</v>
      </c>
      <c r="P233" s="223">
        <f>VLOOKUP($C233,従業員情報!$A$2:'従業員情報'!$AM$2000,5,FALSE)</f>
        <v>61000</v>
      </c>
      <c r="Q233" s="223" t="str">
        <f>VLOOKUP($C233,従業員情報!$A$2:'従業員情報'!$AM$2000,6,FALSE)</f>
        <v>生産技術部（羽生）</v>
      </c>
      <c r="R233" s="22">
        <v>0</v>
      </c>
      <c r="S233" s="22"/>
      <c r="T233" s="22">
        <v>1</v>
      </c>
      <c r="U233" s="264">
        <v>226</v>
      </c>
    </row>
    <row r="234" spans="1:21">
      <c r="A234">
        <v>265</v>
      </c>
      <c r="B234" s="21">
        <v>318</v>
      </c>
      <c r="C234" s="22">
        <v>3454</v>
      </c>
      <c r="D234" s="22" t="s">
        <v>155</v>
      </c>
      <c r="E234" s="23" t="s">
        <v>15</v>
      </c>
      <c r="F234" s="24">
        <v>19930630</v>
      </c>
      <c r="G234" s="16">
        <f t="shared" si="38"/>
        <v>34150</v>
      </c>
      <c r="H234" s="2">
        <f t="shared" si="39"/>
        <v>28</v>
      </c>
      <c r="I234" s="17"/>
      <c r="J234" s="25">
        <v>20160401</v>
      </c>
      <c r="K234" s="16">
        <f t="shared" si="40"/>
        <v>42461</v>
      </c>
      <c r="L234" s="2">
        <f t="shared" si="41"/>
        <v>5</v>
      </c>
      <c r="M234" s="25" t="e">
        <f>VLOOKUP($C234,#REF!:#REF!,2,FALSE)</f>
        <v>#REF!</v>
      </c>
      <c r="N234" s="26"/>
      <c r="O234" s="27" t="s">
        <v>16</v>
      </c>
      <c r="P234" s="223">
        <f>VLOOKUP($C234,従業員情報!$A$2:'従業員情報'!$AM$2000,5,FALSE)</f>
        <v>61000</v>
      </c>
      <c r="Q234" s="223" t="str">
        <f>VLOOKUP($C234,従業員情報!$A$2:'従業員情報'!$AM$2000,6,FALSE)</f>
        <v>生産技術部（羽生）</v>
      </c>
      <c r="R234" s="22">
        <v>0</v>
      </c>
      <c r="S234" s="22"/>
      <c r="T234" s="22">
        <v>2</v>
      </c>
      <c r="U234" s="264">
        <v>227</v>
      </c>
    </row>
    <row r="235" spans="1:21">
      <c r="A235">
        <v>307</v>
      </c>
      <c r="B235" s="21"/>
      <c r="C235" s="22">
        <v>3532</v>
      </c>
      <c r="D235" s="22" t="s">
        <v>724</v>
      </c>
      <c r="E235" s="23"/>
      <c r="F235" s="24"/>
      <c r="G235" s="16"/>
      <c r="H235" s="2"/>
      <c r="I235" s="17"/>
      <c r="J235" s="25"/>
      <c r="K235" s="16"/>
      <c r="M235" s="25" t="e">
        <f>VLOOKUP($C235,#REF!:#REF!,2,FALSE)</f>
        <v>#REF!</v>
      </c>
      <c r="N235" s="26"/>
      <c r="O235" s="27"/>
      <c r="P235" s="223">
        <f>VLOOKUP($C235,従業員情報!$A$2:'従業員情報'!$AM$2000,5,FALSE)</f>
        <v>61000</v>
      </c>
      <c r="Q235" s="223" t="str">
        <f>VLOOKUP($C235,従業員情報!$A$2:'従業員情報'!$AM$2000,6,FALSE)</f>
        <v>生産技術部（羽生）</v>
      </c>
      <c r="R235" s="22"/>
      <c r="S235" s="22"/>
      <c r="T235" s="22"/>
      <c r="U235" s="264">
        <v>228</v>
      </c>
    </row>
    <row r="236" spans="1:21">
      <c r="A236">
        <v>49</v>
      </c>
      <c r="B236" s="21"/>
      <c r="C236" s="32">
        <v>1413</v>
      </c>
      <c r="D236" s="22" t="s">
        <v>578</v>
      </c>
      <c r="E236" s="33" t="s">
        <v>678</v>
      </c>
      <c r="F236" s="34">
        <v>19780308</v>
      </c>
      <c r="G236" s="16">
        <f t="shared" ref="G236:G250" si="42">DATE(INT(F236/10000),INT(MOD(F236,10000)/100),MOD(F236,100))</f>
        <v>28557</v>
      </c>
      <c r="H236" s="2">
        <f t="shared" ref="H236:H250" si="43">DATEDIF(G236,$G$4,"Y")</f>
        <v>43</v>
      </c>
      <c r="J236" s="30">
        <v>20210901</v>
      </c>
      <c r="K236" s="16">
        <f t="shared" ref="K236:K254" si="44">DATE(INT(J236/10000),INT(MOD(J236,10000)/100),MOD(J236,100))</f>
        <v>44440</v>
      </c>
      <c r="L236" s="2">
        <f t="shared" ref="L236:L254" si="45">DATEDIF(K236,$G$4,"Y")</f>
        <v>0</v>
      </c>
      <c r="M236" s="25" t="e">
        <f>VLOOKUP($C236,#REF!:#REF!,2,FALSE)</f>
        <v>#REF!</v>
      </c>
      <c r="N236" s="35"/>
      <c r="O236" s="386"/>
      <c r="P236" s="223">
        <f>VLOOKUP($C236,従業員情報!$A$2:'従業員情報'!$AM$2000,5,FALSE)</f>
        <v>61200</v>
      </c>
      <c r="Q236" s="223" t="str">
        <f>VLOOKUP($C236,従業員情報!$A$2:'従業員情報'!$AM$2000,6,FALSE)</f>
        <v>生産技術部工機（羽生）</v>
      </c>
      <c r="R236" s="22"/>
      <c r="S236" s="22"/>
      <c r="T236" s="22"/>
      <c r="U236" s="264">
        <v>229</v>
      </c>
    </row>
    <row r="237" spans="1:21">
      <c r="A237">
        <v>169</v>
      </c>
      <c r="B237" s="21">
        <v>184</v>
      </c>
      <c r="C237" s="22">
        <v>3190</v>
      </c>
      <c r="D237" s="22" t="s">
        <v>157</v>
      </c>
      <c r="E237" s="23" t="s">
        <v>15</v>
      </c>
      <c r="F237" s="24">
        <v>19830917</v>
      </c>
      <c r="G237" s="16">
        <f t="shared" si="42"/>
        <v>30576</v>
      </c>
      <c r="H237" s="2">
        <f t="shared" si="43"/>
        <v>38</v>
      </c>
      <c r="I237" s="17"/>
      <c r="J237" s="25">
        <v>20020322</v>
      </c>
      <c r="K237" s="16">
        <f t="shared" si="44"/>
        <v>37337</v>
      </c>
      <c r="L237" s="2">
        <f t="shared" si="45"/>
        <v>19</v>
      </c>
      <c r="M237" s="25" t="e">
        <f>VLOOKUP($C237,#REF!:#REF!,2,FALSE)</f>
        <v>#REF!</v>
      </c>
      <c r="N237" s="26"/>
      <c r="O237" s="27" t="s">
        <v>35</v>
      </c>
      <c r="P237" s="223">
        <f>VLOOKUP($C237,従業員情報!$A$2:'従業員情報'!$AM$2000,5,FALSE)</f>
        <v>61200</v>
      </c>
      <c r="Q237" s="223" t="str">
        <f>VLOOKUP($C237,従業員情報!$A$2:'従業員情報'!$AM$2000,6,FALSE)</f>
        <v>生産技術部工機（羽生）</v>
      </c>
      <c r="R237" s="22">
        <v>0</v>
      </c>
      <c r="S237" s="22"/>
      <c r="T237" s="22">
        <v>1</v>
      </c>
      <c r="U237" s="264">
        <v>230</v>
      </c>
    </row>
    <row r="238" spans="1:21">
      <c r="A238">
        <v>195</v>
      </c>
      <c r="B238" s="21">
        <v>213</v>
      </c>
      <c r="C238" s="22">
        <v>3254</v>
      </c>
      <c r="D238" s="22" t="s">
        <v>159</v>
      </c>
      <c r="E238" s="23" t="s">
        <v>15</v>
      </c>
      <c r="F238" s="24">
        <v>19880204</v>
      </c>
      <c r="G238" s="16">
        <f t="shared" si="42"/>
        <v>32177</v>
      </c>
      <c r="H238" s="2">
        <f t="shared" si="43"/>
        <v>34</v>
      </c>
      <c r="I238" s="17"/>
      <c r="J238" s="25">
        <v>20060321</v>
      </c>
      <c r="K238" s="16">
        <f t="shared" si="44"/>
        <v>38797</v>
      </c>
      <c r="L238" s="2">
        <f t="shared" si="45"/>
        <v>15</v>
      </c>
      <c r="M238" s="25" t="e">
        <f>VLOOKUP($C238,#REF!:#REF!,2,FALSE)</f>
        <v>#REF!</v>
      </c>
      <c r="N238" s="26"/>
      <c r="O238" s="27" t="s">
        <v>35</v>
      </c>
      <c r="P238" s="223">
        <f>VLOOKUP($C238,従業員情報!$A$2:'従業員情報'!$AM$2000,5,FALSE)</f>
        <v>61200</v>
      </c>
      <c r="Q238" s="223" t="str">
        <f>VLOOKUP($C238,従業員情報!$A$2:'従業員情報'!$AM$2000,6,FALSE)</f>
        <v>生産技術部工機（羽生）</v>
      </c>
      <c r="R238" s="22">
        <v>0</v>
      </c>
      <c r="S238" s="22"/>
      <c r="T238" s="22">
        <v>2</v>
      </c>
      <c r="U238" s="264">
        <v>231</v>
      </c>
    </row>
    <row r="239" spans="1:21">
      <c r="A239">
        <v>270</v>
      </c>
      <c r="B239" s="21">
        <v>326</v>
      </c>
      <c r="C239" s="22">
        <v>3467</v>
      </c>
      <c r="D239" s="22" t="s">
        <v>160</v>
      </c>
      <c r="E239" s="23" t="s">
        <v>15</v>
      </c>
      <c r="F239" s="24">
        <v>19970627</v>
      </c>
      <c r="G239" s="16">
        <f t="shared" si="42"/>
        <v>35608</v>
      </c>
      <c r="H239" s="2">
        <f t="shared" si="43"/>
        <v>24</v>
      </c>
      <c r="I239" s="17"/>
      <c r="J239" s="25">
        <v>20160401</v>
      </c>
      <c r="K239" s="16">
        <f t="shared" si="44"/>
        <v>42461</v>
      </c>
      <c r="L239" s="2">
        <f t="shared" si="45"/>
        <v>5</v>
      </c>
      <c r="M239" s="25" t="e">
        <f>VLOOKUP($C239,#REF!:#REF!,2,FALSE)</f>
        <v>#REF!</v>
      </c>
      <c r="N239" s="26"/>
      <c r="O239" s="27" t="s">
        <v>35</v>
      </c>
      <c r="P239" s="223">
        <f>VLOOKUP($C239,従業員情報!$A$2:'従業員情報'!$AM$2000,5,FALSE)</f>
        <v>61200</v>
      </c>
      <c r="Q239" s="223" t="str">
        <f>VLOOKUP($C239,従業員情報!$A$2:'従業員情報'!$AM$2000,6,FALSE)</f>
        <v>生産技術部工機（羽生）</v>
      </c>
      <c r="R239" s="22">
        <v>0</v>
      </c>
      <c r="S239" s="22"/>
      <c r="T239" s="22">
        <v>2</v>
      </c>
      <c r="U239" s="264">
        <v>232</v>
      </c>
    </row>
    <row r="240" spans="1:21">
      <c r="A240">
        <v>134</v>
      </c>
      <c r="B240" s="21">
        <v>142</v>
      </c>
      <c r="C240" s="22">
        <v>3040</v>
      </c>
      <c r="D240" s="22" t="s">
        <v>161</v>
      </c>
      <c r="E240" s="23" t="s">
        <v>15</v>
      </c>
      <c r="F240" s="24">
        <v>19750101</v>
      </c>
      <c r="G240" s="16">
        <f t="shared" si="42"/>
        <v>27395</v>
      </c>
      <c r="H240" s="2">
        <f t="shared" si="43"/>
        <v>47</v>
      </c>
      <c r="I240" s="17"/>
      <c r="J240" s="25">
        <v>19950322</v>
      </c>
      <c r="K240" s="16">
        <f t="shared" si="44"/>
        <v>34780</v>
      </c>
      <c r="L240" s="2">
        <f t="shared" si="45"/>
        <v>26</v>
      </c>
      <c r="M240" s="25" t="e">
        <f>VLOOKUP($C240,#REF!:#REF!,2,FALSE)</f>
        <v>#REF!</v>
      </c>
      <c r="N240" s="26"/>
      <c r="O240" s="27" t="s">
        <v>19</v>
      </c>
      <c r="P240" s="223">
        <f>VLOOKUP($C240,従業員情報!$A$2:'従業員情報'!$AM$2000,5,FALSE)</f>
        <v>61300</v>
      </c>
      <c r="Q240" s="223" t="str">
        <f>VLOOKUP($C240,従業員情報!$A$2:'従業員情報'!$AM$2000,6,FALSE)</f>
        <v>羽生工場工場管理課</v>
      </c>
      <c r="R240" s="22">
        <v>0</v>
      </c>
      <c r="S240" s="22"/>
      <c r="T240" s="22">
        <v>1</v>
      </c>
      <c r="U240" s="264">
        <v>50</v>
      </c>
    </row>
    <row r="241" spans="1:21">
      <c r="A241">
        <v>91</v>
      </c>
      <c r="B241" s="21">
        <v>91</v>
      </c>
      <c r="C241" s="22">
        <v>2772</v>
      </c>
      <c r="D241" s="22" t="s">
        <v>432</v>
      </c>
      <c r="E241" s="23" t="s">
        <v>15</v>
      </c>
      <c r="F241" s="24">
        <v>19680106</v>
      </c>
      <c r="G241" s="16">
        <f t="shared" si="42"/>
        <v>24843</v>
      </c>
      <c r="H241" s="2">
        <f t="shared" si="43"/>
        <v>54</v>
      </c>
      <c r="I241" s="17"/>
      <c r="J241" s="25">
        <v>19860326</v>
      </c>
      <c r="K241" s="16">
        <f t="shared" si="44"/>
        <v>31497</v>
      </c>
      <c r="L241" s="2">
        <f t="shared" si="45"/>
        <v>35</v>
      </c>
      <c r="M241" s="25" t="e">
        <f>VLOOKUP($C241,#REF!:#REF!,2,FALSE)</f>
        <v>#REF!</v>
      </c>
      <c r="N241" s="26"/>
      <c r="O241" s="27" t="s">
        <v>35</v>
      </c>
      <c r="P241" s="223">
        <f>VLOOKUP($C241,従業員情報!$A$2:'従業員情報'!$AM$2000,5,FALSE)</f>
        <v>61300</v>
      </c>
      <c r="Q241" s="223" t="str">
        <f>VLOOKUP($C241,従業員情報!$A$2:'従業員情報'!$AM$2000,6,FALSE)</f>
        <v>羽生工場工場管理課</v>
      </c>
      <c r="R241" s="22">
        <v>0</v>
      </c>
      <c r="S241" s="22"/>
      <c r="T241" s="22">
        <v>1</v>
      </c>
      <c r="U241" s="264">
        <v>233</v>
      </c>
    </row>
    <row r="242" spans="1:21">
      <c r="A242">
        <v>102</v>
      </c>
      <c r="B242" s="21">
        <v>103</v>
      </c>
      <c r="C242" s="22">
        <v>2832</v>
      </c>
      <c r="D242" s="22" t="s">
        <v>91</v>
      </c>
      <c r="E242" s="23" t="s">
        <v>15</v>
      </c>
      <c r="F242" s="24">
        <v>19690409</v>
      </c>
      <c r="G242" s="16">
        <f t="shared" si="42"/>
        <v>25302</v>
      </c>
      <c r="H242" s="2">
        <f t="shared" si="43"/>
        <v>52</v>
      </c>
      <c r="I242" s="17"/>
      <c r="J242" s="25">
        <v>19880324</v>
      </c>
      <c r="K242" s="16">
        <f t="shared" si="44"/>
        <v>32226</v>
      </c>
      <c r="L242" s="2">
        <f t="shared" si="45"/>
        <v>33</v>
      </c>
      <c r="M242" s="25" t="e">
        <f>VLOOKUP($C242,#REF!:#REF!,2,FALSE)</f>
        <v>#REF!</v>
      </c>
      <c r="N242" s="26"/>
      <c r="O242" s="27" t="s">
        <v>35</v>
      </c>
      <c r="P242" s="223">
        <f>VLOOKUP($C242,従業員情報!$A$2:'従業員情報'!$AM$2000,5,FALSE)</f>
        <v>61300</v>
      </c>
      <c r="Q242" s="223" t="str">
        <f>VLOOKUP($C242,従業員情報!$A$2:'従業員情報'!$AM$2000,6,FALSE)</f>
        <v>羽生工場工場管理課</v>
      </c>
      <c r="R242" s="22">
        <v>0</v>
      </c>
      <c r="S242" s="22"/>
      <c r="T242" s="22">
        <v>1</v>
      </c>
      <c r="U242" s="264">
        <v>234</v>
      </c>
    </row>
    <row r="243" spans="1:21">
      <c r="A243">
        <v>136</v>
      </c>
      <c r="B243" s="21">
        <v>144</v>
      </c>
      <c r="C243" s="22">
        <v>3047</v>
      </c>
      <c r="D243" s="22" t="s">
        <v>488</v>
      </c>
      <c r="E243" s="23" t="s">
        <v>15</v>
      </c>
      <c r="F243" s="24">
        <v>19761208</v>
      </c>
      <c r="G243" s="16">
        <f t="shared" si="42"/>
        <v>28102</v>
      </c>
      <c r="H243" s="2">
        <f t="shared" si="43"/>
        <v>45</v>
      </c>
      <c r="I243" s="17"/>
      <c r="J243" s="25">
        <v>19950322</v>
      </c>
      <c r="K243" s="16">
        <f t="shared" si="44"/>
        <v>34780</v>
      </c>
      <c r="L243" s="2">
        <f t="shared" si="45"/>
        <v>26</v>
      </c>
      <c r="M243" s="25" t="e">
        <f>VLOOKUP($C243,#REF!:#REF!,2,FALSE)</f>
        <v>#REF!</v>
      </c>
      <c r="N243" s="26"/>
      <c r="O243" s="27" t="s">
        <v>35</v>
      </c>
      <c r="P243" s="223">
        <f>VLOOKUP($C243,従業員情報!$A$2:'従業員情報'!$AM$2000,5,FALSE)</f>
        <v>61300</v>
      </c>
      <c r="Q243" s="223" t="str">
        <f>VLOOKUP($C243,従業員情報!$A$2:'従業員情報'!$AM$2000,6,FALSE)</f>
        <v>羽生工場工場管理課</v>
      </c>
      <c r="R243" s="22">
        <v>1</v>
      </c>
      <c r="S243" s="22" t="s">
        <v>679</v>
      </c>
      <c r="T243" s="22">
        <v>1</v>
      </c>
      <c r="U243" s="264">
        <v>235</v>
      </c>
    </row>
    <row r="244" spans="1:21">
      <c r="A244">
        <v>231</v>
      </c>
      <c r="B244" s="21">
        <v>263</v>
      </c>
      <c r="C244" s="22">
        <v>3364</v>
      </c>
      <c r="D244" s="22" t="s">
        <v>163</v>
      </c>
      <c r="E244" s="23" t="s">
        <v>15</v>
      </c>
      <c r="F244" s="24">
        <v>19881129</v>
      </c>
      <c r="G244" s="16">
        <f t="shared" si="42"/>
        <v>32476</v>
      </c>
      <c r="H244" s="2">
        <f t="shared" si="43"/>
        <v>33</v>
      </c>
      <c r="I244" s="17"/>
      <c r="J244" s="25">
        <v>20120321</v>
      </c>
      <c r="K244" s="16">
        <f t="shared" si="44"/>
        <v>40989</v>
      </c>
      <c r="L244" s="2">
        <f t="shared" si="45"/>
        <v>9</v>
      </c>
      <c r="M244" s="25" t="e">
        <f>VLOOKUP($C244,#REF!:#REF!,2,FALSE)</f>
        <v>#REF!</v>
      </c>
      <c r="N244" s="26"/>
      <c r="O244" s="27" t="s">
        <v>16</v>
      </c>
      <c r="P244" s="223">
        <f>VLOOKUP($C244,従業員情報!$A$2:'従業員情報'!$AM$2000,5,FALSE)</f>
        <v>61300</v>
      </c>
      <c r="Q244" s="223" t="str">
        <f>VLOOKUP($C244,従業員情報!$A$2:'従業員情報'!$AM$2000,6,FALSE)</f>
        <v>羽生工場工場管理課</v>
      </c>
      <c r="R244" s="22">
        <v>0</v>
      </c>
      <c r="S244" s="22"/>
      <c r="T244" s="22">
        <v>1</v>
      </c>
      <c r="U244" s="264">
        <v>236</v>
      </c>
    </row>
    <row r="245" spans="1:21">
      <c r="A245">
        <v>323</v>
      </c>
      <c r="B245" s="21">
        <v>385</v>
      </c>
      <c r="C245" s="22">
        <v>3869</v>
      </c>
      <c r="D245" s="22" t="s">
        <v>166</v>
      </c>
      <c r="E245" s="23" t="s">
        <v>15</v>
      </c>
      <c r="F245" s="24">
        <v>19670329</v>
      </c>
      <c r="G245" s="16">
        <f t="shared" si="42"/>
        <v>24560</v>
      </c>
      <c r="H245" s="2">
        <f t="shared" si="43"/>
        <v>54</v>
      </c>
      <c r="I245" s="17"/>
      <c r="J245" s="25">
        <v>19970321</v>
      </c>
      <c r="K245" s="16">
        <f t="shared" si="44"/>
        <v>35510</v>
      </c>
      <c r="L245" s="2">
        <f t="shared" si="45"/>
        <v>24</v>
      </c>
      <c r="M245" s="25" t="e">
        <f>VLOOKUP($C245,#REF!:#REF!,2,FALSE)</f>
        <v>#REF!</v>
      </c>
      <c r="N245" s="26"/>
      <c r="O245" s="27" t="s">
        <v>16</v>
      </c>
      <c r="P245" s="223">
        <f>VLOOKUP($C245,従業員情報!$A$2:'従業員情報'!$AM$2000,5,FALSE)</f>
        <v>61300</v>
      </c>
      <c r="Q245" s="223" t="str">
        <f>VLOOKUP($C245,従業員情報!$A$2:'従業員情報'!$AM$2000,6,FALSE)</f>
        <v>羽生工場工場管理課</v>
      </c>
      <c r="R245" s="22">
        <v>0</v>
      </c>
      <c r="S245" s="22"/>
      <c r="T245" s="22">
        <v>1</v>
      </c>
      <c r="U245" s="264">
        <v>237</v>
      </c>
    </row>
    <row r="246" spans="1:21">
      <c r="A246">
        <v>372</v>
      </c>
      <c r="B246" s="21">
        <v>448</v>
      </c>
      <c r="C246" s="22">
        <v>5064</v>
      </c>
      <c r="D246" s="22" t="s">
        <v>507</v>
      </c>
      <c r="E246" s="23" t="s">
        <v>15</v>
      </c>
      <c r="F246" s="24">
        <v>19670301</v>
      </c>
      <c r="G246" s="16">
        <f t="shared" si="42"/>
        <v>24532</v>
      </c>
      <c r="H246" s="2">
        <f t="shared" si="43"/>
        <v>55</v>
      </c>
      <c r="I246" s="17"/>
      <c r="J246" s="25">
        <v>19820325</v>
      </c>
      <c r="K246" s="16">
        <f t="shared" si="44"/>
        <v>30035</v>
      </c>
      <c r="L246" s="2">
        <f t="shared" si="45"/>
        <v>39</v>
      </c>
      <c r="M246" s="25" t="e">
        <f>VLOOKUP($C246,#REF!:#REF!,2,FALSE)</f>
        <v>#REF!</v>
      </c>
      <c r="N246" s="26"/>
      <c r="O246" s="27" t="s">
        <v>77</v>
      </c>
      <c r="P246" s="223">
        <f>VLOOKUP($C246,従業員情報!$A$2:'従業員情報'!$AM$2000,5,FALSE)</f>
        <v>61300</v>
      </c>
      <c r="Q246" s="223" t="str">
        <f>VLOOKUP($C246,従業員情報!$A$2:'従業員情報'!$AM$2000,6,FALSE)</f>
        <v>羽生工場工場管理課</v>
      </c>
      <c r="R246" s="22">
        <v>0</v>
      </c>
      <c r="S246" s="22"/>
      <c r="T246" s="22">
        <v>1</v>
      </c>
      <c r="U246" s="264">
        <v>238</v>
      </c>
    </row>
    <row r="247" spans="1:21">
      <c r="A247">
        <v>256</v>
      </c>
      <c r="B247" s="21">
        <v>301</v>
      </c>
      <c r="C247" s="22">
        <v>3431</v>
      </c>
      <c r="D247" s="22" t="s">
        <v>128</v>
      </c>
      <c r="E247" s="23" t="s">
        <v>15</v>
      </c>
      <c r="F247" s="24">
        <v>19920811</v>
      </c>
      <c r="G247" s="16">
        <f t="shared" si="42"/>
        <v>33827</v>
      </c>
      <c r="H247" s="2">
        <f t="shared" si="43"/>
        <v>29</v>
      </c>
      <c r="I247" s="17"/>
      <c r="J247" s="25">
        <v>20150401</v>
      </c>
      <c r="K247" s="16">
        <f t="shared" si="44"/>
        <v>42095</v>
      </c>
      <c r="L247" s="2">
        <f t="shared" si="45"/>
        <v>6</v>
      </c>
      <c r="M247" s="25" t="e">
        <f>VLOOKUP($C247,#REF!:#REF!,2,FALSE)</f>
        <v>#REF!</v>
      </c>
      <c r="N247" s="26"/>
      <c r="O247" s="27" t="s">
        <v>16</v>
      </c>
      <c r="P247" s="223">
        <f>VLOOKUP($C247,従業員情報!$A$2:'従業員情報'!$AM$2000,5,FALSE)</f>
        <v>63000</v>
      </c>
      <c r="Q247" s="223" t="str">
        <f>VLOOKUP($C247,従業員情報!$A$2:'従業員情報'!$AM$2000,6,FALSE)</f>
        <v>品質保証部（羽生）</v>
      </c>
      <c r="R247" s="22">
        <v>0</v>
      </c>
      <c r="S247" s="22"/>
      <c r="T247" s="22">
        <v>2</v>
      </c>
      <c r="U247" s="264">
        <v>201</v>
      </c>
    </row>
    <row r="248" spans="1:21">
      <c r="A248">
        <v>371</v>
      </c>
      <c r="B248" s="21">
        <v>447</v>
      </c>
      <c r="C248" s="22">
        <v>5062</v>
      </c>
      <c r="D248" s="22" t="s">
        <v>119</v>
      </c>
      <c r="E248" s="23" t="s">
        <v>15</v>
      </c>
      <c r="F248" s="24">
        <v>19660804</v>
      </c>
      <c r="G248" s="16">
        <f t="shared" si="42"/>
        <v>24323</v>
      </c>
      <c r="H248" s="2">
        <f t="shared" si="43"/>
        <v>55</v>
      </c>
      <c r="I248" s="17"/>
      <c r="J248" s="25">
        <v>19820325</v>
      </c>
      <c r="K248" s="16">
        <f t="shared" si="44"/>
        <v>30035</v>
      </c>
      <c r="L248" s="2">
        <f t="shared" si="45"/>
        <v>39</v>
      </c>
      <c r="M248" s="25" t="e">
        <f>VLOOKUP($C248,#REF!:#REF!,2,FALSE)</f>
        <v>#REF!</v>
      </c>
      <c r="N248" s="26"/>
      <c r="O248" s="27" t="s">
        <v>77</v>
      </c>
      <c r="P248" s="223">
        <f>VLOOKUP($C248,従業員情報!$A$2:'従業員情報'!$AM$2000,5,FALSE)</f>
        <v>63000</v>
      </c>
      <c r="Q248" s="223" t="str">
        <f>VLOOKUP($C248,従業員情報!$A$2:'従業員情報'!$AM$2000,6,FALSE)</f>
        <v>品質保証部（羽生）</v>
      </c>
      <c r="R248" s="22">
        <v>0</v>
      </c>
      <c r="S248" s="22"/>
      <c r="T248" s="22">
        <v>1</v>
      </c>
      <c r="U248" s="264">
        <v>239</v>
      </c>
    </row>
    <row r="249" spans="1:21">
      <c r="A249">
        <v>12</v>
      </c>
      <c r="B249" s="21">
        <v>15</v>
      </c>
      <c r="C249" s="22">
        <v>1339</v>
      </c>
      <c r="D249" s="22" t="s">
        <v>167</v>
      </c>
      <c r="E249" s="23" t="s">
        <v>15</v>
      </c>
      <c r="F249" s="24">
        <v>19740809</v>
      </c>
      <c r="G249" s="16">
        <f t="shared" si="42"/>
        <v>27250</v>
      </c>
      <c r="H249" s="2">
        <f t="shared" si="43"/>
        <v>47</v>
      </c>
      <c r="I249" s="17"/>
      <c r="J249" s="25">
        <v>20060301</v>
      </c>
      <c r="K249" s="16">
        <f t="shared" si="44"/>
        <v>38777</v>
      </c>
      <c r="L249" s="2">
        <f t="shared" si="45"/>
        <v>16</v>
      </c>
      <c r="M249" s="25" t="e">
        <f>VLOOKUP($C249,#REF!:#REF!,2,FALSE)</f>
        <v>#REF!</v>
      </c>
      <c r="N249" s="26"/>
      <c r="O249" s="27" t="s">
        <v>19</v>
      </c>
      <c r="P249" s="223">
        <f>VLOOKUP($C249,従業員情報!$A$2:'従業員情報'!$AM$2000,5,FALSE)</f>
        <v>63000</v>
      </c>
      <c r="Q249" s="223" t="str">
        <f>VLOOKUP($C249,従業員情報!$A$2:'従業員情報'!$AM$2000,6,FALSE)</f>
        <v>品質保証部（羽生）</v>
      </c>
      <c r="R249" s="22">
        <v>0</v>
      </c>
      <c r="S249" s="22"/>
      <c r="T249" s="22">
        <v>1</v>
      </c>
      <c r="U249" s="264">
        <v>240</v>
      </c>
    </row>
    <row r="250" spans="1:21">
      <c r="A250">
        <v>48</v>
      </c>
      <c r="B250" s="21"/>
      <c r="C250" s="22">
        <v>1412</v>
      </c>
      <c r="D250" s="22" t="s">
        <v>637</v>
      </c>
      <c r="E250" s="23" t="s">
        <v>69</v>
      </c>
      <c r="F250" s="24">
        <v>19670307</v>
      </c>
      <c r="G250" s="16">
        <f t="shared" si="42"/>
        <v>24538</v>
      </c>
      <c r="H250" s="2">
        <f t="shared" si="43"/>
        <v>54</v>
      </c>
      <c r="I250" s="17"/>
      <c r="J250" s="25">
        <v>20210701</v>
      </c>
      <c r="K250" s="16">
        <f t="shared" si="44"/>
        <v>44378</v>
      </c>
      <c r="L250" s="2">
        <f t="shared" si="45"/>
        <v>0</v>
      </c>
      <c r="M250" s="25" t="e">
        <f>VLOOKUP($C250,#REF!:#REF!,2,FALSE)</f>
        <v>#REF!</v>
      </c>
      <c r="N250" s="26"/>
      <c r="O250" s="27"/>
      <c r="P250" s="223">
        <f>VLOOKUP($C250,従業員情報!$A$2:'従業員情報'!$AM$2000,5,FALSE)</f>
        <v>63000</v>
      </c>
      <c r="Q250" s="223" t="str">
        <f>VLOOKUP($C250,従業員情報!$A$2:'従業員情報'!$AM$2000,6,FALSE)</f>
        <v>品質保証部（羽生）</v>
      </c>
      <c r="R250" s="22"/>
      <c r="S250" s="22"/>
      <c r="T250" s="22"/>
      <c r="U250" s="264">
        <v>241</v>
      </c>
    </row>
    <row r="251" spans="1:21">
      <c r="A251">
        <v>56</v>
      </c>
      <c r="B251" s="21"/>
      <c r="C251" s="22">
        <v>1423</v>
      </c>
      <c r="D251" s="22" t="s">
        <v>717</v>
      </c>
      <c r="E251" s="23"/>
      <c r="F251" s="24"/>
      <c r="G251" s="16"/>
      <c r="H251" s="2"/>
      <c r="I251" s="17"/>
      <c r="J251" s="25">
        <v>20220301</v>
      </c>
      <c r="K251" s="16">
        <f t="shared" si="44"/>
        <v>44621</v>
      </c>
      <c r="L251" s="2">
        <f t="shared" si="45"/>
        <v>0</v>
      </c>
      <c r="M251" s="25" t="e">
        <f>VLOOKUP($C251,#REF!:#REF!,2,FALSE)</f>
        <v>#REF!</v>
      </c>
      <c r="N251" s="26"/>
      <c r="O251" s="27"/>
      <c r="P251" s="223">
        <f>VLOOKUP($C251,従業員情報!$A$2:'従業員情報'!$AM$2000,5,FALSE)</f>
        <v>63000</v>
      </c>
      <c r="Q251" s="223" t="str">
        <f>VLOOKUP($C251,従業員情報!$A$2:'従業員情報'!$AM$2000,6,FALSE)</f>
        <v>品質保証部（羽生）</v>
      </c>
      <c r="R251" s="22"/>
      <c r="S251" s="22"/>
      <c r="T251" s="22"/>
      <c r="U251" s="264">
        <v>242</v>
      </c>
    </row>
    <row r="252" spans="1:21">
      <c r="A252">
        <v>142</v>
      </c>
      <c r="B252" s="21">
        <v>152</v>
      </c>
      <c r="C252" s="22">
        <v>3084</v>
      </c>
      <c r="D252" s="22" t="s">
        <v>219</v>
      </c>
      <c r="E252" s="23" t="s">
        <v>15</v>
      </c>
      <c r="F252" s="24">
        <v>19730105</v>
      </c>
      <c r="G252" s="16">
        <f>DATE(INT(F252/10000),INT(MOD(F252,10000)/100),MOD(F252,100))</f>
        <v>26669</v>
      </c>
      <c r="H252" s="2">
        <f>DATEDIF(G252,$G$4,"Y")</f>
        <v>49</v>
      </c>
      <c r="I252" s="17"/>
      <c r="J252" s="25">
        <v>19950322</v>
      </c>
      <c r="K252" s="16">
        <f t="shared" si="44"/>
        <v>34780</v>
      </c>
      <c r="L252" s="2">
        <f t="shared" si="45"/>
        <v>26</v>
      </c>
      <c r="M252" s="25" t="e">
        <f>VLOOKUP($C252,#REF!:#REF!,2,FALSE)</f>
        <v>#REF!</v>
      </c>
      <c r="N252" s="26"/>
      <c r="O252" s="27" t="s">
        <v>16</v>
      </c>
      <c r="P252" s="223">
        <f>VLOOKUP($C252,従業員情報!$A$2:'従業員情報'!$AM$2000,5,FALSE)</f>
        <v>63000</v>
      </c>
      <c r="Q252" s="223" t="str">
        <f>VLOOKUP($C252,従業員情報!$A$2:'従業員情報'!$AM$2000,6,FALSE)</f>
        <v>品質保証部（羽生）</v>
      </c>
      <c r="R252" s="22">
        <v>0</v>
      </c>
      <c r="S252" s="22"/>
      <c r="T252" s="22">
        <v>1</v>
      </c>
      <c r="U252" s="264">
        <v>243</v>
      </c>
    </row>
    <row r="253" spans="1:21">
      <c r="A253">
        <v>214</v>
      </c>
      <c r="B253" s="21">
        <v>240</v>
      </c>
      <c r="C253" s="22">
        <v>3320</v>
      </c>
      <c r="D253" s="22" t="s">
        <v>168</v>
      </c>
      <c r="E253" s="23" t="s">
        <v>15</v>
      </c>
      <c r="F253" s="24">
        <v>19870429</v>
      </c>
      <c r="G253" s="16">
        <f>DATE(INT(F253/10000),INT(MOD(F253,10000)/100),MOD(F253,100))</f>
        <v>31896</v>
      </c>
      <c r="H253" s="2">
        <f>DATEDIF(G253,$G$4,"Y")</f>
        <v>34</v>
      </c>
      <c r="I253" s="17"/>
      <c r="J253" s="25">
        <v>20100321</v>
      </c>
      <c r="K253" s="16">
        <f t="shared" si="44"/>
        <v>40258</v>
      </c>
      <c r="L253" s="2">
        <f t="shared" si="45"/>
        <v>11</v>
      </c>
      <c r="M253" s="25" t="e">
        <f>VLOOKUP($C253,#REF!:#REF!,2,FALSE)</f>
        <v>#REF!</v>
      </c>
      <c r="N253" s="26"/>
      <c r="O253" s="27" t="s">
        <v>16</v>
      </c>
      <c r="P253" s="223">
        <f>VLOOKUP($C253,従業員情報!$A$2:'従業員情報'!$AM$2000,5,FALSE)</f>
        <v>63000</v>
      </c>
      <c r="Q253" s="223" t="str">
        <f>VLOOKUP($C253,従業員情報!$A$2:'従業員情報'!$AM$2000,6,FALSE)</f>
        <v>品質保証部（羽生）</v>
      </c>
      <c r="R253" s="22">
        <v>0</v>
      </c>
      <c r="S253" s="22"/>
      <c r="T253" s="22">
        <v>1</v>
      </c>
      <c r="U253" s="264">
        <v>244</v>
      </c>
    </row>
    <row r="254" spans="1:21">
      <c r="A254">
        <v>238</v>
      </c>
      <c r="B254" s="21">
        <v>273</v>
      </c>
      <c r="C254" s="22">
        <v>3380</v>
      </c>
      <c r="D254" s="22" t="s">
        <v>170</v>
      </c>
      <c r="E254" s="23" t="s">
        <v>15</v>
      </c>
      <c r="F254" s="24">
        <v>19930630</v>
      </c>
      <c r="G254" s="16">
        <f>DATE(INT(F254/10000),INT(MOD(F254,10000)/100),MOD(F254,100))</f>
        <v>34150</v>
      </c>
      <c r="H254" s="2">
        <f>DATEDIF(G254,$G$4,"Y")</f>
        <v>28</v>
      </c>
      <c r="I254" s="17"/>
      <c r="J254" s="25">
        <v>20120321</v>
      </c>
      <c r="K254" s="16">
        <f t="shared" si="44"/>
        <v>40989</v>
      </c>
      <c r="L254" s="2">
        <f t="shared" si="45"/>
        <v>9</v>
      </c>
      <c r="M254" s="25" t="e">
        <f>VLOOKUP($C254,#REF!:#REF!,2,FALSE)</f>
        <v>#REF!</v>
      </c>
      <c r="N254" s="26"/>
      <c r="O254" s="27" t="s">
        <v>35</v>
      </c>
      <c r="P254" s="223">
        <f>VLOOKUP($C254,従業員情報!$A$2:'従業員情報'!$AM$2000,5,FALSE)</f>
        <v>63000</v>
      </c>
      <c r="Q254" s="223" t="str">
        <f>VLOOKUP($C254,従業員情報!$A$2:'従業員情報'!$AM$2000,6,FALSE)</f>
        <v>品質保証部（羽生）</v>
      </c>
      <c r="R254" s="22">
        <v>0</v>
      </c>
      <c r="S254" s="22"/>
      <c r="T254" s="22">
        <v>1</v>
      </c>
      <c r="U254" s="264">
        <v>245</v>
      </c>
    </row>
    <row r="255" spans="1:21">
      <c r="B255" s="21"/>
      <c r="C255" s="32">
        <v>3537</v>
      </c>
      <c r="D255" s="32" t="s">
        <v>885</v>
      </c>
      <c r="E255" s="271"/>
      <c r="F255" s="34"/>
      <c r="G255" s="47"/>
      <c r="J255" s="30"/>
      <c r="M255" s="30"/>
      <c r="N255" s="35"/>
      <c r="O255" s="386"/>
      <c r="P255" s="223">
        <f>VLOOKUP($C255,従業員情報!$A$2:'従業員情報'!$AM$2000,5,FALSE)</f>
        <v>63000</v>
      </c>
      <c r="Q255" s="223" t="str">
        <f>VLOOKUP($C255,従業員情報!$A$2:'従業員情報'!$AM$2000,6,FALSE)</f>
        <v>品質保証部（羽生）</v>
      </c>
      <c r="R255" s="22"/>
      <c r="S255" s="22"/>
      <c r="T255" s="22"/>
      <c r="U255" s="264">
        <v>270</v>
      </c>
    </row>
    <row r="256" spans="1:21">
      <c r="A256">
        <v>26</v>
      </c>
      <c r="B256" s="21">
        <v>35</v>
      </c>
      <c r="C256" s="22">
        <v>1371</v>
      </c>
      <c r="D256" s="22" t="s">
        <v>417</v>
      </c>
      <c r="E256" s="23" t="s">
        <v>15</v>
      </c>
      <c r="F256" s="24">
        <v>19811004</v>
      </c>
      <c r="G256" s="16">
        <f>DATE(INT(F256/10000),INT(MOD(F256,10000)/100),MOD(F256,100))</f>
        <v>29863</v>
      </c>
      <c r="H256" s="2">
        <f>DATEDIF(G256,$G$4,"Y")</f>
        <v>40</v>
      </c>
      <c r="I256" s="17"/>
      <c r="J256" s="25">
        <v>20110221</v>
      </c>
      <c r="K256" s="16">
        <f>DATE(INT(J256/10000),INT(MOD(J256,10000)/100),MOD(J256,100))</f>
        <v>40595</v>
      </c>
      <c r="L256" s="2">
        <f>DATEDIF(K256,$G$4,"Y")</f>
        <v>11</v>
      </c>
      <c r="M256" s="25" t="e">
        <f>VLOOKUP($C256,#REF!:#REF!,2,FALSE)</f>
        <v>#REF!</v>
      </c>
      <c r="N256" s="26"/>
      <c r="O256" s="27" t="s">
        <v>19</v>
      </c>
      <c r="P256" s="223">
        <f>VLOOKUP($C256,従業員情報!$A$2:'従業員情報'!$AM$2000,5,FALSE)</f>
        <v>64011</v>
      </c>
      <c r="Q256" s="223" t="str">
        <f>VLOOKUP($C256,従業員情報!$A$2:'従業員情報'!$AM$2000,6,FALSE)</f>
        <v>羽生工場ＢＣ</v>
      </c>
      <c r="R256" s="22">
        <v>1</v>
      </c>
      <c r="S256" s="22" t="s">
        <v>679</v>
      </c>
      <c r="T256" s="22">
        <v>1</v>
      </c>
      <c r="U256" s="264">
        <v>247</v>
      </c>
    </row>
    <row r="257" spans="1:21">
      <c r="A257">
        <v>139</v>
      </c>
      <c r="B257" s="21">
        <v>147</v>
      </c>
      <c r="C257" s="22">
        <v>3053</v>
      </c>
      <c r="D257" s="22" t="s">
        <v>418</v>
      </c>
      <c r="E257" s="23" t="s">
        <v>15</v>
      </c>
      <c r="F257" s="24">
        <v>19760717</v>
      </c>
      <c r="G257" s="16">
        <f>DATE(INT(F257/10000),INT(MOD(F257,10000)/100),MOD(F257,100))</f>
        <v>27958</v>
      </c>
      <c r="H257" s="2">
        <f>DATEDIF(G257,$G$4,"Y")</f>
        <v>45</v>
      </c>
      <c r="I257" s="17"/>
      <c r="J257" s="25">
        <v>19950322</v>
      </c>
      <c r="K257" s="16">
        <f>DATE(INT(J257/10000),INT(MOD(J257,10000)/100),MOD(J257,100))</f>
        <v>34780</v>
      </c>
      <c r="L257" s="2">
        <f>DATEDIF(K257,$G$4,"Y")</f>
        <v>26</v>
      </c>
      <c r="M257" s="25" t="e">
        <f>VLOOKUP($C257,#REF!:#REF!,2,FALSE)</f>
        <v>#REF!</v>
      </c>
      <c r="N257" s="26"/>
      <c r="O257" s="27" t="s">
        <v>35</v>
      </c>
      <c r="P257" s="223">
        <f>VLOOKUP($C257,従業員情報!$A$2:'従業員情報'!$AM$2000,5,FALSE)</f>
        <v>64011</v>
      </c>
      <c r="Q257" s="223" t="str">
        <f>VLOOKUP($C257,従業員情報!$A$2:'従業員情報'!$AM$2000,6,FALSE)</f>
        <v>羽生工場ＢＣ</v>
      </c>
      <c r="R257" s="22">
        <v>1</v>
      </c>
      <c r="S257" s="22" t="s">
        <v>679</v>
      </c>
      <c r="T257" s="22">
        <v>2</v>
      </c>
      <c r="U257" s="264">
        <v>248</v>
      </c>
    </row>
    <row r="258" spans="1:21">
      <c r="A258">
        <v>293</v>
      </c>
      <c r="B258" s="21">
        <v>361</v>
      </c>
      <c r="C258" s="22">
        <v>3514</v>
      </c>
      <c r="D258" s="22" t="s">
        <v>420</v>
      </c>
      <c r="E258" s="23" t="s">
        <v>15</v>
      </c>
      <c r="F258" s="24">
        <v>20000829</v>
      </c>
      <c r="G258" s="16">
        <f>DATE(INT(F258/10000),INT(MOD(F258,10000)/100),MOD(F258,100))</f>
        <v>36767</v>
      </c>
      <c r="H258" s="2">
        <f>DATEDIF(G258,$G$4,"Y")</f>
        <v>21</v>
      </c>
      <c r="I258" s="17"/>
      <c r="J258" s="25">
        <v>20190401</v>
      </c>
      <c r="K258" s="16">
        <f>DATE(INT(J258/10000),INT(MOD(J258,10000)/100),MOD(J258,100))</f>
        <v>43556</v>
      </c>
      <c r="L258" s="2">
        <f>DATEDIF(K258,$G$4,"Y")</f>
        <v>2</v>
      </c>
      <c r="M258" s="25" t="e">
        <f>VLOOKUP($C258,#REF!:#REF!,2,FALSE)</f>
        <v>#REF!</v>
      </c>
      <c r="N258" s="26"/>
      <c r="O258" s="27">
        <v>6</v>
      </c>
      <c r="P258" s="223">
        <f>VLOOKUP($C258,従業員情報!$A$2:'従業員情報'!$AM$2000,5,FALSE)</f>
        <v>64011</v>
      </c>
      <c r="Q258" s="223" t="str">
        <f>VLOOKUP($C258,従業員情報!$A$2:'従業員情報'!$AM$2000,6,FALSE)</f>
        <v>羽生工場ＢＣ</v>
      </c>
      <c r="R258" s="22">
        <v>1</v>
      </c>
      <c r="S258" s="22" t="s">
        <v>679</v>
      </c>
      <c r="T258" s="22">
        <v>2</v>
      </c>
      <c r="U258" s="264">
        <v>250</v>
      </c>
    </row>
    <row r="259" spans="1:21">
      <c r="A259">
        <v>347</v>
      </c>
      <c r="B259" s="21">
        <v>417</v>
      </c>
      <c r="C259" s="22">
        <v>3957</v>
      </c>
      <c r="D259" s="22" t="s">
        <v>419</v>
      </c>
      <c r="E259" s="23" t="s">
        <v>15</v>
      </c>
      <c r="F259" s="24">
        <v>19661203</v>
      </c>
      <c r="G259" s="16">
        <f>DATE(INT(F259/10000),INT(MOD(F259,10000)/100),MOD(F259,100))</f>
        <v>24444</v>
      </c>
      <c r="H259" s="2">
        <f>DATEDIF(G259,$G$4,"Y")</f>
        <v>55</v>
      </c>
      <c r="I259" s="17"/>
      <c r="J259" s="25">
        <v>20070613</v>
      </c>
      <c r="K259" s="16">
        <f>DATE(INT(J259/10000),INT(MOD(J259,10000)/100),MOD(J259,100))</f>
        <v>39246</v>
      </c>
      <c r="L259" s="2">
        <f>DATEDIF(K259,$G$4,"Y")</f>
        <v>14</v>
      </c>
      <c r="M259" s="25" t="e">
        <f>VLOOKUP($C259,#REF!:#REF!,2,FALSE)</f>
        <v>#REF!</v>
      </c>
      <c r="N259" s="26"/>
      <c r="O259" s="27" t="s">
        <v>35</v>
      </c>
      <c r="P259" s="223">
        <f>VLOOKUP($C259,従業員情報!$A$2:'従業員情報'!$AM$2000,5,FALSE)</f>
        <v>64011</v>
      </c>
      <c r="Q259" s="223" t="str">
        <f>VLOOKUP($C259,従業員情報!$A$2:'従業員情報'!$AM$2000,6,FALSE)</f>
        <v>羽生工場ＢＣ</v>
      </c>
      <c r="R259" s="22">
        <v>1</v>
      </c>
      <c r="S259" s="22" t="s">
        <v>679</v>
      </c>
      <c r="T259" s="22">
        <v>2</v>
      </c>
      <c r="U259" s="264">
        <v>251</v>
      </c>
    </row>
    <row r="260" spans="1:21">
      <c r="B260" s="21"/>
      <c r="C260" s="22">
        <v>1442</v>
      </c>
      <c r="D260" s="22" t="s">
        <v>868</v>
      </c>
      <c r="E260" s="23"/>
      <c r="F260" s="24"/>
      <c r="G260" s="16"/>
      <c r="H260" s="2"/>
      <c r="I260" s="17"/>
      <c r="J260" s="25"/>
      <c r="K260" s="16"/>
      <c r="M260" s="25"/>
      <c r="N260" s="26"/>
      <c r="O260" s="27"/>
      <c r="P260" s="223">
        <f>VLOOKUP($C260,従業員情報!$A$2:'従業員情報'!$AM$2000,5,FALSE)</f>
        <v>64011</v>
      </c>
      <c r="Q260" s="223" t="str">
        <f>VLOOKUP($C260,従業員情報!$A$2:'従業員情報'!$AM$2000,6,FALSE)</f>
        <v>羽生工場ＢＣ</v>
      </c>
      <c r="R260" s="22"/>
      <c r="S260" s="22"/>
      <c r="T260" s="22"/>
      <c r="U260" s="264">
        <v>252</v>
      </c>
    </row>
    <row r="261" spans="1:21">
      <c r="A261">
        <v>340</v>
      </c>
      <c r="B261" s="21">
        <v>407</v>
      </c>
      <c r="C261" s="22">
        <v>3939</v>
      </c>
      <c r="D261" s="22" t="s">
        <v>426</v>
      </c>
      <c r="E261" s="23" t="s">
        <v>15</v>
      </c>
      <c r="F261" s="24">
        <v>19650505</v>
      </c>
      <c r="G261" s="16">
        <f>DATE(INT(F261/10000),INT(MOD(F261,10000)/100),MOD(F261,100))</f>
        <v>23867</v>
      </c>
      <c r="H261" s="2">
        <f>DATEDIF(G261,$G$4,"Y")</f>
        <v>56</v>
      </c>
      <c r="I261" s="17"/>
      <c r="J261" s="25">
        <v>20060301</v>
      </c>
      <c r="K261" s="16">
        <f>DATE(INT(J261/10000),INT(MOD(J261,10000)/100),MOD(J261,100))</f>
        <v>38777</v>
      </c>
      <c r="L261" s="2">
        <f>DATEDIF(K261,$G$4,"Y")</f>
        <v>16</v>
      </c>
      <c r="M261" s="25" t="e">
        <f>VLOOKUP($C261,#REF!:#REF!,2,FALSE)</f>
        <v>#REF!</v>
      </c>
      <c r="N261" s="26"/>
      <c r="O261" s="27" t="s">
        <v>16</v>
      </c>
      <c r="P261" s="223">
        <f>VLOOKUP($C261,従業員情報!$A$2:'従業員情報'!$AM$2000,5,FALSE)</f>
        <v>64011</v>
      </c>
      <c r="Q261" s="223" t="str">
        <f>VLOOKUP($C261,従業員情報!$A$2:'従業員情報'!$AM$2000,6,FALSE)</f>
        <v>羽生工場ＢＣ</v>
      </c>
      <c r="R261" s="22">
        <v>1</v>
      </c>
      <c r="S261" s="22" t="s">
        <v>679</v>
      </c>
      <c r="T261" s="22">
        <v>2</v>
      </c>
      <c r="U261" s="264">
        <v>304</v>
      </c>
    </row>
    <row r="262" spans="1:21">
      <c r="A262">
        <v>351</v>
      </c>
      <c r="B262" s="21">
        <v>423</v>
      </c>
      <c r="C262" s="22">
        <v>3967</v>
      </c>
      <c r="D262" s="22" t="s">
        <v>427</v>
      </c>
      <c r="E262" s="23" t="s">
        <v>15</v>
      </c>
      <c r="F262" s="24">
        <v>19661122</v>
      </c>
      <c r="G262" s="16">
        <f>DATE(INT(F262/10000),INT(MOD(F262,10000)/100),MOD(F262,100))</f>
        <v>24433</v>
      </c>
      <c r="H262" s="2">
        <f>DATEDIF(G262,$G$4,"Y")</f>
        <v>55</v>
      </c>
      <c r="I262" s="17"/>
      <c r="J262" s="25">
        <v>20070910</v>
      </c>
      <c r="K262" s="16">
        <f>DATE(INT(J262/10000),INT(MOD(J262,10000)/100),MOD(J262,100))</f>
        <v>39335</v>
      </c>
      <c r="L262" s="2">
        <f>DATEDIF(K262,$G$4,"Y")</f>
        <v>14</v>
      </c>
      <c r="M262" s="25" t="e">
        <f>VLOOKUP($C262,#REF!:#REF!,2,FALSE)</f>
        <v>#REF!</v>
      </c>
      <c r="N262" s="26"/>
      <c r="O262" s="27" t="s">
        <v>35</v>
      </c>
      <c r="P262" s="223">
        <f>VLOOKUP($C262,従業員情報!$A$2:'従業員情報'!$AM$2000,5,FALSE)</f>
        <v>64111</v>
      </c>
      <c r="Q262" s="223" t="str">
        <f>VLOOKUP($C262,従業員情報!$A$2:'従業員情報'!$AM$2000,6,FALSE)</f>
        <v>羽生工場ＢＢ</v>
      </c>
      <c r="R262" s="22">
        <v>1</v>
      </c>
      <c r="S262" s="22" t="s">
        <v>679</v>
      </c>
      <c r="T262" s="22">
        <v>2</v>
      </c>
      <c r="U262" s="264">
        <v>254</v>
      </c>
    </row>
    <row r="263" spans="1:21">
      <c r="A263">
        <v>384</v>
      </c>
      <c r="B263" s="21">
        <v>461</v>
      </c>
      <c r="C263" s="22">
        <v>5162</v>
      </c>
      <c r="D263" s="22" t="s">
        <v>425</v>
      </c>
      <c r="E263" s="23" t="s">
        <v>15</v>
      </c>
      <c r="F263" s="24">
        <v>19720119</v>
      </c>
      <c r="G263" s="16">
        <f>DATE(INT(F263/10000),INT(MOD(F263,10000)/100),MOD(F263,100))</f>
        <v>26317</v>
      </c>
      <c r="H263" s="2">
        <f>DATEDIF(G263,$G$4,"Y")</f>
        <v>50</v>
      </c>
      <c r="I263" s="17"/>
      <c r="J263" s="25">
        <v>19880325</v>
      </c>
      <c r="K263" s="16">
        <f>DATE(INT(J263/10000),INT(MOD(J263,10000)/100),MOD(J263,100))</f>
        <v>32227</v>
      </c>
      <c r="L263" s="2">
        <f>DATEDIF(K263,$G$4,"Y")</f>
        <v>33</v>
      </c>
      <c r="M263" s="25" t="e">
        <f>VLOOKUP($C263,#REF!:#REF!,2,FALSE)</f>
        <v>#REF!</v>
      </c>
      <c r="N263" s="26"/>
      <c r="O263" s="27" t="s">
        <v>105</v>
      </c>
      <c r="P263" s="223">
        <f>VLOOKUP($C263,従業員情報!$A$2:'従業員情報'!$AM$2000,5,FALSE)</f>
        <v>64111</v>
      </c>
      <c r="Q263" s="223" t="str">
        <f>VLOOKUP($C263,従業員情報!$A$2:'従業員情報'!$AM$2000,6,FALSE)</f>
        <v>羽生工場ＢＢ</v>
      </c>
      <c r="R263" s="22">
        <v>1</v>
      </c>
      <c r="S263" s="22" t="s">
        <v>679</v>
      </c>
      <c r="T263" s="22">
        <v>2</v>
      </c>
      <c r="U263" s="264">
        <v>255</v>
      </c>
    </row>
    <row r="264" spans="1:21">
      <c r="A264">
        <v>55</v>
      </c>
      <c r="B264" s="21"/>
      <c r="C264" s="22">
        <v>1422</v>
      </c>
      <c r="D264" s="22" t="s">
        <v>702</v>
      </c>
      <c r="E264" s="23" t="s">
        <v>701</v>
      </c>
      <c r="F264" s="24">
        <v>19880223</v>
      </c>
      <c r="G264" s="16">
        <f>DATE(INT(F264/10000),INT(MOD(F264,10000)/100),MOD(F264,100))</f>
        <v>32196</v>
      </c>
      <c r="H264" s="2">
        <f>DATEDIF(G264,$G$4,"Y")</f>
        <v>34</v>
      </c>
      <c r="I264" s="17"/>
      <c r="J264" s="25">
        <v>20220101</v>
      </c>
      <c r="K264" s="16">
        <f>DATE(INT(J264/10000),INT(MOD(J264,10000)/100),MOD(J264,100))</f>
        <v>44562</v>
      </c>
      <c r="L264" s="2">
        <f>DATEDIF(K264,$G$4,"Y")</f>
        <v>0</v>
      </c>
      <c r="M264" s="25" t="e">
        <f>VLOOKUP($C264,#REF!:#REF!,2,FALSE)</f>
        <v>#REF!</v>
      </c>
      <c r="N264" s="26"/>
      <c r="O264" s="27"/>
      <c r="P264" s="223">
        <f>VLOOKUP($C264,従業員情報!$A$2:'従業員情報'!$AM$2000,5,FALSE)</f>
        <v>64211</v>
      </c>
      <c r="Q264" s="223" t="str">
        <f>VLOOKUP($C264,従業員情報!$A$2:'従業員情報'!$AM$2000,6,FALSE)</f>
        <v>羽生工場ＡＳ</v>
      </c>
      <c r="R264" s="22"/>
      <c r="S264" s="22"/>
      <c r="T264" s="22"/>
      <c r="U264" s="264">
        <v>256</v>
      </c>
    </row>
    <row r="265" spans="1:21">
      <c r="A265">
        <v>24</v>
      </c>
      <c r="B265" s="21">
        <v>33</v>
      </c>
      <c r="C265" s="22">
        <v>1369</v>
      </c>
      <c r="D265" s="22" t="s">
        <v>430</v>
      </c>
      <c r="E265" s="23" t="s">
        <v>15</v>
      </c>
      <c r="F265" s="24">
        <v>19800728</v>
      </c>
      <c r="G265" s="16">
        <f>DATE(INT(F265/10000),INT(MOD(F265,10000)/100),MOD(F265,100))</f>
        <v>29430</v>
      </c>
      <c r="H265" s="2">
        <f>DATEDIF(G265,$G$4,"Y")</f>
        <v>41</v>
      </c>
      <c r="I265" s="17"/>
      <c r="J265" s="25">
        <v>20110121</v>
      </c>
      <c r="K265" s="16">
        <f>DATE(INT(J265/10000),INT(MOD(J265,10000)/100),MOD(J265,100))</f>
        <v>40564</v>
      </c>
      <c r="L265" s="2">
        <f>DATEDIF(K265,$G$4,"Y")</f>
        <v>11</v>
      </c>
      <c r="M265" s="25" t="e">
        <f>VLOOKUP($C265,#REF!:#REF!,2,FALSE)</f>
        <v>#REF!</v>
      </c>
      <c r="N265" s="26"/>
      <c r="O265" s="27" t="s">
        <v>35</v>
      </c>
      <c r="P265" s="223">
        <f>VLOOKUP($C265,従業員情報!$A$2:'従業員情報'!$AM$2000,5,FALSE)</f>
        <v>64311</v>
      </c>
      <c r="Q265" s="223" t="str">
        <f>VLOOKUP($C265,従業員情報!$A$2:'従業員情報'!$AM$2000,6,FALSE)</f>
        <v>羽生工場ＭＳＵ</v>
      </c>
      <c r="R265" s="22">
        <v>1</v>
      </c>
      <c r="S265" s="22" t="s">
        <v>679</v>
      </c>
      <c r="T265" s="22">
        <v>2</v>
      </c>
      <c r="U265" s="264">
        <v>257</v>
      </c>
    </row>
    <row r="266" spans="1:21">
      <c r="A266">
        <v>33</v>
      </c>
      <c r="B266" s="21">
        <v>45</v>
      </c>
      <c r="C266" s="22"/>
      <c r="D266" s="22"/>
      <c r="E266" s="23"/>
      <c r="F266" s="24"/>
      <c r="G266" s="16"/>
      <c r="H266" s="2"/>
      <c r="I266" s="17"/>
      <c r="J266" s="25"/>
      <c r="K266" s="16"/>
      <c r="M266" s="25"/>
      <c r="N266" s="26"/>
      <c r="O266" s="27"/>
      <c r="P266" s="223"/>
      <c r="Q266" s="223"/>
      <c r="R266" s="22">
        <v>1</v>
      </c>
      <c r="S266" s="22" t="s">
        <v>679</v>
      </c>
      <c r="T266" s="22">
        <v>1</v>
      </c>
      <c r="U266" s="264">
        <v>258</v>
      </c>
    </row>
    <row r="267" spans="1:21">
      <c r="A267">
        <v>35</v>
      </c>
      <c r="B267" s="21">
        <v>47</v>
      </c>
      <c r="C267" s="22">
        <v>1392</v>
      </c>
      <c r="D267" s="22" t="s">
        <v>438</v>
      </c>
      <c r="E267" s="23" t="s">
        <v>15</v>
      </c>
      <c r="F267" s="24">
        <v>19950922</v>
      </c>
      <c r="G267" s="16">
        <f t="shared" ref="G267:G277" si="46">DATE(INT(F267/10000),INT(MOD(F267,10000)/100),MOD(F267,100))</f>
        <v>34964</v>
      </c>
      <c r="H267" s="2">
        <f t="shared" ref="H267:H277" si="47">DATEDIF(G267,$G$4,"Y")</f>
        <v>26</v>
      </c>
      <c r="I267" s="17"/>
      <c r="J267" s="25">
        <v>20141201</v>
      </c>
      <c r="K267" s="16">
        <f t="shared" ref="K267:K277" si="48">DATE(INT(J267/10000),INT(MOD(J267,10000)/100),MOD(J267,100))</f>
        <v>41974</v>
      </c>
      <c r="L267" s="2">
        <f t="shared" ref="L267:L277" si="49">DATEDIF(K267,$G$4,"Y")</f>
        <v>7</v>
      </c>
      <c r="M267" s="25" t="e">
        <f>VLOOKUP($C267,#REF!:#REF!,2,FALSE)</f>
        <v>#REF!</v>
      </c>
      <c r="N267" s="26"/>
      <c r="O267" s="27" t="s">
        <v>35</v>
      </c>
      <c r="P267" s="223">
        <f>VLOOKUP($C267,従業員情報!$A$2:'従業員情報'!$AM$2000,5,FALSE)</f>
        <v>65011</v>
      </c>
      <c r="Q267" s="223" t="str">
        <f>VLOOKUP($C267,従業員情報!$A$2:'従業員情報'!$AM$2000,6,FALSE)</f>
        <v>羽生工場ＶＰ－１</v>
      </c>
      <c r="R267" s="22">
        <v>1</v>
      </c>
      <c r="S267" s="22" t="s">
        <v>679</v>
      </c>
      <c r="T267" s="22">
        <v>1</v>
      </c>
      <c r="U267" s="264">
        <v>259</v>
      </c>
    </row>
    <row r="268" spans="1:21">
      <c r="A268">
        <v>135</v>
      </c>
      <c r="B268" s="21">
        <v>143</v>
      </c>
      <c r="C268" s="22">
        <v>3041</v>
      </c>
      <c r="D268" s="22" t="s">
        <v>440</v>
      </c>
      <c r="E268" s="23" t="s">
        <v>15</v>
      </c>
      <c r="F268" s="24">
        <v>19741123</v>
      </c>
      <c r="G268" s="16">
        <f t="shared" si="46"/>
        <v>27356</v>
      </c>
      <c r="H268" s="2">
        <f t="shared" si="47"/>
        <v>47</v>
      </c>
      <c r="I268" s="17"/>
      <c r="J268" s="25">
        <v>19950322</v>
      </c>
      <c r="K268" s="16">
        <f t="shared" si="48"/>
        <v>34780</v>
      </c>
      <c r="L268" s="2">
        <f t="shared" si="49"/>
        <v>26</v>
      </c>
      <c r="M268" s="25" t="e">
        <f>VLOOKUP($C268,#REF!:#REF!,2,FALSE)</f>
        <v>#REF!</v>
      </c>
      <c r="N268" s="26"/>
      <c r="O268" s="27" t="s">
        <v>19</v>
      </c>
      <c r="P268" s="223">
        <f>VLOOKUP($C268,従業員情報!$A$2:'従業員情報'!$AM$2000,5,FALSE)</f>
        <v>65011</v>
      </c>
      <c r="Q268" s="223" t="str">
        <f>VLOOKUP($C268,従業員情報!$A$2:'従業員情報'!$AM$2000,6,FALSE)</f>
        <v>羽生工場ＶＰ－１</v>
      </c>
      <c r="R268" s="22">
        <v>1</v>
      </c>
      <c r="S268" s="22" t="s">
        <v>679</v>
      </c>
      <c r="T268" s="22">
        <v>2</v>
      </c>
      <c r="U268" s="264">
        <v>260</v>
      </c>
    </row>
    <row r="269" spans="1:21">
      <c r="A269">
        <v>141</v>
      </c>
      <c r="B269" s="21">
        <v>149</v>
      </c>
      <c r="C269" s="22">
        <v>3056</v>
      </c>
      <c r="D269" s="22" t="s">
        <v>441</v>
      </c>
      <c r="E269" s="23" t="s">
        <v>15</v>
      </c>
      <c r="F269" s="24">
        <v>19761114</v>
      </c>
      <c r="G269" s="16">
        <f t="shared" si="46"/>
        <v>28078</v>
      </c>
      <c r="H269" s="2">
        <f t="shared" si="47"/>
        <v>45</v>
      </c>
      <c r="I269" s="17"/>
      <c r="J269" s="25">
        <v>19950322</v>
      </c>
      <c r="K269" s="16">
        <f t="shared" si="48"/>
        <v>34780</v>
      </c>
      <c r="L269" s="2">
        <f t="shared" si="49"/>
        <v>26</v>
      </c>
      <c r="M269" s="25" t="e">
        <f>VLOOKUP($C269,#REF!:#REF!,2,FALSE)</f>
        <v>#REF!</v>
      </c>
      <c r="N269" s="26"/>
      <c r="O269" s="27" t="s">
        <v>35</v>
      </c>
      <c r="P269" s="223">
        <f>VLOOKUP($C269,従業員情報!$A$2:'従業員情報'!$AM$2000,5,FALSE)</f>
        <v>65011</v>
      </c>
      <c r="Q269" s="223" t="str">
        <f>VLOOKUP($C269,従業員情報!$A$2:'従業員情報'!$AM$2000,6,FALSE)</f>
        <v>羽生工場ＶＰ－１</v>
      </c>
      <c r="R269" s="22">
        <v>1</v>
      </c>
      <c r="S269" s="22" t="s">
        <v>679</v>
      </c>
      <c r="T269" s="22">
        <v>2</v>
      </c>
      <c r="U269" s="264">
        <v>261</v>
      </c>
    </row>
    <row r="270" spans="1:21">
      <c r="A270">
        <v>146</v>
      </c>
      <c r="B270" s="21">
        <v>157</v>
      </c>
      <c r="C270" s="22">
        <v>3101</v>
      </c>
      <c r="D270" s="22" t="s">
        <v>434</v>
      </c>
      <c r="E270" s="23" t="s">
        <v>15</v>
      </c>
      <c r="F270" s="24">
        <v>19760223</v>
      </c>
      <c r="G270" s="16">
        <f t="shared" si="46"/>
        <v>27813</v>
      </c>
      <c r="H270" s="2">
        <f t="shared" si="47"/>
        <v>46</v>
      </c>
      <c r="I270" s="17"/>
      <c r="J270" s="25">
        <v>19960321</v>
      </c>
      <c r="K270" s="16">
        <f t="shared" si="48"/>
        <v>35145</v>
      </c>
      <c r="L270" s="2">
        <f t="shared" si="49"/>
        <v>25</v>
      </c>
      <c r="M270" s="25" t="e">
        <f>VLOOKUP($C270,#REF!:#REF!,2,FALSE)</f>
        <v>#REF!</v>
      </c>
      <c r="N270" s="26"/>
      <c r="O270" s="27" t="s">
        <v>19</v>
      </c>
      <c r="P270" s="223">
        <f>VLOOKUP($C270,従業員情報!$A$2:'従業員情報'!$AM$2000,5,FALSE)</f>
        <v>65011</v>
      </c>
      <c r="Q270" s="223" t="str">
        <f>VLOOKUP($C270,従業員情報!$A$2:'従業員情報'!$AM$2000,6,FALSE)</f>
        <v>羽生工場ＶＰ－１</v>
      </c>
      <c r="R270" s="22">
        <v>1</v>
      </c>
      <c r="S270" s="22" t="s">
        <v>679</v>
      </c>
      <c r="T270" s="22">
        <v>1</v>
      </c>
      <c r="U270" s="264">
        <v>262</v>
      </c>
    </row>
    <row r="271" spans="1:21">
      <c r="A271">
        <v>154</v>
      </c>
      <c r="B271" s="21">
        <v>166</v>
      </c>
      <c r="C271" s="22">
        <v>3140</v>
      </c>
      <c r="D271" s="22" t="s">
        <v>442</v>
      </c>
      <c r="E271" s="23" t="s">
        <v>15</v>
      </c>
      <c r="F271" s="24">
        <v>19770317</v>
      </c>
      <c r="G271" s="16">
        <f t="shared" si="46"/>
        <v>28201</v>
      </c>
      <c r="H271" s="2">
        <f t="shared" si="47"/>
        <v>44</v>
      </c>
      <c r="I271" s="17"/>
      <c r="J271" s="25">
        <v>19970321</v>
      </c>
      <c r="K271" s="16">
        <f t="shared" si="48"/>
        <v>35510</v>
      </c>
      <c r="L271" s="2">
        <f t="shared" si="49"/>
        <v>24</v>
      </c>
      <c r="M271" s="25" t="e">
        <f>VLOOKUP($C271,#REF!:#REF!,2,FALSE)</f>
        <v>#REF!</v>
      </c>
      <c r="N271" s="26"/>
      <c r="O271" s="27" t="s">
        <v>19</v>
      </c>
      <c r="P271" s="223">
        <f>VLOOKUP($C271,従業員情報!$A$2:'従業員情報'!$AM$2000,5,FALSE)</f>
        <v>65011</v>
      </c>
      <c r="Q271" s="223" t="str">
        <f>VLOOKUP($C271,従業員情報!$A$2:'従業員情報'!$AM$2000,6,FALSE)</f>
        <v>羽生工場ＶＰ－１</v>
      </c>
      <c r="R271" s="22">
        <v>1</v>
      </c>
      <c r="S271" s="22" t="s">
        <v>679</v>
      </c>
      <c r="T271" s="22">
        <v>2</v>
      </c>
      <c r="U271" s="264">
        <v>263</v>
      </c>
    </row>
    <row r="272" spans="1:21">
      <c r="A272">
        <v>300</v>
      </c>
      <c r="B272" s="21">
        <v>368</v>
      </c>
      <c r="C272" s="22">
        <v>3521</v>
      </c>
      <c r="D272" s="22" t="s">
        <v>464</v>
      </c>
      <c r="E272" s="23" t="s">
        <v>678</v>
      </c>
      <c r="F272" s="24">
        <v>20020322</v>
      </c>
      <c r="G272" s="16">
        <f t="shared" si="46"/>
        <v>37337</v>
      </c>
      <c r="H272" s="2">
        <f t="shared" si="47"/>
        <v>19</v>
      </c>
      <c r="I272" s="17"/>
      <c r="J272" s="25">
        <v>20200401</v>
      </c>
      <c r="K272" s="16">
        <f t="shared" si="48"/>
        <v>43922</v>
      </c>
      <c r="L272" s="2">
        <f t="shared" si="49"/>
        <v>1</v>
      </c>
      <c r="M272" s="25" t="e">
        <f>VLOOKUP($C272,#REF!:#REF!,2,FALSE)</f>
        <v>#REF!</v>
      </c>
      <c r="N272" s="26"/>
      <c r="O272" s="27">
        <v>6</v>
      </c>
      <c r="P272" s="223">
        <f>VLOOKUP($C272,従業員情報!$A$2:'従業員情報'!$AM$2000,5,FALSE)</f>
        <v>65011</v>
      </c>
      <c r="Q272" s="223" t="str">
        <f>VLOOKUP($C272,従業員情報!$A$2:'従業員情報'!$AM$2000,6,FALSE)</f>
        <v>羽生工場ＶＰ－１</v>
      </c>
      <c r="R272" s="22">
        <v>1</v>
      </c>
      <c r="S272" s="22" t="s">
        <v>679</v>
      </c>
      <c r="T272" s="22">
        <v>2</v>
      </c>
      <c r="U272" s="264">
        <v>264</v>
      </c>
    </row>
    <row r="273" spans="1:21">
      <c r="A273">
        <v>322</v>
      </c>
      <c r="B273" s="21">
        <v>384</v>
      </c>
      <c r="C273" s="271">
        <v>3866</v>
      </c>
      <c r="D273" s="271" t="s">
        <v>456</v>
      </c>
      <c r="E273" s="23" t="s">
        <v>15</v>
      </c>
      <c r="F273" s="24">
        <v>19650915</v>
      </c>
      <c r="G273" s="16">
        <f t="shared" si="46"/>
        <v>24000</v>
      </c>
      <c r="H273" s="2">
        <f t="shared" si="47"/>
        <v>56</v>
      </c>
      <c r="I273" s="17"/>
      <c r="J273" s="25">
        <v>19961118</v>
      </c>
      <c r="K273" s="16">
        <f t="shared" si="48"/>
        <v>35387</v>
      </c>
      <c r="L273" s="2">
        <f t="shared" si="49"/>
        <v>25</v>
      </c>
      <c r="M273" s="25" t="e">
        <f>VLOOKUP($C273,#REF!:#REF!,2,FALSE)</f>
        <v>#REF!</v>
      </c>
      <c r="N273" s="26"/>
      <c r="O273" s="27" t="s">
        <v>19</v>
      </c>
      <c r="P273" s="223">
        <f>VLOOKUP($C273,従業員情報!$A$2:'従業員情報'!$AM$2000,5,FALSE)</f>
        <v>65011</v>
      </c>
      <c r="Q273" s="223" t="str">
        <f>VLOOKUP($C273,従業員情報!$A$2:'従業員情報'!$AM$2000,6,FALSE)</f>
        <v>羽生工場ＶＰ－１</v>
      </c>
      <c r="R273" s="271">
        <v>1</v>
      </c>
      <c r="S273" s="271" t="s">
        <v>679</v>
      </c>
      <c r="T273" s="271">
        <v>2</v>
      </c>
      <c r="U273" s="264">
        <v>265</v>
      </c>
    </row>
    <row r="274" spans="1:21">
      <c r="A274">
        <v>326</v>
      </c>
      <c r="B274" s="21">
        <v>390</v>
      </c>
      <c r="C274" s="22">
        <v>3878</v>
      </c>
      <c r="D274" s="22" t="s">
        <v>436</v>
      </c>
      <c r="E274" s="23" t="s">
        <v>15</v>
      </c>
      <c r="F274" s="24">
        <v>19730215</v>
      </c>
      <c r="G274" s="16">
        <f t="shared" si="46"/>
        <v>26710</v>
      </c>
      <c r="H274" s="2">
        <f t="shared" si="47"/>
        <v>49</v>
      </c>
      <c r="I274" s="17"/>
      <c r="J274" s="25">
        <v>20000824</v>
      </c>
      <c r="K274" s="16">
        <f t="shared" si="48"/>
        <v>36762</v>
      </c>
      <c r="L274" s="2">
        <f t="shared" si="49"/>
        <v>21</v>
      </c>
      <c r="M274" s="25" t="e">
        <f>VLOOKUP($C274,#REF!:#REF!,2,FALSE)</f>
        <v>#REF!</v>
      </c>
      <c r="N274" s="26"/>
      <c r="O274" s="27" t="s">
        <v>35</v>
      </c>
      <c r="P274" s="223">
        <f>VLOOKUP($C274,従業員情報!$A$2:'従業員情報'!$AM$2000,5,FALSE)</f>
        <v>65011</v>
      </c>
      <c r="Q274" s="223" t="str">
        <f>VLOOKUP($C274,従業員情報!$A$2:'従業員情報'!$AM$2000,6,FALSE)</f>
        <v>羽生工場ＶＰ－１</v>
      </c>
      <c r="R274" s="22">
        <v>1</v>
      </c>
      <c r="S274" s="22" t="s">
        <v>679</v>
      </c>
      <c r="T274" s="22">
        <v>1</v>
      </c>
      <c r="U274" s="264">
        <v>266</v>
      </c>
    </row>
    <row r="275" spans="1:21">
      <c r="A275">
        <v>349</v>
      </c>
      <c r="B275" s="21">
        <v>420</v>
      </c>
      <c r="C275" s="22">
        <v>3963</v>
      </c>
      <c r="D275" s="22" t="s">
        <v>443</v>
      </c>
      <c r="E275" s="23" t="s">
        <v>15</v>
      </c>
      <c r="F275" s="24">
        <v>19690805</v>
      </c>
      <c r="G275" s="16">
        <f t="shared" si="46"/>
        <v>25420</v>
      </c>
      <c r="H275" s="2">
        <f t="shared" si="47"/>
        <v>52</v>
      </c>
      <c r="I275" s="17"/>
      <c r="J275" s="25">
        <v>20070702</v>
      </c>
      <c r="K275" s="16">
        <f t="shared" si="48"/>
        <v>39265</v>
      </c>
      <c r="L275" s="2">
        <f t="shared" si="49"/>
        <v>14</v>
      </c>
      <c r="M275" s="25" t="e">
        <f>VLOOKUP($C275,#REF!:#REF!,2,FALSE)</f>
        <v>#REF!</v>
      </c>
      <c r="N275" s="26"/>
      <c r="O275" s="27" t="s">
        <v>35</v>
      </c>
      <c r="P275" s="223">
        <f>VLOOKUP($C275,従業員情報!$A$2:'従業員情報'!$AM$2000,5,FALSE)</f>
        <v>65011</v>
      </c>
      <c r="Q275" s="223" t="str">
        <f>VLOOKUP($C275,従業員情報!$A$2:'従業員情報'!$AM$2000,6,FALSE)</f>
        <v>羽生工場ＶＰ－１</v>
      </c>
      <c r="R275" s="22">
        <v>1</v>
      </c>
      <c r="S275" s="22" t="s">
        <v>679</v>
      </c>
      <c r="T275" s="22">
        <v>2</v>
      </c>
      <c r="U275" s="264">
        <v>267</v>
      </c>
    </row>
    <row r="276" spans="1:21">
      <c r="A276">
        <v>360</v>
      </c>
      <c r="B276" s="21">
        <v>432</v>
      </c>
      <c r="C276" s="22">
        <v>3987</v>
      </c>
      <c r="D276" s="22" t="s">
        <v>444</v>
      </c>
      <c r="E276" s="23" t="s">
        <v>15</v>
      </c>
      <c r="F276" s="24">
        <v>19691229</v>
      </c>
      <c r="G276" s="16">
        <f t="shared" si="46"/>
        <v>25566</v>
      </c>
      <c r="H276" s="2">
        <f t="shared" si="47"/>
        <v>52</v>
      </c>
      <c r="I276" s="17"/>
      <c r="J276" s="25">
        <v>20071021</v>
      </c>
      <c r="K276" s="16">
        <f t="shared" si="48"/>
        <v>39376</v>
      </c>
      <c r="L276" s="2">
        <f t="shared" si="49"/>
        <v>14</v>
      </c>
      <c r="M276" s="25" t="e">
        <f>VLOOKUP($C276,#REF!:#REF!,2,FALSE)</f>
        <v>#REF!</v>
      </c>
      <c r="N276" s="26"/>
      <c r="O276" s="27" t="s">
        <v>35</v>
      </c>
      <c r="P276" s="223">
        <f>VLOOKUP($C276,従業員情報!$A$2:'従業員情報'!$AM$2000,5,FALSE)</f>
        <v>65011</v>
      </c>
      <c r="Q276" s="223" t="str">
        <f>VLOOKUP($C276,従業員情報!$A$2:'従業員情報'!$AM$2000,6,FALSE)</f>
        <v>羽生工場ＶＰ－１</v>
      </c>
      <c r="R276" s="22">
        <v>1</v>
      </c>
      <c r="S276" s="22" t="s">
        <v>679</v>
      </c>
      <c r="T276" s="22">
        <v>2</v>
      </c>
      <c r="U276" s="264">
        <v>268</v>
      </c>
    </row>
    <row r="277" spans="1:21">
      <c r="A277">
        <v>389</v>
      </c>
      <c r="B277" s="21">
        <v>466</v>
      </c>
      <c r="C277" s="22">
        <v>5249</v>
      </c>
      <c r="D277" s="22" t="s">
        <v>435</v>
      </c>
      <c r="E277" s="23" t="s">
        <v>15</v>
      </c>
      <c r="F277" s="24">
        <v>19760604</v>
      </c>
      <c r="G277" s="16">
        <f t="shared" si="46"/>
        <v>27915</v>
      </c>
      <c r="H277" s="2">
        <f t="shared" si="47"/>
        <v>45</v>
      </c>
      <c r="I277" s="17"/>
      <c r="J277" s="25">
        <v>19940330</v>
      </c>
      <c r="K277" s="16">
        <f t="shared" si="48"/>
        <v>34423</v>
      </c>
      <c r="L277" s="2">
        <f t="shared" si="49"/>
        <v>27</v>
      </c>
      <c r="M277" s="25" t="e">
        <f>VLOOKUP($C277,#REF!:#REF!,2,FALSE)</f>
        <v>#REF!</v>
      </c>
      <c r="N277" s="26"/>
      <c r="O277" s="27" t="s">
        <v>345</v>
      </c>
      <c r="P277" s="223">
        <f>VLOOKUP($C277,従業員情報!$A$2:'従業員情報'!$AM$2000,5,FALSE)</f>
        <v>65011</v>
      </c>
      <c r="Q277" s="223" t="str">
        <f>VLOOKUP($C277,従業員情報!$A$2:'従業員情報'!$AM$2000,6,FALSE)</f>
        <v>羽生工場ＶＰ－１</v>
      </c>
      <c r="R277" s="22">
        <v>1</v>
      </c>
      <c r="S277" s="22" t="s">
        <v>679</v>
      </c>
      <c r="T277" s="22">
        <v>1</v>
      </c>
      <c r="U277" s="264">
        <v>269</v>
      </c>
    </row>
    <row r="278" spans="1:21">
      <c r="A278">
        <v>18</v>
      </c>
      <c r="B278" s="21">
        <v>25</v>
      </c>
      <c r="C278" s="22">
        <v>1352</v>
      </c>
      <c r="D278" s="22" t="s">
        <v>457</v>
      </c>
      <c r="E278" s="23" t="s">
        <v>15</v>
      </c>
      <c r="F278" s="24">
        <v>19731016</v>
      </c>
      <c r="G278" s="16">
        <f t="shared" ref="G278:G311" si="50">DATE(INT(F278/10000),INT(MOD(F278,10000)/100),MOD(F278,100))</f>
        <v>26953</v>
      </c>
      <c r="H278" s="2">
        <f t="shared" ref="H278:H311" si="51">DATEDIF(G278,$G$4,"Y")</f>
        <v>48</v>
      </c>
      <c r="I278" s="17"/>
      <c r="J278" s="25">
        <v>20080421</v>
      </c>
      <c r="K278" s="16">
        <f t="shared" ref="K278:K311" si="52">DATE(INT(J278/10000),INT(MOD(J278,10000)/100),MOD(J278,100))</f>
        <v>39559</v>
      </c>
      <c r="L278" s="2">
        <f t="shared" ref="L278:L311" si="53">DATEDIF(K278,$G$4,"Y")</f>
        <v>13</v>
      </c>
      <c r="M278" s="25" t="e">
        <f>VLOOKUP($C278,#REF!:#REF!,2,FALSE)</f>
        <v>#REF!</v>
      </c>
      <c r="N278" s="26"/>
      <c r="O278" s="27" t="s">
        <v>19</v>
      </c>
      <c r="P278" s="223">
        <f>VLOOKUP($C278,従業員情報!$A$2:'従業員情報'!$AM$2000,5,FALSE)</f>
        <v>66011</v>
      </c>
      <c r="Q278" s="223" t="str">
        <f>VLOOKUP($C278,従業員情報!$A$2:'従業員情報'!$AM$2000,6,FALSE)</f>
        <v>羽生工場ＶＰ－２</v>
      </c>
      <c r="R278" s="22">
        <v>1</v>
      </c>
      <c r="S278" s="22" t="s">
        <v>679</v>
      </c>
      <c r="T278" s="22">
        <v>2</v>
      </c>
      <c r="U278" s="264">
        <v>271</v>
      </c>
    </row>
    <row r="279" spans="1:21">
      <c r="A279">
        <v>30</v>
      </c>
      <c r="B279" s="21">
        <v>40</v>
      </c>
      <c r="C279" s="22">
        <v>1383</v>
      </c>
      <c r="D279" s="22" t="s">
        <v>263</v>
      </c>
      <c r="E279" s="23" t="s">
        <v>15</v>
      </c>
      <c r="F279" s="24">
        <v>19850822</v>
      </c>
      <c r="G279" s="16">
        <f t="shared" si="50"/>
        <v>31281</v>
      </c>
      <c r="H279" s="2">
        <f t="shared" si="51"/>
        <v>36</v>
      </c>
      <c r="I279" s="17"/>
      <c r="J279" s="25">
        <v>20120903</v>
      </c>
      <c r="K279" s="16">
        <f t="shared" si="52"/>
        <v>41155</v>
      </c>
      <c r="L279" s="2">
        <f t="shared" si="53"/>
        <v>9</v>
      </c>
      <c r="M279" s="25" t="e">
        <f>VLOOKUP($C279,#REF!:#REF!,2,FALSE)</f>
        <v>#REF!</v>
      </c>
      <c r="N279" s="26"/>
      <c r="O279" s="27" t="s">
        <v>16</v>
      </c>
      <c r="P279" s="223">
        <f>VLOOKUP($C279,従業員情報!$A$2:'従業員情報'!$AM$2000,5,FALSE)</f>
        <v>66011</v>
      </c>
      <c r="Q279" s="223" t="str">
        <f>VLOOKUP($C279,従業員情報!$A$2:'従業員情報'!$AM$2000,6,FALSE)</f>
        <v>羽生工場ＶＰ－２</v>
      </c>
      <c r="R279" s="22">
        <v>1</v>
      </c>
      <c r="S279" s="22" t="s">
        <v>679</v>
      </c>
      <c r="T279" s="22">
        <v>1</v>
      </c>
      <c r="U279" s="264">
        <v>272</v>
      </c>
    </row>
    <row r="280" spans="1:21">
      <c r="A280">
        <v>34</v>
      </c>
      <c r="B280" s="21">
        <v>46</v>
      </c>
      <c r="C280" s="22">
        <v>1390</v>
      </c>
      <c r="D280" s="22" t="s">
        <v>461</v>
      </c>
      <c r="E280" s="23" t="s">
        <v>15</v>
      </c>
      <c r="F280" s="24">
        <v>19680505</v>
      </c>
      <c r="G280" s="16">
        <f t="shared" si="50"/>
        <v>24963</v>
      </c>
      <c r="H280" s="2">
        <f t="shared" si="51"/>
        <v>53</v>
      </c>
      <c r="I280" s="17"/>
      <c r="J280" s="25">
        <v>20141001</v>
      </c>
      <c r="K280" s="16">
        <f t="shared" si="52"/>
        <v>41913</v>
      </c>
      <c r="L280" s="2">
        <f t="shared" si="53"/>
        <v>7</v>
      </c>
      <c r="M280" s="25" t="e">
        <f>VLOOKUP($C280,#REF!:#REF!,2,FALSE)</f>
        <v>#REF!</v>
      </c>
      <c r="N280" s="26"/>
      <c r="O280" s="27" t="s">
        <v>35</v>
      </c>
      <c r="P280" s="223">
        <f>VLOOKUP($C280,従業員情報!$A$2:'従業員情報'!$AM$2000,5,FALSE)</f>
        <v>66011</v>
      </c>
      <c r="Q280" s="223" t="str">
        <f>VLOOKUP($C280,従業員情報!$A$2:'従業員情報'!$AM$2000,6,FALSE)</f>
        <v>羽生工場ＶＰ－２</v>
      </c>
      <c r="R280" s="22">
        <v>1</v>
      </c>
      <c r="S280" s="22" t="s">
        <v>679</v>
      </c>
      <c r="T280" s="22">
        <v>2</v>
      </c>
      <c r="U280" s="264">
        <v>273</v>
      </c>
    </row>
    <row r="281" spans="1:21">
      <c r="A281">
        <v>36</v>
      </c>
      <c r="B281" s="21">
        <v>48</v>
      </c>
      <c r="C281" s="22">
        <v>1393</v>
      </c>
      <c r="D281" s="22" t="s">
        <v>509</v>
      </c>
      <c r="E281" s="23" t="s">
        <v>15</v>
      </c>
      <c r="F281" s="24">
        <v>19851120</v>
      </c>
      <c r="G281" s="16">
        <f t="shared" si="50"/>
        <v>31371</v>
      </c>
      <c r="H281" s="2">
        <f t="shared" si="51"/>
        <v>36</v>
      </c>
      <c r="I281" s="17"/>
      <c r="J281" s="25">
        <v>20150201</v>
      </c>
      <c r="K281" s="16">
        <f t="shared" si="52"/>
        <v>42036</v>
      </c>
      <c r="L281" s="2">
        <f t="shared" si="53"/>
        <v>7</v>
      </c>
      <c r="M281" s="25" t="e">
        <f>VLOOKUP($C281,#REF!:#REF!,2,FALSE)</f>
        <v>#REF!</v>
      </c>
      <c r="N281" s="26"/>
      <c r="O281" s="27" t="s">
        <v>16</v>
      </c>
      <c r="P281" s="223">
        <f>VLOOKUP($C281,従業員情報!$A$2:'従業員情報'!$AM$2000,5,FALSE)</f>
        <v>66011</v>
      </c>
      <c r="Q281" s="223" t="str">
        <f>VLOOKUP($C281,従業員情報!$A$2:'従業員情報'!$AM$2000,6,FALSE)</f>
        <v>羽生工場ＶＰ－２</v>
      </c>
      <c r="R281" s="22">
        <v>1</v>
      </c>
      <c r="S281" s="22" t="s">
        <v>679</v>
      </c>
      <c r="T281" s="22">
        <v>1</v>
      </c>
      <c r="U281" s="264">
        <v>274</v>
      </c>
    </row>
    <row r="282" spans="1:21">
      <c r="A282">
        <v>43</v>
      </c>
      <c r="B282" s="21">
        <v>56</v>
      </c>
      <c r="C282" s="22">
        <v>1402</v>
      </c>
      <c r="D282" s="22" t="s">
        <v>462</v>
      </c>
      <c r="E282" s="23" t="s">
        <v>15</v>
      </c>
      <c r="F282" s="24">
        <v>19901031</v>
      </c>
      <c r="G282" s="16">
        <f t="shared" si="50"/>
        <v>33177</v>
      </c>
      <c r="H282" s="2">
        <f t="shared" si="51"/>
        <v>31</v>
      </c>
      <c r="I282" s="17"/>
      <c r="J282" s="25">
        <v>20190501</v>
      </c>
      <c r="K282" s="16">
        <f t="shared" si="52"/>
        <v>43586</v>
      </c>
      <c r="L282" s="2">
        <f t="shared" si="53"/>
        <v>2</v>
      </c>
      <c r="M282" s="25" t="e">
        <f>VLOOKUP($C282,#REF!:#REF!,2,FALSE)</f>
        <v>#REF!</v>
      </c>
      <c r="N282" s="26"/>
      <c r="O282" s="27">
        <v>6</v>
      </c>
      <c r="P282" s="223">
        <f>VLOOKUP($C282,従業員情報!$A$2:'従業員情報'!$AM$2000,5,FALSE)</f>
        <v>66011</v>
      </c>
      <c r="Q282" s="223" t="str">
        <f>VLOOKUP($C282,従業員情報!$A$2:'従業員情報'!$AM$2000,6,FALSE)</f>
        <v>羽生工場ＶＰ－２</v>
      </c>
      <c r="R282" s="22">
        <v>1</v>
      </c>
      <c r="S282" s="22" t="s">
        <v>679</v>
      </c>
      <c r="T282" s="22">
        <v>2</v>
      </c>
      <c r="U282" s="264">
        <v>275</v>
      </c>
    </row>
    <row r="283" spans="1:21">
      <c r="A283">
        <v>81</v>
      </c>
      <c r="B283" s="21">
        <v>78</v>
      </c>
      <c r="C283" s="22">
        <v>2699</v>
      </c>
      <c r="D283" s="22" t="s">
        <v>439</v>
      </c>
      <c r="E283" s="23" t="s">
        <v>15</v>
      </c>
      <c r="F283" s="24">
        <v>19660204</v>
      </c>
      <c r="G283" s="16">
        <f t="shared" si="50"/>
        <v>24142</v>
      </c>
      <c r="H283" s="2">
        <f t="shared" si="51"/>
        <v>56</v>
      </c>
      <c r="I283" s="17"/>
      <c r="J283" s="25">
        <v>19840329</v>
      </c>
      <c r="K283" s="16">
        <f t="shared" si="52"/>
        <v>30770</v>
      </c>
      <c r="L283" s="2">
        <f t="shared" si="53"/>
        <v>37</v>
      </c>
      <c r="M283" s="25" t="e">
        <f>VLOOKUP($C283,#REF!:#REF!,2,FALSE)</f>
        <v>#REF!</v>
      </c>
      <c r="N283" s="26"/>
      <c r="O283" s="27" t="s">
        <v>35</v>
      </c>
      <c r="P283" s="223">
        <f>VLOOKUP($C283,従業員情報!$A$2:'従業員情報'!$AM$2000,5,FALSE)</f>
        <v>66011</v>
      </c>
      <c r="Q283" s="223" t="str">
        <f>VLOOKUP($C283,従業員情報!$A$2:'従業員情報'!$AM$2000,6,FALSE)</f>
        <v>羽生工場ＶＰ－２</v>
      </c>
      <c r="R283" s="22">
        <v>1</v>
      </c>
      <c r="S283" s="22" t="s">
        <v>679</v>
      </c>
      <c r="T283" s="22">
        <v>2</v>
      </c>
      <c r="U283" s="264">
        <v>276</v>
      </c>
    </row>
    <row r="284" spans="1:21">
      <c r="A284">
        <v>145</v>
      </c>
      <c r="B284" s="21">
        <v>156</v>
      </c>
      <c r="C284" s="22">
        <v>3099</v>
      </c>
      <c r="D284" s="22" t="s">
        <v>448</v>
      </c>
      <c r="E284" s="23" t="s">
        <v>15</v>
      </c>
      <c r="F284" s="24">
        <v>19760108</v>
      </c>
      <c r="G284" s="16">
        <f t="shared" si="50"/>
        <v>27767</v>
      </c>
      <c r="H284" s="2">
        <f t="shared" si="51"/>
        <v>46</v>
      </c>
      <c r="I284" s="17"/>
      <c r="J284" s="25">
        <v>19960321</v>
      </c>
      <c r="K284" s="16">
        <f t="shared" si="52"/>
        <v>35145</v>
      </c>
      <c r="L284" s="2">
        <f t="shared" si="53"/>
        <v>25</v>
      </c>
      <c r="M284" s="25" t="e">
        <f>VLOOKUP($C284,#REF!:#REF!,2,FALSE)</f>
        <v>#REF!</v>
      </c>
      <c r="N284" s="26"/>
      <c r="O284" s="27" t="s">
        <v>19</v>
      </c>
      <c r="P284" s="223">
        <f>VLOOKUP($C284,従業員情報!$A$2:'従業員情報'!$AM$2000,5,FALSE)</f>
        <v>66011</v>
      </c>
      <c r="Q284" s="223" t="str">
        <f>VLOOKUP($C284,従業員情報!$A$2:'従業員情報'!$AM$2000,6,FALSE)</f>
        <v>羽生工場ＶＰ－２</v>
      </c>
      <c r="R284" s="22">
        <v>1</v>
      </c>
      <c r="S284" s="22" t="s">
        <v>679</v>
      </c>
      <c r="T284" s="22">
        <v>1</v>
      </c>
      <c r="U284" s="264">
        <v>278</v>
      </c>
    </row>
    <row r="285" spans="1:21">
      <c r="A285">
        <v>350</v>
      </c>
      <c r="B285" s="21">
        <v>421</v>
      </c>
      <c r="C285" s="22">
        <v>3965</v>
      </c>
      <c r="D285" s="22" t="s">
        <v>459</v>
      </c>
      <c r="E285" s="23" t="s">
        <v>15</v>
      </c>
      <c r="F285" s="24">
        <v>19670404</v>
      </c>
      <c r="G285" s="16">
        <f t="shared" si="50"/>
        <v>24566</v>
      </c>
      <c r="H285" s="2">
        <f t="shared" si="51"/>
        <v>54</v>
      </c>
      <c r="I285" s="17"/>
      <c r="J285" s="25">
        <v>20070716</v>
      </c>
      <c r="K285" s="16">
        <f t="shared" si="52"/>
        <v>39279</v>
      </c>
      <c r="L285" s="2">
        <f t="shared" si="53"/>
        <v>14</v>
      </c>
      <c r="M285" s="25" t="e">
        <f>VLOOKUP($C285,#REF!:#REF!,2,FALSE)</f>
        <v>#REF!</v>
      </c>
      <c r="N285" s="26"/>
      <c r="O285" s="27" t="s">
        <v>16</v>
      </c>
      <c r="P285" s="223">
        <f>VLOOKUP($C285,従業員情報!$A$2:'従業員情報'!$AM$2000,5,FALSE)</f>
        <v>66011</v>
      </c>
      <c r="Q285" s="223" t="str">
        <f>VLOOKUP($C285,従業員情報!$A$2:'従業員情報'!$AM$2000,6,FALSE)</f>
        <v>羽生工場ＶＰ－２</v>
      </c>
      <c r="R285" s="22">
        <v>1</v>
      </c>
      <c r="S285" s="22" t="s">
        <v>679</v>
      </c>
      <c r="T285" s="22">
        <v>2</v>
      </c>
      <c r="U285" s="264">
        <v>279</v>
      </c>
    </row>
    <row r="286" spans="1:21">
      <c r="A286">
        <v>352</v>
      </c>
      <c r="B286" s="21">
        <v>424</v>
      </c>
      <c r="C286" s="22">
        <v>3968</v>
      </c>
      <c r="D286" s="22" t="s">
        <v>460</v>
      </c>
      <c r="E286" s="23" t="s">
        <v>15</v>
      </c>
      <c r="F286" s="24">
        <v>19680408</v>
      </c>
      <c r="G286" s="16">
        <f t="shared" si="50"/>
        <v>24936</v>
      </c>
      <c r="H286" s="2">
        <f t="shared" si="51"/>
        <v>53</v>
      </c>
      <c r="I286" s="17"/>
      <c r="J286" s="25">
        <v>20070903</v>
      </c>
      <c r="K286" s="16">
        <f t="shared" si="52"/>
        <v>39328</v>
      </c>
      <c r="L286" s="2">
        <f t="shared" si="53"/>
        <v>14</v>
      </c>
      <c r="M286" s="25" t="e">
        <f>VLOOKUP($C286,#REF!:#REF!,2,FALSE)</f>
        <v>#REF!</v>
      </c>
      <c r="N286" s="26"/>
      <c r="O286" s="27" t="s">
        <v>19</v>
      </c>
      <c r="P286" s="223">
        <f>VLOOKUP($C286,従業員情報!$A$2:'従業員情報'!$AM$2000,5,FALSE)</f>
        <v>66011</v>
      </c>
      <c r="Q286" s="223" t="str">
        <f>VLOOKUP($C286,従業員情報!$A$2:'従業員情報'!$AM$2000,6,FALSE)</f>
        <v>羽生工場ＶＰ－２</v>
      </c>
      <c r="R286" s="22">
        <v>1</v>
      </c>
      <c r="S286" s="22" t="s">
        <v>679</v>
      </c>
      <c r="T286" s="22">
        <v>2</v>
      </c>
      <c r="U286" s="264">
        <v>280</v>
      </c>
    </row>
    <row r="287" spans="1:21">
      <c r="A287">
        <v>383</v>
      </c>
      <c r="B287" s="21">
        <v>460</v>
      </c>
      <c r="C287" s="22">
        <v>5159</v>
      </c>
      <c r="D287" s="22" t="s">
        <v>455</v>
      </c>
      <c r="E287" s="23" t="s">
        <v>15</v>
      </c>
      <c r="F287" s="24">
        <v>19701025</v>
      </c>
      <c r="G287" s="16">
        <f t="shared" si="50"/>
        <v>25866</v>
      </c>
      <c r="H287" s="2">
        <f t="shared" si="51"/>
        <v>51</v>
      </c>
      <c r="I287" s="17"/>
      <c r="J287" s="25">
        <v>19880325</v>
      </c>
      <c r="K287" s="16">
        <f t="shared" si="52"/>
        <v>32227</v>
      </c>
      <c r="L287" s="2">
        <f t="shared" si="53"/>
        <v>33</v>
      </c>
      <c r="M287" s="25" t="e">
        <f>VLOOKUP($C287,#REF!:#REF!,2,FALSE)</f>
        <v>#REF!</v>
      </c>
      <c r="N287" s="26"/>
      <c r="O287" s="27" t="s">
        <v>345</v>
      </c>
      <c r="P287" s="223">
        <f>VLOOKUP($C287,従業員情報!$A$2:'従業員情報'!$AM$2000,5,FALSE)</f>
        <v>66011</v>
      </c>
      <c r="Q287" s="223" t="str">
        <f>VLOOKUP($C287,従業員情報!$A$2:'従業員情報'!$AM$2000,6,FALSE)</f>
        <v>羽生工場ＶＰ－２</v>
      </c>
      <c r="R287" s="22">
        <v>1</v>
      </c>
      <c r="S287" s="22" t="s">
        <v>679</v>
      </c>
      <c r="T287" s="22">
        <v>2</v>
      </c>
      <c r="U287" s="264">
        <v>281</v>
      </c>
    </row>
    <row r="288" spans="1:21">
      <c r="A288">
        <v>158</v>
      </c>
      <c r="B288" s="21">
        <v>170</v>
      </c>
      <c r="C288" s="22">
        <v>3152</v>
      </c>
      <c r="D288" s="22" t="s">
        <v>415</v>
      </c>
      <c r="E288" s="23" t="s">
        <v>15</v>
      </c>
      <c r="F288" s="24">
        <v>19780123</v>
      </c>
      <c r="G288" s="16">
        <f t="shared" si="50"/>
        <v>28513</v>
      </c>
      <c r="H288" s="2">
        <f t="shared" si="51"/>
        <v>44</v>
      </c>
      <c r="I288" s="17"/>
      <c r="J288" s="25">
        <v>19980323</v>
      </c>
      <c r="K288" s="16">
        <f t="shared" si="52"/>
        <v>35877</v>
      </c>
      <c r="L288" s="2">
        <f t="shared" si="53"/>
        <v>23</v>
      </c>
      <c r="M288" s="25" t="e">
        <f>VLOOKUP($C288,#REF!:#REF!,2,FALSE)</f>
        <v>#REF!</v>
      </c>
      <c r="N288" s="26"/>
      <c r="O288" s="27" t="s">
        <v>19</v>
      </c>
      <c r="P288" s="223">
        <f>VLOOKUP($C288,従業員情報!$A$2:'従業員情報'!$AM$2000,5,FALSE)</f>
        <v>67011</v>
      </c>
      <c r="Q288" s="223" t="str">
        <f>VLOOKUP($C288,従業員情報!$A$2:'従業員情報'!$AM$2000,6,FALSE)</f>
        <v>羽生工場プレス</v>
      </c>
      <c r="R288" s="22">
        <v>1</v>
      </c>
      <c r="S288" s="22" t="s">
        <v>679</v>
      </c>
      <c r="T288" s="22">
        <v>1</v>
      </c>
      <c r="U288" s="264">
        <v>249</v>
      </c>
    </row>
    <row r="289" spans="1:21">
      <c r="A289">
        <v>78</v>
      </c>
      <c r="B289" s="21">
        <v>75</v>
      </c>
      <c r="C289" s="22">
        <v>2687</v>
      </c>
      <c r="D289" s="22" t="s">
        <v>421</v>
      </c>
      <c r="E289" s="23" t="s">
        <v>15</v>
      </c>
      <c r="F289" s="24">
        <v>19650828</v>
      </c>
      <c r="G289" s="16">
        <f t="shared" si="50"/>
        <v>23982</v>
      </c>
      <c r="H289" s="2">
        <f t="shared" si="51"/>
        <v>56</v>
      </c>
      <c r="I289" s="17"/>
      <c r="J289" s="25">
        <v>19840326</v>
      </c>
      <c r="K289" s="16">
        <f t="shared" si="52"/>
        <v>30767</v>
      </c>
      <c r="L289" s="2">
        <f t="shared" si="53"/>
        <v>37</v>
      </c>
      <c r="M289" s="25" t="e">
        <f>VLOOKUP($C289,#REF!:#REF!,2,FALSE)</f>
        <v>#REF!</v>
      </c>
      <c r="N289" s="26"/>
      <c r="O289" s="27" t="s">
        <v>35</v>
      </c>
      <c r="P289" s="223">
        <f>VLOOKUP($C289,従業員情報!$A$2:'従業員情報'!$AM$2000,5,FALSE)</f>
        <v>67011</v>
      </c>
      <c r="Q289" s="223" t="str">
        <f>VLOOKUP($C289,従業員情報!$A$2:'従業員情報'!$AM$2000,6,FALSE)</f>
        <v>羽生工場プレス</v>
      </c>
      <c r="R289" s="22">
        <v>1</v>
      </c>
      <c r="S289" s="22" t="s">
        <v>679</v>
      </c>
      <c r="T289" s="22">
        <v>1</v>
      </c>
      <c r="U289" s="264">
        <v>253</v>
      </c>
    </row>
    <row r="290" spans="1:21">
      <c r="A290">
        <v>25</v>
      </c>
      <c r="B290" s="21">
        <v>34</v>
      </c>
      <c r="C290" s="22">
        <v>1370</v>
      </c>
      <c r="D290" s="22" t="s">
        <v>472</v>
      </c>
      <c r="E290" s="23" t="s">
        <v>15</v>
      </c>
      <c r="F290" s="24">
        <v>19760105</v>
      </c>
      <c r="G290" s="16">
        <f t="shared" si="50"/>
        <v>27764</v>
      </c>
      <c r="H290" s="2">
        <f t="shared" si="51"/>
        <v>46</v>
      </c>
      <c r="I290" s="17"/>
      <c r="J290" s="25">
        <v>20110121</v>
      </c>
      <c r="K290" s="16">
        <f t="shared" si="52"/>
        <v>40564</v>
      </c>
      <c r="L290" s="2">
        <f t="shared" si="53"/>
        <v>11</v>
      </c>
      <c r="M290" s="25" t="e">
        <f>VLOOKUP($C290,#REF!:#REF!,2,FALSE)</f>
        <v>#REF!</v>
      </c>
      <c r="N290" s="26"/>
      <c r="O290" s="27" t="s">
        <v>35</v>
      </c>
      <c r="P290" s="223">
        <f>VLOOKUP($C290,従業員情報!$A$2:'従業員情報'!$AM$2000,5,FALSE)</f>
        <v>67011</v>
      </c>
      <c r="Q290" s="223" t="str">
        <f>VLOOKUP($C290,従業員情報!$A$2:'従業員情報'!$AM$2000,6,FALSE)</f>
        <v>羽生工場プレス</v>
      </c>
      <c r="R290" s="22">
        <v>1</v>
      </c>
      <c r="S290" s="22" t="s">
        <v>679</v>
      </c>
      <c r="T290" s="22">
        <v>2</v>
      </c>
      <c r="U290" s="264">
        <v>283</v>
      </c>
    </row>
    <row r="291" spans="1:21">
      <c r="A291">
        <v>204</v>
      </c>
      <c r="B291" s="21">
        <v>223</v>
      </c>
      <c r="C291" s="22">
        <v>3282</v>
      </c>
      <c r="D291" s="22" t="s">
        <v>474</v>
      </c>
      <c r="E291" s="23" t="s">
        <v>15</v>
      </c>
      <c r="F291" s="24">
        <v>19860704</v>
      </c>
      <c r="G291" s="16">
        <f t="shared" si="50"/>
        <v>31597</v>
      </c>
      <c r="H291" s="2">
        <f t="shared" si="51"/>
        <v>35</v>
      </c>
      <c r="I291" s="17"/>
      <c r="J291" s="25">
        <v>20080324</v>
      </c>
      <c r="K291" s="16">
        <f t="shared" si="52"/>
        <v>39531</v>
      </c>
      <c r="L291" s="2">
        <f t="shared" si="53"/>
        <v>13</v>
      </c>
      <c r="M291" s="25" t="e">
        <f>VLOOKUP($C291,#REF!:#REF!,2,FALSE)</f>
        <v>#REF!</v>
      </c>
      <c r="N291" s="26"/>
      <c r="O291" s="27" t="s">
        <v>19</v>
      </c>
      <c r="P291" s="223">
        <f>VLOOKUP($C291,従業員情報!$A$2:'従業員情報'!$AM$2000,5,FALSE)</f>
        <v>67011</v>
      </c>
      <c r="Q291" s="223" t="str">
        <f>VLOOKUP($C291,従業員情報!$A$2:'従業員情報'!$AM$2000,6,FALSE)</f>
        <v>羽生工場プレス</v>
      </c>
      <c r="R291" s="22">
        <v>1</v>
      </c>
      <c r="S291" s="22" t="s">
        <v>679</v>
      </c>
      <c r="T291" s="22">
        <v>2</v>
      </c>
      <c r="U291" s="264">
        <v>284</v>
      </c>
    </row>
    <row r="292" spans="1:21">
      <c r="A292">
        <v>253</v>
      </c>
      <c r="B292" s="21">
        <v>298</v>
      </c>
      <c r="C292" s="22">
        <v>3426</v>
      </c>
      <c r="D292" s="22" t="s">
        <v>428</v>
      </c>
      <c r="E292" s="23" t="s">
        <v>15</v>
      </c>
      <c r="F292" s="24">
        <v>19960316</v>
      </c>
      <c r="G292" s="16">
        <f t="shared" si="50"/>
        <v>35140</v>
      </c>
      <c r="H292" s="2">
        <f t="shared" si="51"/>
        <v>25</v>
      </c>
      <c r="I292" s="17"/>
      <c r="J292" s="25">
        <v>20140321</v>
      </c>
      <c r="K292" s="16">
        <f t="shared" si="52"/>
        <v>41719</v>
      </c>
      <c r="L292" s="2">
        <f t="shared" si="53"/>
        <v>7</v>
      </c>
      <c r="M292" s="25" t="e">
        <f>VLOOKUP($C292,#REF!:#REF!,2,FALSE)</f>
        <v>#REF!</v>
      </c>
      <c r="N292" s="26"/>
      <c r="O292" s="27" t="s">
        <v>35</v>
      </c>
      <c r="P292" s="223">
        <f>VLOOKUP($C292,従業員情報!$A$2:'従業員情報'!$AM$2000,5,FALSE)</f>
        <v>67011</v>
      </c>
      <c r="Q292" s="223" t="str">
        <f>VLOOKUP($C292,従業員情報!$A$2:'従業員情報'!$AM$2000,6,FALSE)</f>
        <v>羽生工場プレス</v>
      </c>
      <c r="R292" s="22">
        <v>1</v>
      </c>
      <c r="S292" s="22" t="s">
        <v>679</v>
      </c>
      <c r="T292" s="22">
        <v>1</v>
      </c>
      <c r="U292" s="264">
        <v>285</v>
      </c>
    </row>
    <row r="293" spans="1:21">
      <c r="A293">
        <v>325</v>
      </c>
      <c r="B293" s="21">
        <v>388</v>
      </c>
      <c r="C293" s="22">
        <v>3876</v>
      </c>
      <c r="D293" s="22" t="s">
        <v>469</v>
      </c>
      <c r="E293" s="23" t="s">
        <v>15</v>
      </c>
      <c r="F293" s="24">
        <v>19670509</v>
      </c>
      <c r="G293" s="16">
        <f t="shared" si="50"/>
        <v>24601</v>
      </c>
      <c r="H293" s="2">
        <f t="shared" si="51"/>
        <v>54</v>
      </c>
      <c r="I293" s="17"/>
      <c r="J293" s="25">
        <v>20000421</v>
      </c>
      <c r="K293" s="16">
        <f t="shared" si="52"/>
        <v>36637</v>
      </c>
      <c r="L293" s="2">
        <f t="shared" si="53"/>
        <v>21</v>
      </c>
      <c r="M293" s="25" t="e">
        <f>VLOOKUP($C293,#REF!:#REF!,2,FALSE)</f>
        <v>#REF!</v>
      </c>
      <c r="N293" s="26"/>
      <c r="O293" s="27" t="s">
        <v>35</v>
      </c>
      <c r="P293" s="223">
        <f>VLOOKUP($C293,従業員情報!$A$2:'従業員情報'!$AM$2000,5,FALSE)</f>
        <v>67011</v>
      </c>
      <c r="Q293" s="223" t="str">
        <f>VLOOKUP($C293,従業員情報!$A$2:'従業員情報'!$AM$2000,6,FALSE)</f>
        <v>羽生工場プレス</v>
      </c>
      <c r="R293" s="22">
        <v>1</v>
      </c>
      <c r="S293" s="22" t="s">
        <v>679</v>
      </c>
      <c r="T293" s="22">
        <v>2</v>
      </c>
      <c r="U293" s="264">
        <v>286</v>
      </c>
    </row>
    <row r="294" spans="1:21">
      <c r="A294">
        <v>353</v>
      </c>
      <c r="B294" s="21">
        <v>425</v>
      </c>
      <c r="C294" s="22">
        <v>3969</v>
      </c>
      <c r="D294" s="22" t="s">
        <v>473</v>
      </c>
      <c r="E294" s="23" t="s">
        <v>15</v>
      </c>
      <c r="F294" s="24">
        <v>19830829</v>
      </c>
      <c r="G294" s="16">
        <f t="shared" si="50"/>
        <v>30557</v>
      </c>
      <c r="H294" s="2">
        <f t="shared" si="51"/>
        <v>38</v>
      </c>
      <c r="I294" s="17"/>
      <c r="J294" s="25">
        <v>20070903</v>
      </c>
      <c r="K294" s="16">
        <f t="shared" si="52"/>
        <v>39328</v>
      </c>
      <c r="L294" s="2">
        <f t="shared" si="53"/>
        <v>14</v>
      </c>
      <c r="M294" s="25" t="e">
        <f>VLOOKUP($C294,#REF!:#REF!,2,FALSE)</f>
        <v>#REF!</v>
      </c>
      <c r="N294" s="26"/>
      <c r="O294" s="27" t="s">
        <v>19</v>
      </c>
      <c r="P294" s="223">
        <f>VLOOKUP($C294,従業員情報!$A$2:'従業員情報'!$AM$2000,5,FALSE)</f>
        <v>67011</v>
      </c>
      <c r="Q294" s="223" t="str">
        <f>VLOOKUP($C294,従業員情報!$A$2:'従業員情報'!$AM$2000,6,FALSE)</f>
        <v>羽生工場プレス</v>
      </c>
      <c r="R294" s="22">
        <v>1</v>
      </c>
      <c r="S294" s="22" t="s">
        <v>679</v>
      </c>
      <c r="T294" s="22">
        <v>2</v>
      </c>
      <c r="U294" s="264">
        <v>287</v>
      </c>
    </row>
    <row r="295" spans="1:21">
      <c r="A295">
        <v>373</v>
      </c>
      <c r="B295" s="21">
        <v>449</v>
      </c>
      <c r="C295" s="22">
        <v>5065</v>
      </c>
      <c r="D295" s="22" t="s">
        <v>465</v>
      </c>
      <c r="E295" s="23" t="s">
        <v>15</v>
      </c>
      <c r="F295" s="24">
        <v>19660707</v>
      </c>
      <c r="G295" s="16">
        <f t="shared" si="50"/>
        <v>24295</v>
      </c>
      <c r="H295" s="2">
        <f t="shared" si="51"/>
        <v>55</v>
      </c>
      <c r="I295" s="17"/>
      <c r="J295" s="25">
        <v>19820325</v>
      </c>
      <c r="K295" s="16">
        <f t="shared" si="52"/>
        <v>30035</v>
      </c>
      <c r="L295" s="2">
        <f t="shared" si="53"/>
        <v>39</v>
      </c>
      <c r="M295" s="25" t="e">
        <f>VLOOKUP($C295,#REF!:#REF!,2,FALSE)</f>
        <v>#REF!</v>
      </c>
      <c r="N295" s="26"/>
      <c r="O295" s="27" t="s">
        <v>77</v>
      </c>
      <c r="P295" s="223">
        <f>VLOOKUP($C295,従業員情報!$A$2:'従業員情報'!$AM$2000,5,FALSE)</f>
        <v>67011</v>
      </c>
      <c r="Q295" s="223" t="str">
        <f>VLOOKUP($C295,従業員情報!$A$2:'従業員情報'!$AM$2000,6,FALSE)</f>
        <v>羽生工場プレス</v>
      </c>
      <c r="R295" s="22">
        <v>1</v>
      </c>
      <c r="S295" s="22" t="s">
        <v>679</v>
      </c>
      <c r="T295" s="22">
        <v>2</v>
      </c>
      <c r="U295" s="264">
        <v>289</v>
      </c>
    </row>
    <row r="296" spans="1:21">
      <c r="A296">
        <v>376</v>
      </c>
      <c r="B296" s="21">
        <v>452</v>
      </c>
      <c r="C296" s="22">
        <v>5080</v>
      </c>
      <c r="D296" s="22" t="s">
        <v>467</v>
      </c>
      <c r="E296" s="23" t="s">
        <v>15</v>
      </c>
      <c r="F296" s="24">
        <v>19661015</v>
      </c>
      <c r="G296" s="16">
        <f t="shared" si="50"/>
        <v>24395</v>
      </c>
      <c r="H296" s="2">
        <f t="shared" si="51"/>
        <v>55</v>
      </c>
      <c r="I296" s="17"/>
      <c r="J296" s="25">
        <v>19830325</v>
      </c>
      <c r="K296" s="16">
        <f t="shared" si="52"/>
        <v>30400</v>
      </c>
      <c r="L296" s="2">
        <f t="shared" si="53"/>
        <v>38</v>
      </c>
      <c r="M296" s="25" t="e">
        <f>VLOOKUP($C296,#REF!:#REF!,2,FALSE)</f>
        <v>#REF!</v>
      </c>
      <c r="N296" s="26"/>
      <c r="O296" s="27" t="s">
        <v>105</v>
      </c>
      <c r="P296" s="223">
        <f>VLOOKUP($C296,従業員情報!$A$2:'従業員情報'!$AM$2000,5,FALSE)</f>
        <v>67011</v>
      </c>
      <c r="Q296" s="223" t="str">
        <f>VLOOKUP($C296,従業員情報!$A$2:'従業員情報'!$AM$2000,6,FALSE)</f>
        <v>羽生工場プレス</v>
      </c>
      <c r="R296" s="22">
        <v>1</v>
      </c>
      <c r="S296" s="22" t="s">
        <v>679</v>
      </c>
      <c r="T296" s="22">
        <v>2</v>
      </c>
      <c r="U296" s="264">
        <v>290</v>
      </c>
    </row>
    <row r="297" spans="1:21">
      <c r="A297">
        <v>390</v>
      </c>
      <c r="B297" s="21">
        <v>467</v>
      </c>
      <c r="C297" s="22">
        <v>5256</v>
      </c>
      <c r="D297" s="22" t="s">
        <v>471</v>
      </c>
      <c r="E297" s="23" t="s">
        <v>15</v>
      </c>
      <c r="F297" s="24">
        <v>19780605</v>
      </c>
      <c r="G297" s="16">
        <f t="shared" si="50"/>
        <v>28646</v>
      </c>
      <c r="H297" s="2">
        <f t="shared" si="51"/>
        <v>43</v>
      </c>
      <c r="I297" s="17"/>
      <c r="J297" s="25">
        <v>19940330</v>
      </c>
      <c r="K297" s="16">
        <f t="shared" si="52"/>
        <v>34423</v>
      </c>
      <c r="L297" s="2">
        <f t="shared" si="53"/>
        <v>27</v>
      </c>
      <c r="M297" s="25" t="e">
        <f>VLOOKUP($C297,#REF!:#REF!,2,FALSE)</f>
        <v>#REF!</v>
      </c>
      <c r="N297" s="26"/>
      <c r="O297" s="27" t="s">
        <v>295</v>
      </c>
      <c r="P297" s="223">
        <f>VLOOKUP($C297,従業員情報!$A$2:'従業員情報'!$AM$2000,5,FALSE)</f>
        <v>67011</v>
      </c>
      <c r="Q297" s="223" t="str">
        <f>VLOOKUP($C297,従業員情報!$A$2:'従業員情報'!$AM$2000,6,FALSE)</f>
        <v>羽生工場プレス</v>
      </c>
      <c r="R297" s="22">
        <v>1</v>
      </c>
      <c r="S297" s="22" t="s">
        <v>679</v>
      </c>
      <c r="T297" s="22">
        <v>2</v>
      </c>
      <c r="U297" s="264">
        <v>291</v>
      </c>
    </row>
    <row r="298" spans="1:21">
      <c r="A298">
        <v>391</v>
      </c>
      <c r="B298" s="21">
        <v>468</v>
      </c>
      <c r="C298" s="22">
        <v>5266</v>
      </c>
      <c r="D298" s="22" t="s">
        <v>281</v>
      </c>
      <c r="E298" s="23" t="s">
        <v>15</v>
      </c>
      <c r="F298" s="24">
        <v>19800629</v>
      </c>
      <c r="G298" s="16">
        <f t="shared" si="50"/>
        <v>29401</v>
      </c>
      <c r="H298" s="2">
        <f t="shared" si="51"/>
        <v>41</v>
      </c>
      <c r="I298" s="17"/>
      <c r="J298" s="25">
        <v>19960328</v>
      </c>
      <c r="K298" s="16">
        <f t="shared" si="52"/>
        <v>35152</v>
      </c>
      <c r="L298" s="2">
        <f t="shared" si="53"/>
        <v>25</v>
      </c>
      <c r="M298" s="25" t="e">
        <f>VLOOKUP($C298,#REF!:#REF!,2,FALSE)</f>
        <v>#REF!</v>
      </c>
      <c r="N298" s="26"/>
      <c r="O298" s="27" t="s">
        <v>77</v>
      </c>
      <c r="P298" s="223">
        <f>VLOOKUP($C298,従業員情報!$A$2:'従業員情報'!$AM$2000,5,FALSE)</f>
        <v>67211</v>
      </c>
      <c r="Q298" s="223" t="str">
        <f>VLOOKUP($C298,従業員情報!$A$2:'従業員情報'!$AM$2000,6,FALSE)</f>
        <v>羽生工場ＮＣ</v>
      </c>
      <c r="R298" s="22">
        <v>1</v>
      </c>
      <c r="S298" s="22" t="s">
        <v>679</v>
      </c>
      <c r="T298" s="22">
        <v>1</v>
      </c>
      <c r="U298" s="264">
        <v>292</v>
      </c>
    </row>
    <row r="299" spans="1:21">
      <c r="A299">
        <v>147</v>
      </c>
      <c r="B299" s="21">
        <v>158</v>
      </c>
      <c r="C299" s="22">
        <v>3102</v>
      </c>
      <c r="D299" s="22" t="s">
        <v>475</v>
      </c>
      <c r="E299" s="23" t="s">
        <v>15</v>
      </c>
      <c r="F299" s="24">
        <v>19760309</v>
      </c>
      <c r="G299" s="16">
        <f t="shared" si="50"/>
        <v>27828</v>
      </c>
      <c r="H299" s="2">
        <f t="shared" si="51"/>
        <v>45</v>
      </c>
      <c r="I299" s="17"/>
      <c r="J299" s="25">
        <v>19960321</v>
      </c>
      <c r="K299" s="16">
        <f t="shared" si="52"/>
        <v>35145</v>
      </c>
      <c r="L299" s="2">
        <f t="shared" si="53"/>
        <v>25</v>
      </c>
      <c r="M299" s="25" t="e">
        <f>VLOOKUP($C299,#REF!:#REF!,2,FALSE)</f>
        <v>#REF!</v>
      </c>
      <c r="N299" s="26"/>
      <c r="O299" s="27" t="s">
        <v>19</v>
      </c>
      <c r="P299" s="223">
        <f>VLOOKUP($C299,従業員情報!$A$2:'従業員情報'!$AM$2000,5,FALSE)</f>
        <v>67211</v>
      </c>
      <c r="Q299" s="223" t="str">
        <f>VLOOKUP($C299,従業員情報!$A$2:'従業員情報'!$AM$2000,6,FALSE)</f>
        <v>羽生工場ＮＣ</v>
      </c>
      <c r="R299" s="22">
        <v>1</v>
      </c>
      <c r="S299" s="22" t="s">
        <v>679</v>
      </c>
      <c r="T299" s="22">
        <v>1</v>
      </c>
      <c r="U299" s="264">
        <v>293</v>
      </c>
    </row>
    <row r="300" spans="1:21">
      <c r="A300">
        <v>148</v>
      </c>
      <c r="B300" s="21">
        <v>159</v>
      </c>
      <c r="C300" s="22">
        <v>3103</v>
      </c>
      <c r="D300" s="22" t="s">
        <v>477</v>
      </c>
      <c r="E300" s="23" t="s">
        <v>15</v>
      </c>
      <c r="F300" s="24">
        <v>19760222</v>
      </c>
      <c r="G300" s="16">
        <f t="shared" si="50"/>
        <v>27812</v>
      </c>
      <c r="H300" s="2">
        <f t="shared" si="51"/>
        <v>46</v>
      </c>
      <c r="I300" s="17"/>
      <c r="J300" s="25">
        <v>19960321</v>
      </c>
      <c r="K300" s="16">
        <f t="shared" si="52"/>
        <v>35145</v>
      </c>
      <c r="L300" s="2">
        <f t="shared" si="53"/>
        <v>25</v>
      </c>
      <c r="M300" s="25" t="e">
        <f>VLOOKUP($C300,#REF!:#REF!,2,FALSE)</f>
        <v>#REF!</v>
      </c>
      <c r="N300" s="26"/>
      <c r="O300" s="27" t="s">
        <v>19</v>
      </c>
      <c r="P300" s="223">
        <f>VLOOKUP($C300,従業員情報!$A$2:'従業員情報'!$AM$2000,5,FALSE)</f>
        <v>67211</v>
      </c>
      <c r="Q300" s="223" t="str">
        <f>VLOOKUP($C300,従業員情報!$A$2:'従業員情報'!$AM$2000,6,FALSE)</f>
        <v>羽生工場ＮＣ</v>
      </c>
      <c r="R300" s="22">
        <v>1</v>
      </c>
      <c r="S300" s="22" t="s">
        <v>679</v>
      </c>
      <c r="T300" s="22">
        <v>1</v>
      </c>
      <c r="U300" s="264">
        <v>294</v>
      </c>
    </row>
    <row r="301" spans="1:21">
      <c r="A301">
        <v>279</v>
      </c>
      <c r="B301" s="21">
        <v>341</v>
      </c>
      <c r="C301" s="22">
        <v>3487</v>
      </c>
      <c r="D301" s="22" t="s">
        <v>480</v>
      </c>
      <c r="E301" s="23" t="s">
        <v>15</v>
      </c>
      <c r="F301" s="24">
        <v>19980430</v>
      </c>
      <c r="G301" s="16">
        <f t="shared" si="50"/>
        <v>35915</v>
      </c>
      <c r="H301" s="2">
        <f t="shared" si="51"/>
        <v>23</v>
      </c>
      <c r="I301" s="17"/>
      <c r="J301" s="25">
        <v>20170403</v>
      </c>
      <c r="K301" s="16">
        <f t="shared" si="52"/>
        <v>42828</v>
      </c>
      <c r="L301" s="2">
        <f t="shared" si="53"/>
        <v>4</v>
      </c>
      <c r="M301" s="25" t="e">
        <f>VLOOKUP($C301,#REF!:#REF!,2,FALSE)</f>
        <v>#REF!</v>
      </c>
      <c r="N301" s="26"/>
      <c r="O301" s="27">
        <v>6</v>
      </c>
      <c r="P301" s="223">
        <f>VLOOKUP($C301,従業員情報!$A$2:'従業員情報'!$AM$2000,5,FALSE)</f>
        <v>67211</v>
      </c>
      <c r="Q301" s="223" t="str">
        <f>VLOOKUP($C301,従業員情報!$A$2:'従業員情報'!$AM$2000,6,FALSE)</f>
        <v>羽生工場ＮＣ</v>
      </c>
      <c r="R301" s="22">
        <v>1</v>
      </c>
      <c r="S301" s="22" t="s">
        <v>679</v>
      </c>
      <c r="T301" s="22">
        <v>2</v>
      </c>
      <c r="U301" s="264">
        <v>296</v>
      </c>
    </row>
    <row r="302" spans="1:21">
      <c r="A302">
        <v>304</v>
      </c>
      <c r="B302" s="21"/>
      <c r="C302" s="22">
        <v>3527</v>
      </c>
      <c r="D302" s="22" t="s">
        <v>481</v>
      </c>
      <c r="E302" s="23" t="s">
        <v>678</v>
      </c>
      <c r="F302" s="24">
        <v>20020819</v>
      </c>
      <c r="G302" s="16">
        <f t="shared" si="50"/>
        <v>37487</v>
      </c>
      <c r="H302" s="2">
        <f t="shared" si="51"/>
        <v>19</v>
      </c>
      <c r="I302" s="17"/>
      <c r="J302" s="25">
        <v>20210401</v>
      </c>
      <c r="K302" s="16">
        <f t="shared" si="52"/>
        <v>44287</v>
      </c>
      <c r="L302" s="2">
        <f t="shared" si="53"/>
        <v>0</v>
      </c>
      <c r="M302" s="25" t="e">
        <f>VLOOKUP($C302,#REF!:#REF!,2,FALSE)</f>
        <v>#REF!</v>
      </c>
      <c r="N302" s="26"/>
      <c r="O302" s="27"/>
      <c r="P302" s="223">
        <f>VLOOKUP($C302,従業員情報!$A$2:'従業員情報'!$AM$2000,5,FALSE)</f>
        <v>67211</v>
      </c>
      <c r="Q302" s="223" t="str">
        <f>VLOOKUP($C302,従業員情報!$A$2:'従業員情報'!$AM$2000,6,FALSE)</f>
        <v>羽生工場ＮＣ</v>
      </c>
      <c r="R302" s="22"/>
      <c r="S302" s="22"/>
      <c r="T302" s="22"/>
      <c r="U302" s="264">
        <v>297</v>
      </c>
    </row>
    <row r="303" spans="1:21">
      <c r="A303">
        <v>359</v>
      </c>
      <c r="B303" s="21">
        <v>431</v>
      </c>
      <c r="C303" s="22">
        <v>3986</v>
      </c>
      <c r="D303" s="22" t="s">
        <v>511</v>
      </c>
      <c r="E303" s="23" t="s">
        <v>15</v>
      </c>
      <c r="F303" s="24">
        <v>19680302</v>
      </c>
      <c r="G303" s="16">
        <f t="shared" si="50"/>
        <v>24899</v>
      </c>
      <c r="H303" s="2">
        <f t="shared" si="51"/>
        <v>53</v>
      </c>
      <c r="I303" s="17"/>
      <c r="J303" s="25">
        <v>20071021</v>
      </c>
      <c r="K303" s="16">
        <f t="shared" si="52"/>
        <v>39376</v>
      </c>
      <c r="L303" s="2">
        <f t="shared" si="53"/>
        <v>14</v>
      </c>
      <c r="M303" s="25" t="e">
        <f>VLOOKUP($C303,#REF!:#REF!,2,FALSE)</f>
        <v>#REF!</v>
      </c>
      <c r="N303" s="26"/>
      <c r="O303" s="27" t="s">
        <v>35</v>
      </c>
      <c r="P303" s="223">
        <f>VLOOKUP($C303,従業員情報!$A$2:'従業員情報'!$AM$2000,5,FALSE)</f>
        <v>67211</v>
      </c>
      <c r="Q303" s="223" t="str">
        <f>VLOOKUP($C303,従業員情報!$A$2:'従業員情報'!$AM$2000,6,FALSE)</f>
        <v>羽生工場ＮＣ</v>
      </c>
      <c r="R303" s="22">
        <v>1</v>
      </c>
      <c r="S303" s="22" t="s">
        <v>679</v>
      </c>
      <c r="T303" s="22">
        <v>2</v>
      </c>
      <c r="U303" s="264">
        <v>327</v>
      </c>
    </row>
    <row r="304" spans="1:21">
      <c r="A304">
        <v>57</v>
      </c>
      <c r="B304" s="21"/>
      <c r="C304" s="22">
        <v>1424</v>
      </c>
      <c r="D304" s="22" t="s">
        <v>726</v>
      </c>
      <c r="E304" s="23" t="s">
        <v>727</v>
      </c>
      <c r="F304" s="24">
        <v>19820726</v>
      </c>
      <c r="G304" s="16">
        <f t="shared" si="50"/>
        <v>30158</v>
      </c>
      <c r="H304" s="2">
        <f t="shared" si="51"/>
        <v>39</v>
      </c>
      <c r="I304" s="17"/>
      <c r="J304" s="25">
        <v>20220411</v>
      </c>
      <c r="K304" s="16">
        <f t="shared" si="52"/>
        <v>44662</v>
      </c>
      <c r="L304" s="2" t="e">
        <f t="shared" si="53"/>
        <v>#NUM!</v>
      </c>
      <c r="M304" s="25" t="e">
        <f>VLOOKUP($C304,#REF!:#REF!,2,FALSE)</f>
        <v>#REF!</v>
      </c>
      <c r="N304" s="26"/>
      <c r="O304" s="27"/>
      <c r="P304" s="223">
        <f>VLOOKUP($C304,従業員情報!$A$2:'従業員情報'!$AM$2000,5,FALSE)</f>
        <v>68011</v>
      </c>
      <c r="Q304" s="223" t="str">
        <f>VLOOKUP($C304,従業員情報!$A$2:'従業員情報'!$AM$2000,6,FALSE)</f>
        <v>羽生工場ＣＢ</v>
      </c>
      <c r="R304" s="22"/>
      <c r="S304" s="22"/>
      <c r="T304" s="22"/>
      <c r="U304" s="264">
        <v>298</v>
      </c>
    </row>
    <row r="305" spans="1:21">
      <c r="A305">
        <v>161</v>
      </c>
      <c r="B305" s="21">
        <v>174</v>
      </c>
      <c r="C305" s="22">
        <v>3166</v>
      </c>
      <c r="D305" s="22" t="s">
        <v>185</v>
      </c>
      <c r="E305" s="23" t="s">
        <v>15</v>
      </c>
      <c r="F305" s="24">
        <v>19810814</v>
      </c>
      <c r="G305" s="16">
        <f t="shared" si="50"/>
        <v>29812</v>
      </c>
      <c r="H305" s="2">
        <f t="shared" si="51"/>
        <v>40</v>
      </c>
      <c r="I305" s="17"/>
      <c r="J305" s="25">
        <v>20000321</v>
      </c>
      <c r="K305" s="16">
        <f t="shared" si="52"/>
        <v>36606</v>
      </c>
      <c r="L305" s="2">
        <f t="shared" si="53"/>
        <v>21</v>
      </c>
      <c r="M305" s="25" t="e">
        <f>VLOOKUP($C305,#REF!:#REF!,2,FALSE)</f>
        <v>#REF!</v>
      </c>
      <c r="N305" s="26"/>
      <c r="O305" s="27" t="s">
        <v>35</v>
      </c>
      <c r="P305" s="223">
        <f>VLOOKUP($C305,従業員情報!$A$2:'従業員情報'!$AM$2000,5,FALSE)</f>
        <v>68011</v>
      </c>
      <c r="Q305" s="223" t="str">
        <f>VLOOKUP($C305,従業員情報!$A$2:'従業員情報'!$AM$2000,6,FALSE)</f>
        <v>羽生工場ＣＢ</v>
      </c>
      <c r="R305" s="22">
        <v>1</v>
      </c>
      <c r="S305" s="22" t="s">
        <v>679</v>
      </c>
      <c r="T305" s="22">
        <v>2</v>
      </c>
      <c r="U305" s="264">
        <v>299</v>
      </c>
    </row>
    <row r="306" spans="1:21">
      <c r="A306">
        <v>22</v>
      </c>
      <c r="B306" s="21">
        <v>30</v>
      </c>
      <c r="C306" s="22">
        <v>1364</v>
      </c>
      <c r="D306" s="22" t="s">
        <v>487</v>
      </c>
      <c r="E306" s="23" t="s">
        <v>15</v>
      </c>
      <c r="F306" s="24">
        <v>19800522</v>
      </c>
      <c r="G306" s="16">
        <f t="shared" si="50"/>
        <v>29363</v>
      </c>
      <c r="H306" s="2">
        <f t="shared" si="51"/>
        <v>41</v>
      </c>
      <c r="I306" s="17"/>
      <c r="J306" s="25">
        <v>20100821</v>
      </c>
      <c r="K306" s="16">
        <f t="shared" si="52"/>
        <v>40411</v>
      </c>
      <c r="L306" s="2">
        <f t="shared" si="53"/>
        <v>11</v>
      </c>
      <c r="M306" s="25" t="e">
        <f>VLOOKUP($C306,#REF!:#REF!,2,FALSE)</f>
        <v>#REF!</v>
      </c>
      <c r="N306" s="26"/>
      <c r="O306" s="27" t="s">
        <v>35</v>
      </c>
      <c r="P306" s="223">
        <f>VLOOKUP($C306,従業員情報!$A$2:'従業員情報'!$AM$2000,5,FALSE)</f>
        <v>68111</v>
      </c>
      <c r="Q306" s="223" t="str">
        <f>VLOOKUP($C306,従業員情報!$A$2:'従業員情報'!$AM$2000,6,FALSE)</f>
        <v>羽生工場ＰＳＨ</v>
      </c>
      <c r="R306" s="22">
        <v>1</v>
      </c>
      <c r="S306" s="22" t="s">
        <v>679</v>
      </c>
      <c r="T306" s="22">
        <v>2</v>
      </c>
      <c r="U306" s="264">
        <v>301</v>
      </c>
    </row>
    <row r="307" spans="1:21">
      <c r="A307">
        <v>80</v>
      </c>
      <c r="B307" s="21">
        <v>77</v>
      </c>
      <c r="C307" s="22">
        <v>2698</v>
      </c>
      <c r="D307" s="22" t="s">
        <v>484</v>
      </c>
      <c r="E307" s="23" t="s">
        <v>15</v>
      </c>
      <c r="F307" s="24">
        <v>19651001</v>
      </c>
      <c r="G307" s="16">
        <f t="shared" si="50"/>
        <v>24016</v>
      </c>
      <c r="H307" s="2">
        <f t="shared" si="51"/>
        <v>56</v>
      </c>
      <c r="I307" s="17"/>
      <c r="J307" s="25">
        <v>19840321</v>
      </c>
      <c r="K307" s="16">
        <f t="shared" si="52"/>
        <v>30762</v>
      </c>
      <c r="L307" s="2">
        <f t="shared" si="53"/>
        <v>37</v>
      </c>
      <c r="M307" s="25" t="e">
        <f>VLOOKUP($C307,#REF!:#REF!,2,FALSE)</f>
        <v>#REF!</v>
      </c>
      <c r="N307" s="26"/>
      <c r="O307" s="27" t="s">
        <v>35</v>
      </c>
      <c r="P307" s="223">
        <f>VLOOKUP($C307,従業員情報!$A$2:'従業員情報'!$AM$2000,5,FALSE)</f>
        <v>68111</v>
      </c>
      <c r="Q307" s="223" t="str">
        <f>VLOOKUP($C307,従業員情報!$A$2:'従業員情報'!$AM$2000,6,FALSE)</f>
        <v>羽生工場ＰＳＨ</v>
      </c>
      <c r="R307" s="22">
        <v>1</v>
      </c>
      <c r="S307" s="22" t="s">
        <v>679</v>
      </c>
      <c r="T307" s="22">
        <v>1</v>
      </c>
      <c r="U307" s="264">
        <v>302</v>
      </c>
    </row>
    <row r="308" spans="1:21">
      <c r="A308">
        <v>156</v>
      </c>
      <c r="B308" s="21">
        <v>168</v>
      </c>
      <c r="C308" s="22">
        <v>3144</v>
      </c>
      <c r="D308" s="22" t="s">
        <v>486</v>
      </c>
      <c r="E308" s="23" t="s">
        <v>15</v>
      </c>
      <c r="F308" s="24">
        <v>19790322</v>
      </c>
      <c r="G308" s="16">
        <f t="shared" si="50"/>
        <v>28936</v>
      </c>
      <c r="H308" s="2">
        <f t="shared" si="51"/>
        <v>42</v>
      </c>
      <c r="I308" s="17"/>
      <c r="J308" s="25">
        <v>19970321</v>
      </c>
      <c r="K308" s="16">
        <f t="shared" si="52"/>
        <v>35510</v>
      </c>
      <c r="L308" s="2">
        <f t="shared" si="53"/>
        <v>24</v>
      </c>
      <c r="M308" s="25" t="e">
        <f>VLOOKUP($C308,#REF!:#REF!,2,FALSE)</f>
        <v>#REF!</v>
      </c>
      <c r="N308" s="26"/>
      <c r="O308" s="27" t="s">
        <v>35</v>
      </c>
      <c r="P308" s="223">
        <f>VLOOKUP($C308,従業員情報!$A$2:'従業員情報'!$AM$2000,5,FALSE)</f>
        <v>68111</v>
      </c>
      <c r="Q308" s="223" t="str">
        <f>VLOOKUP($C308,従業員情報!$A$2:'従業員情報'!$AM$2000,6,FALSE)</f>
        <v>羽生工場ＰＳＨ</v>
      </c>
      <c r="R308" s="22">
        <v>1</v>
      </c>
      <c r="S308" s="22" t="s">
        <v>679</v>
      </c>
      <c r="T308" s="22">
        <v>2</v>
      </c>
      <c r="U308" s="264">
        <v>303</v>
      </c>
    </row>
    <row r="309" spans="1:21">
      <c r="A309">
        <v>392</v>
      </c>
      <c r="B309" s="21">
        <v>469</v>
      </c>
      <c r="C309" s="22">
        <v>5270</v>
      </c>
      <c r="D309" s="22" t="s">
        <v>458</v>
      </c>
      <c r="E309" s="23" t="s">
        <v>15</v>
      </c>
      <c r="F309" s="24">
        <v>19810916</v>
      </c>
      <c r="G309" s="16">
        <f t="shared" si="50"/>
        <v>29845</v>
      </c>
      <c r="H309" s="2">
        <f t="shared" si="51"/>
        <v>40</v>
      </c>
      <c r="I309" s="17"/>
      <c r="J309" s="25">
        <v>19970331</v>
      </c>
      <c r="K309" s="16">
        <f t="shared" si="52"/>
        <v>35520</v>
      </c>
      <c r="L309" s="2">
        <f t="shared" si="53"/>
        <v>24</v>
      </c>
      <c r="M309" s="25" t="e">
        <f>VLOOKUP($C309,#REF!:#REF!,2,FALSE)</f>
        <v>#REF!</v>
      </c>
      <c r="N309" s="26"/>
      <c r="O309" s="27" t="s">
        <v>295</v>
      </c>
      <c r="P309" s="223">
        <f>VLOOKUP($C309,従業員情報!$A$2:'従業員情報'!$AM$2000,5,FALSE)</f>
        <v>69011</v>
      </c>
      <c r="Q309" s="223" t="str">
        <f>VLOOKUP($C309,従業員情報!$A$2:'従業員情報'!$AM$2000,6,FALSE)</f>
        <v>羽生工場ＴＣ</v>
      </c>
      <c r="R309" s="22">
        <v>1</v>
      </c>
      <c r="S309" s="22" t="s">
        <v>679</v>
      </c>
      <c r="T309" s="22">
        <v>2</v>
      </c>
      <c r="U309" s="264">
        <v>282</v>
      </c>
    </row>
    <row r="310" spans="1:21">
      <c r="A310">
        <v>16</v>
      </c>
      <c r="B310" s="21">
        <v>23</v>
      </c>
      <c r="C310" s="22">
        <v>1349</v>
      </c>
      <c r="D310" s="22" t="s">
        <v>501</v>
      </c>
      <c r="E310" s="23" t="s">
        <v>15</v>
      </c>
      <c r="F310" s="24">
        <v>19740326</v>
      </c>
      <c r="G310" s="16">
        <f t="shared" si="50"/>
        <v>27114</v>
      </c>
      <c r="H310" s="2">
        <f t="shared" si="51"/>
        <v>47</v>
      </c>
      <c r="I310" s="17"/>
      <c r="J310" s="25">
        <v>20080331</v>
      </c>
      <c r="K310" s="16">
        <f t="shared" si="52"/>
        <v>39538</v>
      </c>
      <c r="L310" s="2">
        <f t="shared" si="53"/>
        <v>13</v>
      </c>
      <c r="M310" s="25" t="e">
        <f>VLOOKUP($C310,#REF!:#REF!,2,FALSE)</f>
        <v>#REF!</v>
      </c>
      <c r="N310" s="26"/>
      <c r="O310" s="27" t="s">
        <v>16</v>
      </c>
      <c r="P310" s="223">
        <f>VLOOKUP($C310,従業員情報!$A$2:'従業員情報'!$AM$2000,5,FALSE)</f>
        <v>69011</v>
      </c>
      <c r="Q310" s="223" t="str">
        <f>VLOOKUP($C310,従業員情報!$A$2:'従業員情報'!$AM$2000,6,FALSE)</f>
        <v>羽生工場ＴＣ</v>
      </c>
      <c r="R310" s="22">
        <v>1</v>
      </c>
      <c r="S310" s="22" t="s">
        <v>679</v>
      </c>
      <c r="T310" s="22">
        <v>2</v>
      </c>
      <c r="U310" s="264">
        <v>305</v>
      </c>
    </row>
    <row r="311" spans="1:21">
      <c r="A311">
        <v>42</v>
      </c>
      <c r="B311" s="21">
        <v>54</v>
      </c>
      <c r="C311" s="22">
        <v>1400</v>
      </c>
      <c r="D311" s="22" t="s">
        <v>491</v>
      </c>
      <c r="E311" s="23" t="s">
        <v>15</v>
      </c>
      <c r="F311" s="24">
        <v>19910623</v>
      </c>
      <c r="G311" s="16">
        <f t="shared" si="50"/>
        <v>33412</v>
      </c>
      <c r="H311" s="2">
        <f t="shared" si="51"/>
        <v>30</v>
      </c>
      <c r="I311" s="17"/>
      <c r="J311" s="25">
        <v>20190121</v>
      </c>
      <c r="K311" s="16">
        <f t="shared" si="52"/>
        <v>43486</v>
      </c>
      <c r="L311" s="2">
        <f t="shared" si="53"/>
        <v>3</v>
      </c>
      <c r="M311" s="25" t="e">
        <f>VLOOKUP($C311,#REF!:#REF!,2,FALSE)</f>
        <v>#REF!</v>
      </c>
      <c r="N311" s="26"/>
      <c r="O311" s="27">
        <v>6</v>
      </c>
      <c r="P311" s="223">
        <f>VLOOKUP($C311,従業員情報!$A$2:'従業員情報'!$AM$2000,5,FALSE)</f>
        <v>69011</v>
      </c>
      <c r="Q311" s="223" t="str">
        <f>VLOOKUP($C311,従業員情報!$A$2:'従業員情報'!$AM$2000,6,FALSE)</f>
        <v>羽生工場ＴＣ</v>
      </c>
      <c r="R311" s="22">
        <v>1</v>
      </c>
      <c r="S311" s="22" t="s">
        <v>679</v>
      </c>
      <c r="T311" s="22">
        <v>1</v>
      </c>
      <c r="U311" s="264">
        <v>306</v>
      </c>
    </row>
    <row r="312" spans="1:21">
      <c r="A312">
        <v>68</v>
      </c>
      <c r="B312" s="21"/>
      <c r="C312" s="22">
        <v>1439</v>
      </c>
      <c r="D312" s="22" t="s">
        <v>823</v>
      </c>
      <c r="E312" s="23" t="s">
        <v>800</v>
      </c>
      <c r="F312" s="24"/>
      <c r="G312" s="16"/>
      <c r="H312" s="2"/>
      <c r="I312" s="17"/>
      <c r="J312" s="25"/>
      <c r="K312" s="16"/>
      <c r="M312" s="25" t="e">
        <f>VLOOKUP($C312,#REF!:#REF!,2,FALSE)</f>
        <v>#REF!</v>
      </c>
      <c r="N312" s="26"/>
      <c r="O312" s="27"/>
      <c r="P312" s="223">
        <f>VLOOKUP($C312,従業員情報!$A$2:'従業員情報'!$AM$2000,5,FALSE)</f>
        <v>69011</v>
      </c>
      <c r="Q312" s="223" t="str">
        <f>VLOOKUP($C312,従業員情報!$A$2:'従業員情報'!$AM$2000,6,FALSE)</f>
        <v>羽生工場ＴＣ</v>
      </c>
      <c r="R312" s="22"/>
      <c r="S312" s="22"/>
      <c r="T312" s="22"/>
      <c r="U312" s="264">
        <v>307</v>
      </c>
    </row>
    <row r="313" spans="1:21">
      <c r="B313" s="21"/>
      <c r="C313" s="22">
        <v>1440</v>
      </c>
      <c r="D313" s="22" t="s">
        <v>859</v>
      </c>
      <c r="E313" s="23" t="s">
        <v>635</v>
      </c>
      <c r="F313" s="24"/>
      <c r="G313" s="16"/>
      <c r="H313" s="2"/>
      <c r="I313" s="17"/>
      <c r="J313" s="25"/>
      <c r="K313" s="16"/>
      <c r="M313" s="25"/>
      <c r="N313" s="26"/>
      <c r="O313" s="27"/>
      <c r="P313" s="223">
        <f>VLOOKUP($C313,従業員情報!$A$2:'従業員情報'!$AM$2000,5,FALSE)</f>
        <v>69011</v>
      </c>
      <c r="Q313" s="223" t="str">
        <f>VLOOKUP($C313,従業員情報!$A$2:'従業員情報'!$AM$2000,6,FALSE)</f>
        <v>羽生工場ＴＣ</v>
      </c>
      <c r="R313" s="22"/>
      <c r="S313" s="22"/>
      <c r="T313" s="22"/>
      <c r="U313" s="264">
        <v>308</v>
      </c>
    </row>
    <row r="314" spans="1:21">
      <c r="A314">
        <v>77</v>
      </c>
      <c r="B314" s="21">
        <v>74</v>
      </c>
      <c r="C314" s="22">
        <v>2686</v>
      </c>
      <c r="D314" s="22" t="s">
        <v>492</v>
      </c>
      <c r="E314" s="23" t="s">
        <v>15</v>
      </c>
      <c r="F314" s="24">
        <v>19660221</v>
      </c>
      <c r="G314" s="16">
        <f t="shared" ref="G314:G321" si="54">DATE(INT(F314/10000),INT(MOD(F314,10000)/100),MOD(F314,100))</f>
        <v>24159</v>
      </c>
      <c r="H314" s="2">
        <f t="shared" ref="H314:H321" si="55">DATEDIF(G314,$G$4,"Y")</f>
        <v>56</v>
      </c>
      <c r="I314" s="17"/>
      <c r="J314" s="25">
        <v>19840321</v>
      </c>
      <c r="K314" s="16">
        <f t="shared" ref="K314:K321" si="56">DATE(INT(J314/10000),INT(MOD(J314,10000)/100),MOD(J314,100))</f>
        <v>30762</v>
      </c>
      <c r="L314" s="2">
        <f t="shared" ref="L314:L321" si="57">DATEDIF(K314,$G$4,"Y")</f>
        <v>37</v>
      </c>
      <c r="M314" s="25" t="e">
        <f>VLOOKUP($C314,#REF!:#REF!,2,FALSE)</f>
        <v>#REF!</v>
      </c>
      <c r="N314" s="26"/>
      <c r="O314" s="27" t="s">
        <v>35</v>
      </c>
      <c r="P314" s="223">
        <f>VLOOKUP($C314,従業員情報!$A$2:'従業員情報'!$AM$2000,5,FALSE)</f>
        <v>69011</v>
      </c>
      <c r="Q314" s="223" t="str">
        <f>VLOOKUP($C314,従業員情報!$A$2:'従業員情報'!$AM$2000,6,FALSE)</f>
        <v>羽生工場ＴＣ</v>
      </c>
      <c r="R314" s="22">
        <v>1</v>
      </c>
      <c r="S314" s="22" t="s">
        <v>679</v>
      </c>
      <c r="T314" s="22">
        <v>2</v>
      </c>
      <c r="U314" s="264">
        <v>309</v>
      </c>
    </row>
    <row r="315" spans="1:21">
      <c r="A315">
        <v>150</v>
      </c>
      <c r="B315" s="21">
        <v>161</v>
      </c>
      <c r="C315" s="22">
        <v>3114</v>
      </c>
      <c r="D315" s="22" t="s">
        <v>490</v>
      </c>
      <c r="E315" s="23" t="s">
        <v>15</v>
      </c>
      <c r="F315" s="24">
        <v>19780310</v>
      </c>
      <c r="G315" s="16">
        <f t="shared" si="54"/>
        <v>28559</v>
      </c>
      <c r="H315" s="2">
        <f t="shared" si="55"/>
        <v>43</v>
      </c>
      <c r="I315" s="17"/>
      <c r="J315" s="25">
        <v>19960321</v>
      </c>
      <c r="K315" s="16">
        <f t="shared" si="56"/>
        <v>35145</v>
      </c>
      <c r="L315" s="2">
        <f t="shared" si="57"/>
        <v>25</v>
      </c>
      <c r="M315" s="25" t="e">
        <f>VLOOKUP($C315,#REF!:#REF!,2,FALSE)</f>
        <v>#REF!</v>
      </c>
      <c r="N315" s="26"/>
      <c r="O315" s="27" t="s">
        <v>35</v>
      </c>
      <c r="P315" s="223">
        <f>VLOOKUP($C315,従業員情報!$A$2:'従業員情報'!$AM$2000,5,FALSE)</f>
        <v>69011</v>
      </c>
      <c r="Q315" s="223" t="str">
        <f>VLOOKUP($C315,従業員情報!$A$2:'従業員情報'!$AM$2000,6,FALSE)</f>
        <v>羽生工場ＴＣ</v>
      </c>
      <c r="R315" s="22">
        <v>1</v>
      </c>
      <c r="S315" s="22" t="s">
        <v>679</v>
      </c>
      <c r="T315" s="22">
        <v>1</v>
      </c>
      <c r="U315" s="264">
        <v>311</v>
      </c>
    </row>
    <row r="316" spans="1:21">
      <c r="A316">
        <v>155</v>
      </c>
      <c r="B316" s="21">
        <v>167</v>
      </c>
      <c r="C316" s="22">
        <v>3142</v>
      </c>
      <c r="D316" s="22" t="s">
        <v>382</v>
      </c>
      <c r="E316" s="23" t="s">
        <v>15</v>
      </c>
      <c r="F316" s="24">
        <v>19780623</v>
      </c>
      <c r="G316" s="16">
        <f t="shared" si="54"/>
        <v>28664</v>
      </c>
      <c r="H316" s="2">
        <f t="shared" si="55"/>
        <v>43</v>
      </c>
      <c r="I316" s="17"/>
      <c r="J316" s="25">
        <v>19970321</v>
      </c>
      <c r="K316" s="16">
        <f t="shared" si="56"/>
        <v>35510</v>
      </c>
      <c r="L316" s="2">
        <f t="shared" si="57"/>
        <v>24</v>
      </c>
      <c r="M316" s="25" t="e">
        <f>VLOOKUP($C316,#REF!:#REF!,2,FALSE)</f>
        <v>#REF!</v>
      </c>
      <c r="N316" s="26"/>
      <c r="O316" s="27" t="s">
        <v>35</v>
      </c>
      <c r="P316" s="223">
        <f>VLOOKUP($C316,従業員情報!$A$2:'従業員情報'!$AM$2000,5,FALSE)</f>
        <v>69011</v>
      </c>
      <c r="Q316" s="223" t="str">
        <f>VLOOKUP($C316,従業員情報!$A$2:'従業員情報'!$AM$2000,6,FALSE)</f>
        <v>羽生工場ＴＣ</v>
      </c>
      <c r="R316" s="22">
        <v>1</v>
      </c>
      <c r="S316" s="22" t="s">
        <v>679</v>
      </c>
      <c r="T316" s="22">
        <v>1</v>
      </c>
      <c r="U316" s="264">
        <v>312</v>
      </c>
    </row>
    <row r="317" spans="1:21">
      <c r="A317">
        <v>167</v>
      </c>
      <c r="B317" s="21">
        <v>181</v>
      </c>
      <c r="C317" s="22">
        <v>3183</v>
      </c>
      <c r="D317" s="22" t="s">
        <v>423</v>
      </c>
      <c r="E317" s="23" t="s">
        <v>15</v>
      </c>
      <c r="F317" s="24">
        <v>19830510</v>
      </c>
      <c r="G317" s="16">
        <f t="shared" si="54"/>
        <v>30446</v>
      </c>
      <c r="H317" s="2">
        <f t="shared" si="55"/>
        <v>38</v>
      </c>
      <c r="I317" s="17"/>
      <c r="J317" s="25">
        <v>20020322</v>
      </c>
      <c r="K317" s="16">
        <f t="shared" si="56"/>
        <v>37337</v>
      </c>
      <c r="L317" s="2">
        <f t="shared" si="57"/>
        <v>19</v>
      </c>
      <c r="M317" s="25" t="e">
        <f>VLOOKUP($C317,#REF!:#REF!,2,FALSE)</f>
        <v>#REF!</v>
      </c>
      <c r="N317" s="26"/>
      <c r="O317" s="27" t="s">
        <v>35</v>
      </c>
      <c r="P317" s="223">
        <f>VLOOKUP($C317,従業員情報!$A$2:'従業員情報'!$AM$2000,5,FALSE)</f>
        <v>69011</v>
      </c>
      <c r="Q317" s="223" t="str">
        <f>VLOOKUP($C317,従業員情報!$A$2:'従業員情報'!$AM$2000,6,FALSE)</f>
        <v>羽生工場ＴＣ</v>
      </c>
      <c r="R317" s="22">
        <v>1</v>
      </c>
      <c r="S317" s="22" t="s">
        <v>679</v>
      </c>
      <c r="T317" s="22">
        <v>1</v>
      </c>
      <c r="U317" s="264">
        <v>313</v>
      </c>
    </row>
    <row r="318" spans="1:21">
      <c r="A318">
        <v>203</v>
      </c>
      <c r="B318" s="21">
        <v>222</v>
      </c>
      <c r="C318" s="22">
        <v>3277</v>
      </c>
      <c r="D318" s="22" t="s">
        <v>500</v>
      </c>
      <c r="E318" s="23" t="s">
        <v>15</v>
      </c>
      <c r="F318" s="24">
        <v>19850524</v>
      </c>
      <c r="G318" s="16">
        <f t="shared" si="54"/>
        <v>31191</v>
      </c>
      <c r="H318" s="2">
        <f t="shared" si="55"/>
        <v>36</v>
      </c>
      <c r="I318" s="17"/>
      <c r="J318" s="25">
        <v>20080321</v>
      </c>
      <c r="K318" s="16">
        <f t="shared" si="56"/>
        <v>39528</v>
      </c>
      <c r="L318" s="2">
        <f t="shared" si="57"/>
        <v>13</v>
      </c>
      <c r="M318" s="25" t="e">
        <f>VLOOKUP($C318,#REF!:#REF!,2,FALSE)</f>
        <v>#REF!</v>
      </c>
      <c r="N318" s="26"/>
      <c r="O318" s="27" t="s">
        <v>16</v>
      </c>
      <c r="P318" s="223">
        <f>VLOOKUP($C318,従業員情報!$A$2:'従業員情報'!$AM$2000,5,FALSE)</f>
        <v>69011</v>
      </c>
      <c r="Q318" s="223" t="str">
        <f>VLOOKUP($C318,従業員情報!$A$2:'従業員情報'!$AM$2000,6,FALSE)</f>
        <v>羽生工場ＴＣ</v>
      </c>
      <c r="R318" s="22">
        <v>1</v>
      </c>
      <c r="S318" s="22" t="s">
        <v>679</v>
      </c>
      <c r="T318" s="22">
        <v>2</v>
      </c>
      <c r="U318" s="264">
        <v>314</v>
      </c>
    </row>
    <row r="319" spans="1:21">
      <c r="A319">
        <v>262</v>
      </c>
      <c r="B319" s="21">
        <v>313</v>
      </c>
      <c r="C319" s="22">
        <v>3449</v>
      </c>
      <c r="D319" s="22" t="s">
        <v>502</v>
      </c>
      <c r="E319" s="23" t="s">
        <v>15</v>
      </c>
      <c r="F319" s="24">
        <v>19961128</v>
      </c>
      <c r="G319" s="16">
        <f t="shared" si="54"/>
        <v>35397</v>
      </c>
      <c r="H319" s="2">
        <f t="shared" si="55"/>
        <v>25</v>
      </c>
      <c r="I319" s="17"/>
      <c r="J319" s="25">
        <v>20150401</v>
      </c>
      <c r="K319" s="16">
        <f t="shared" si="56"/>
        <v>42095</v>
      </c>
      <c r="L319" s="2">
        <f t="shared" si="57"/>
        <v>6</v>
      </c>
      <c r="M319" s="25" t="e">
        <f>VLOOKUP($C319,#REF!:#REF!,2,FALSE)</f>
        <v>#REF!</v>
      </c>
      <c r="N319" s="26"/>
      <c r="O319" s="27" t="s">
        <v>35</v>
      </c>
      <c r="P319" s="223">
        <f>VLOOKUP($C319,従業員情報!$A$2:'従業員情報'!$AM$2000,5,FALSE)</f>
        <v>69011</v>
      </c>
      <c r="Q319" s="223" t="str">
        <f>VLOOKUP($C319,従業員情報!$A$2:'従業員情報'!$AM$2000,6,FALSE)</f>
        <v>羽生工場ＴＣ</v>
      </c>
      <c r="R319" s="22">
        <v>1</v>
      </c>
      <c r="S319" s="22" t="s">
        <v>679</v>
      </c>
      <c r="T319" s="22">
        <v>2</v>
      </c>
      <c r="U319" s="264">
        <v>315</v>
      </c>
    </row>
    <row r="320" spans="1:21">
      <c r="A320">
        <v>284</v>
      </c>
      <c r="B320" s="21">
        <v>349</v>
      </c>
      <c r="C320" s="22">
        <v>3497</v>
      </c>
      <c r="D320" s="22" t="s">
        <v>503</v>
      </c>
      <c r="E320" s="23" t="s">
        <v>15</v>
      </c>
      <c r="F320" s="24">
        <v>19991112</v>
      </c>
      <c r="G320" s="16">
        <f t="shared" si="54"/>
        <v>36476</v>
      </c>
      <c r="H320" s="2">
        <f t="shared" si="55"/>
        <v>22</v>
      </c>
      <c r="I320" s="17"/>
      <c r="J320" s="25">
        <v>20180402</v>
      </c>
      <c r="K320" s="16">
        <f t="shared" si="56"/>
        <v>43192</v>
      </c>
      <c r="L320" s="2">
        <f t="shared" si="57"/>
        <v>3</v>
      </c>
      <c r="M320" s="25" t="e">
        <f>VLOOKUP($C320,#REF!:#REF!,2,FALSE)</f>
        <v>#REF!</v>
      </c>
      <c r="N320" s="26"/>
      <c r="O320" s="27">
        <v>6</v>
      </c>
      <c r="P320" s="223">
        <f>VLOOKUP($C320,従業員情報!$A$2:'従業員情報'!$AM$2000,5,FALSE)</f>
        <v>69011</v>
      </c>
      <c r="Q320" s="223" t="str">
        <f>VLOOKUP($C320,従業員情報!$A$2:'従業員情報'!$AM$2000,6,FALSE)</f>
        <v>羽生工場ＴＣ</v>
      </c>
      <c r="R320" s="22">
        <v>1</v>
      </c>
      <c r="S320" s="22" t="s">
        <v>679</v>
      </c>
      <c r="T320" s="22">
        <v>2</v>
      </c>
      <c r="U320" s="264">
        <v>316</v>
      </c>
    </row>
    <row r="321" spans="1:21">
      <c r="A321">
        <v>301</v>
      </c>
      <c r="B321" s="21">
        <v>369</v>
      </c>
      <c r="C321" s="22">
        <v>3522</v>
      </c>
      <c r="D321" s="22" t="s">
        <v>504</v>
      </c>
      <c r="E321" s="23" t="s">
        <v>678</v>
      </c>
      <c r="F321" s="24">
        <v>20010904</v>
      </c>
      <c r="G321" s="16">
        <f t="shared" si="54"/>
        <v>37138</v>
      </c>
      <c r="H321" s="2">
        <f t="shared" si="55"/>
        <v>20</v>
      </c>
      <c r="I321" s="17"/>
      <c r="J321" s="25">
        <v>20200401</v>
      </c>
      <c r="K321" s="16">
        <f t="shared" si="56"/>
        <v>43922</v>
      </c>
      <c r="L321" s="2">
        <f t="shared" si="57"/>
        <v>1</v>
      </c>
      <c r="M321" s="25" t="e">
        <f>VLOOKUP($C321,#REF!:#REF!,2,FALSE)</f>
        <v>#REF!</v>
      </c>
      <c r="N321" s="26"/>
      <c r="O321" s="27">
        <v>6</v>
      </c>
      <c r="P321" s="223">
        <f>VLOOKUP($C321,従業員情報!$A$2:'従業員情報'!$AM$2000,5,FALSE)</f>
        <v>69011</v>
      </c>
      <c r="Q321" s="223" t="str">
        <f>VLOOKUP($C321,従業員情報!$A$2:'従業員情報'!$AM$2000,6,FALSE)</f>
        <v>羽生工場ＴＣ</v>
      </c>
      <c r="R321" s="22">
        <v>1</v>
      </c>
      <c r="S321" s="22" t="s">
        <v>679</v>
      </c>
      <c r="T321" s="22">
        <v>2</v>
      </c>
      <c r="U321" s="264">
        <v>317</v>
      </c>
    </row>
    <row r="322" spans="1:21">
      <c r="A322">
        <v>308</v>
      </c>
      <c r="B322" s="21"/>
      <c r="C322" s="22">
        <v>3533</v>
      </c>
      <c r="D322" s="22" t="s">
        <v>725</v>
      </c>
      <c r="E322" s="23"/>
      <c r="F322" s="24"/>
      <c r="G322" s="16"/>
      <c r="H322" s="2"/>
      <c r="I322" s="17"/>
      <c r="J322" s="25"/>
      <c r="K322" s="16"/>
      <c r="M322" s="25" t="e">
        <f>VLOOKUP($C322,#REF!:#REF!,2,FALSE)</f>
        <v>#REF!</v>
      </c>
      <c r="N322" s="26"/>
      <c r="O322" s="27"/>
      <c r="P322" s="223">
        <f>VLOOKUP($C322,従業員情報!$A$2:'従業員情報'!$AM$2000,5,FALSE)</f>
        <v>69011</v>
      </c>
      <c r="Q322" s="223" t="str">
        <f>VLOOKUP($C322,従業員情報!$A$2:'従業員情報'!$AM$2000,6,FALSE)</f>
        <v>羽生工場ＴＣ</v>
      </c>
      <c r="R322" s="22"/>
      <c r="S322" s="22"/>
      <c r="T322" s="22"/>
      <c r="U322" s="264">
        <v>318</v>
      </c>
    </row>
    <row r="323" spans="1:21">
      <c r="A323">
        <v>358</v>
      </c>
      <c r="B323" s="21">
        <v>430</v>
      </c>
      <c r="C323" s="22">
        <v>3985</v>
      </c>
      <c r="D323" s="22" t="s">
        <v>497</v>
      </c>
      <c r="E323" s="23" t="s">
        <v>15</v>
      </c>
      <c r="F323" s="24">
        <v>19680208</v>
      </c>
      <c r="G323" s="16">
        <f t="shared" ref="G323:G328" si="58">DATE(INT(F323/10000),INT(MOD(F323,10000)/100),MOD(F323,100))</f>
        <v>24876</v>
      </c>
      <c r="H323" s="2">
        <f t="shared" ref="H323:H328" si="59">DATEDIF(G323,$G$4,"Y")</f>
        <v>54</v>
      </c>
      <c r="I323" s="17"/>
      <c r="J323" s="25">
        <v>20071021</v>
      </c>
      <c r="K323" s="16">
        <f t="shared" ref="K323:K328" si="60">DATE(INT(J323/10000),INT(MOD(J323,10000)/100),MOD(J323,100))</f>
        <v>39376</v>
      </c>
      <c r="L323" s="2">
        <f t="shared" ref="L323:L328" si="61">DATEDIF(K323,$G$4,"Y")</f>
        <v>14</v>
      </c>
      <c r="M323" s="25" t="e">
        <f>VLOOKUP($C323,#REF!:#REF!,2,FALSE)</f>
        <v>#REF!</v>
      </c>
      <c r="N323" s="26"/>
      <c r="O323" s="27" t="s">
        <v>19</v>
      </c>
      <c r="P323" s="223">
        <f>VLOOKUP($C323,従業員情報!$A$2:'従業員情報'!$AM$2000,5,FALSE)</f>
        <v>69011</v>
      </c>
      <c r="Q323" s="223" t="str">
        <f>VLOOKUP($C323,従業員情報!$A$2:'従業員情報'!$AM$2000,6,FALSE)</f>
        <v>羽生工場ＴＣ</v>
      </c>
      <c r="R323" s="22">
        <v>1</v>
      </c>
      <c r="S323" s="22" t="s">
        <v>679</v>
      </c>
      <c r="T323" s="22">
        <v>2</v>
      </c>
      <c r="U323" s="264">
        <v>319</v>
      </c>
    </row>
    <row r="324" spans="1:21" s="264" customFormat="1">
      <c r="A324" s="264">
        <v>363</v>
      </c>
      <c r="B324" s="21">
        <v>435</v>
      </c>
      <c r="C324" s="271">
        <v>3991</v>
      </c>
      <c r="D324" s="271" t="s">
        <v>498</v>
      </c>
      <c r="E324" s="23" t="s">
        <v>15</v>
      </c>
      <c r="F324" s="24">
        <v>19791113</v>
      </c>
      <c r="G324" s="16">
        <f t="shared" si="58"/>
        <v>29172</v>
      </c>
      <c r="H324" s="2">
        <f t="shared" si="59"/>
        <v>42</v>
      </c>
      <c r="I324" s="17"/>
      <c r="J324" s="25">
        <v>20071101</v>
      </c>
      <c r="K324" s="16">
        <f t="shared" si="60"/>
        <v>39387</v>
      </c>
      <c r="L324" s="2">
        <f t="shared" si="61"/>
        <v>14</v>
      </c>
      <c r="M324" s="25" t="e">
        <f>VLOOKUP($C324,#REF!:#REF!,2,FALSE)</f>
        <v>#REF!</v>
      </c>
      <c r="N324" s="26"/>
      <c r="O324" s="27" t="s">
        <v>19</v>
      </c>
      <c r="P324" s="223">
        <f>VLOOKUP($C324,従業員情報!$A$2:'従業員情報'!$AM$2000,5,FALSE)</f>
        <v>69011</v>
      </c>
      <c r="Q324" s="223" t="str">
        <f>VLOOKUP($C324,従業員情報!$A$2:'従業員情報'!$AM$2000,6,FALSE)</f>
        <v>羽生工場ＴＣ</v>
      </c>
      <c r="R324" s="271">
        <v>1</v>
      </c>
      <c r="S324" s="271" t="s">
        <v>679</v>
      </c>
      <c r="T324" s="271">
        <v>2</v>
      </c>
      <c r="U324" s="264">
        <v>320</v>
      </c>
    </row>
    <row r="325" spans="1:21">
      <c r="A325">
        <v>365</v>
      </c>
      <c r="B325" s="21">
        <v>437</v>
      </c>
      <c r="C325" s="22">
        <v>3993</v>
      </c>
      <c r="D325" s="22" t="s">
        <v>499</v>
      </c>
      <c r="E325" s="23" t="s">
        <v>15</v>
      </c>
      <c r="F325" s="24">
        <v>19750124</v>
      </c>
      <c r="G325" s="16">
        <f t="shared" si="58"/>
        <v>27418</v>
      </c>
      <c r="H325" s="2">
        <f t="shared" si="59"/>
        <v>47</v>
      </c>
      <c r="I325" s="17"/>
      <c r="J325" s="25">
        <v>20071128</v>
      </c>
      <c r="K325" s="16">
        <f t="shared" si="60"/>
        <v>39414</v>
      </c>
      <c r="L325" s="2">
        <f t="shared" si="61"/>
        <v>14</v>
      </c>
      <c r="M325" s="25" t="e">
        <f>VLOOKUP($C325,#REF!:#REF!,2,FALSE)</f>
        <v>#REF!</v>
      </c>
      <c r="N325" s="26"/>
      <c r="O325" s="27" t="s">
        <v>35</v>
      </c>
      <c r="P325" s="223">
        <f>VLOOKUP($C325,従業員情報!$A$2:'従業員情報'!$AM$2000,5,FALSE)</f>
        <v>69011</v>
      </c>
      <c r="Q325" s="223" t="str">
        <f>VLOOKUP($C325,従業員情報!$A$2:'従業員情報'!$AM$2000,6,FALSE)</f>
        <v>羽生工場ＴＣ</v>
      </c>
      <c r="R325" s="22">
        <v>1</v>
      </c>
      <c r="S325" s="22" t="s">
        <v>679</v>
      </c>
      <c r="T325" s="22">
        <v>2</v>
      </c>
      <c r="U325" s="264">
        <v>321</v>
      </c>
    </row>
    <row r="326" spans="1:21">
      <c r="A326">
        <v>381</v>
      </c>
      <c r="B326" s="21">
        <v>458</v>
      </c>
      <c r="C326" s="22">
        <v>5149</v>
      </c>
      <c r="D326" s="22" t="s">
        <v>494</v>
      </c>
      <c r="E326" s="23" t="s">
        <v>15</v>
      </c>
      <c r="F326" s="24">
        <v>19690926</v>
      </c>
      <c r="G326" s="16">
        <f t="shared" si="58"/>
        <v>25472</v>
      </c>
      <c r="H326" s="2">
        <f t="shared" si="59"/>
        <v>52</v>
      </c>
      <c r="I326" s="17"/>
      <c r="J326" s="25">
        <v>19870325</v>
      </c>
      <c r="K326" s="16">
        <f t="shared" si="60"/>
        <v>31861</v>
      </c>
      <c r="L326" s="2">
        <f t="shared" si="61"/>
        <v>34</v>
      </c>
      <c r="M326" s="25" t="e">
        <f>VLOOKUP($C326,#REF!:#REF!,2,FALSE)</f>
        <v>#REF!</v>
      </c>
      <c r="N326" s="26"/>
      <c r="O326" s="27" t="s">
        <v>75</v>
      </c>
      <c r="P326" s="223">
        <f>VLOOKUP($C326,従業員情報!$A$2:'従業員情報'!$AM$2000,5,FALSE)</f>
        <v>69011</v>
      </c>
      <c r="Q326" s="223" t="str">
        <f>VLOOKUP($C326,従業員情報!$A$2:'従業員情報'!$AM$2000,6,FALSE)</f>
        <v>羽生工場ＴＣ</v>
      </c>
      <c r="R326" s="22">
        <v>1</v>
      </c>
      <c r="S326" s="22" t="s">
        <v>679</v>
      </c>
      <c r="T326" s="22">
        <v>2</v>
      </c>
      <c r="U326" s="264">
        <v>322</v>
      </c>
    </row>
    <row r="327" spans="1:21">
      <c r="A327">
        <v>386</v>
      </c>
      <c r="B327" s="21">
        <v>463</v>
      </c>
      <c r="C327" s="22">
        <v>5165</v>
      </c>
      <c r="D327" s="22" t="s">
        <v>495</v>
      </c>
      <c r="E327" s="23" t="s">
        <v>15</v>
      </c>
      <c r="F327" s="24">
        <v>19710823</v>
      </c>
      <c r="G327" s="16">
        <f t="shared" si="58"/>
        <v>26168</v>
      </c>
      <c r="H327" s="2">
        <f t="shared" si="59"/>
        <v>50</v>
      </c>
      <c r="I327" s="17"/>
      <c r="J327" s="25">
        <v>19880325</v>
      </c>
      <c r="K327" s="16">
        <f t="shared" si="60"/>
        <v>32227</v>
      </c>
      <c r="L327" s="2">
        <f t="shared" si="61"/>
        <v>33</v>
      </c>
      <c r="M327" s="25" t="e">
        <f>VLOOKUP($C327,#REF!:#REF!,2,FALSE)</f>
        <v>#REF!</v>
      </c>
      <c r="N327" s="26"/>
      <c r="O327" s="27" t="s">
        <v>105</v>
      </c>
      <c r="P327" s="223">
        <f>VLOOKUP($C327,従業員情報!$A$2:'従業員情報'!$AM$2000,5,FALSE)</f>
        <v>69011</v>
      </c>
      <c r="Q327" s="223" t="str">
        <f>VLOOKUP($C327,従業員情報!$A$2:'従業員情報'!$AM$2000,6,FALSE)</f>
        <v>羽生工場ＴＣ</v>
      </c>
      <c r="R327" s="22">
        <v>1</v>
      </c>
      <c r="S327" s="22" t="s">
        <v>679</v>
      </c>
      <c r="T327" s="22">
        <v>2</v>
      </c>
      <c r="U327" s="264">
        <v>323</v>
      </c>
    </row>
    <row r="328" spans="1:21">
      <c r="A328">
        <v>387</v>
      </c>
      <c r="B328" s="21">
        <v>464</v>
      </c>
      <c r="C328" s="22">
        <v>5174</v>
      </c>
      <c r="D328" s="22" t="s">
        <v>496</v>
      </c>
      <c r="E328" s="23" t="s">
        <v>15</v>
      </c>
      <c r="F328" s="24">
        <v>19730929</v>
      </c>
      <c r="G328" s="16">
        <f t="shared" si="58"/>
        <v>26936</v>
      </c>
      <c r="H328" s="2">
        <f t="shared" si="59"/>
        <v>48</v>
      </c>
      <c r="I328" s="17"/>
      <c r="J328" s="25">
        <v>19890324</v>
      </c>
      <c r="K328" s="16">
        <f t="shared" si="60"/>
        <v>32591</v>
      </c>
      <c r="L328" s="2">
        <f t="shared" si="61"/>
        <v>32</v>
      </c>
      <c r="M328" s="25" t="e">
        <f>VLOOKUP($C328,#REF!:#REF!,2,FALSE)</f>
        <v>#REF!</v>
      </c>
      <c r="N328" s="26"/>
      <c r="O328" s="27" t="s">
        <v>77</v>
      </c>
      <c r="P328" s="223">
        <f>VLOOKUP($C328,従業員情報!$A$2:'従業員情報'!$AM$2000,5,FALSE)</f>
        <v>69011</v>
      </c>
      <c r="Q328" s="223" t="str">
        <f>VLOOKUP($C328,従業員情報!$A$2:'従業員情報'!$AM$2000,6,FALSE)</f>
        <v>羽生工場ＴＣ</v>
      </c>
      <c r="R328" s="22">
        <v>1</v>
      </c>
      <c r="S328" s="22" t="s">
        <v>679</v>
      </c>
      <c r="T328" s="22">
        <v>2</v>
      </c>
      <c r="U328" s="264">
        <v>324</v>
      </c>
    </row>
    <row r="329" spans="1:21">
      <c r="B329" s="21"/>
      <c r="C329" s="22">
        <v>1452</v>
      </c>
      <c r="D329" s="22" t="s">
        <v>944</v>
      </c>
      <c r="E329" s="23"/>
      <c r="F329" s="24"/>
      <c r="G329" s="16"/>
      <c r="H329" s="2"/>
      <c r="I329" s="17"/>
      <c r="J329" s="25"/>
      <c r="K329" s="16"/>
      <c r="M329" s="25"/>
      <c r="N329" s="26"/>
      <c r="O329" s="27"/>
      <c r="P329" s="223">
        <f>VLOOKUP($C329,従業員情報!$A$2:'従業員情報'!$AM$2000,5,FALSE)</f>
        <v>69011</v>
      </c>
      <c r="Q329" s="223" t="str">
        <f>VLOOKUP($C329,従業員情報!$A$2:'従業員情報'!$AM$2000,6,FALSE)</f>
        <v>羽生工場ＴＣ</v>
      </c>
      <c r="R329" s="22"/>
      <c r="S329" s="22"/>
      <c r="T329" s="22"/>
      <c r="U329" s="264">
        <v>378</v>
      </c>
    </row>
    <row r="330" spans="1:21">
      <c r="A330">
        <v>367</v>
      </c>
      <c r="B330" s="21">
        <v>439</v>
      </c>
      <c r="C330" s="22">
        <v>3997</v>
      </c>
      <c r="D330" s="22" t="s">
        <v>505</v>
      </c>
      <c r="E330" s="23" t="s">
        <v>15</v>
      </c>
      <c r="F330" s="24">
        <v>19761104</v>
      </c>
      <c r="G330" s="16">
        <f t="shared" ref="G330:G337" si="62">DATE(INT(F330/10000),INT(MOD(F330,10000)/100),MOD(F330,100))</f>
        <v>28068</v>
      </c>
      <c r="H330" s="2">
        <f t="shared" ref="H330:H337" si="63">DATEDIF(G330,$G$4,"Y")</f>
        <v>45</v>
      </c>
      <c r="I330" s="17"/>
      <c r="J330" s="25">
        <v>20080321</v>
      </c>
      <c r="K330" s="16">
        <f t="shared" ref="K330:K337" si="64">DATE(INT(J330/10000),INT(MOD(J330,10000)/100),MOD(J330,100))</f>
        <v>39528</v>
      </c>
      <c r="L330" s="2">
        <f t="shared" ref="L330:L337" si="65">DATEDIF(K330,$G$4,"Y")</f>
        <v>13</v>
      </c>
      <c r="M330" s="25" t="e">
        <f>VLOOKUP($C330,#REF!:#REF!,2,FALSE)</f>
        <v>#REF!</v>
      </c>
      <c r="N330" s="26"/>
      <c r="O330" s="27" t="s">
        <v>35</v>
      </c>
      <c r="P330" s="223">
        <f>VLOOKUP($C330,従業員情報!$A$2:'従業員情報'!$AM$2000,5,FALSE)</f>
        <v>69111</v>
      </c>
      <c r="Q330" s="223" t="str">
        <f>VLOOKUP($C330,従業員情報!$A$2:'従業員情報'!$AM$2000,6,FALSE)</f>
        <v>羽生工場ＥＧＲ</v>
      </c>
      <c r="R330" s="22">
        <v>1</v>
      </c>
      <c r="S330" s="22" t="s">
        <v>679</v>
      </c>
      <c r="T330" s="22">
        <v>2</v>
      </c>
      <c r="U330" s="264">
        <v>325</v>
      </c>
    </row>
    <row r="331" spans="1:21">
      <c r="A331">
        <v>338</v>
      </c>
      <c r="B331" s="21">
        <v>405</v>
      </c>
      <c r="C331" s="22">
        <v>3937</v>
      </c>
      <c r="D331" s="22" t="s">
        <v>482</v>
      </c>
      <c r="E331" s="23" t="s">
        <v>15</v>
      </c>
      <c r="F331" s="24">
        <v>19810304</v>
      </c>
      <c r="G331" s="16">
        <f t="shared" si="62"/>
        <v>29649</v>
      </c>
      <c r="H331" s="2">
        <f t="shared" si="63"/>
        <v>40</v>
      </c>
      <c r="I331" s="17"/>
      <c r="J331" s="25">
        <v>20060301</v>
      </c>
      <c r="K331" s="16">
        <f t="shared" si="64"/>
        <v>38777</v>
      </c>
      <c r="L331" s="2">
        <f t="shared" si="65"/>
        <v>16</v>
      </c>
      <c r="M331" s="25" t="e">
        <f>VLOOKUP($C331,#REF!:#REF!,2,FALSE)</f>
        <v>#REF!</v>
      </c>
      <c r="N331" s="26"/>
      <c r="O331" s="27" t="s">
        <v>35</v>
      </c>
      <c r="P331" s="223">
        <f>VLOOKUP($C331,従業員情報!$A$2:'従業員情報'!$AM$2000,5,FALSE)</f>
        <v>69211</v>
      </c>
      <c r="Q331" s="223" t="str">
        <f>VLOOKUP($C331,従業員情報!$A$2:'従業員情報'!$AM$2000,6,FALSE)</f>
        <v>羽生工場ＢＰＶ</v>
      </c>
      <c r="R331" s="22">
        <v>1</v>
      </c>
      <c r="S331" s="22" t="s">
        <v>679</v>
      </c>
      <c r="T331" s="22">
        <v>1</v>
      </c>
      <c r="U331" s="264">
        <v>300</v>
      </c>
    </row>
    <row r="332" spans="1:21">
      <c r="A332">
        <v>269</v>
      </c>
      <c r="B332" s="21">
        <v>325</v>
      </c>
      <c r="C332" s="22">
        <v>3464</v>
      </c>
      <c r="D332" s="22" t="s">
        <v>512</v>
      </c>
      <c r="E332" s="23" t="s">
        <v>15</v>
      </c>
      <c r="F332" s="24">
        <v>19970726</v>
      </c>
      <c r="G332" s="16">
        <f t="shared" si="62"/>
        <v>35637</v>
      </c>
      <c r="H332" s="2">
        <f t="shared" si="63"/>
        <v>24</v>
      </c>
      <c r="I332" s="17"/>
      <c r="J332" s="25">
        <v>20160401</v>
      </c>
      <c r="K332" s="16">
        <f t="shared" si="64"/>
        <v>42461</v>
      </c>
      <c r="L332" s="2">
        <f t="shared" si="65"/>
        <v>5</v>
      </c>
      <c r="M332" s="25" t="e">
        <f>VLOOKUP($C332,#REF!:#REF!,2,FALSE)</f>
        <v>#REF!</v>
      </c>
      <c r="N332" s="26"/>
      <c r="O332" s="27" t="s">
        <v>35</v>
      </c>
      <c r="P332" s="223">
        <f>VLOOKUP($C332,従業員情報!$A$2:'従業員情報'!$AM$2000,5,FALSE)</f>
        <v>69211</v>
      </c>
      <c r="Q332" s="223" t="str">
        <f>VLOOKUP($C332,従業員情報!$A$2:'従業員情報'!$AM$2000,6,FALSE)</f>
        <v>羽生工場ＢＰＶ</v>
      </c>
      <c r="R332" s="22">
        <v>1</v>
      </c>
      <c r="S332" s="22" t="s">
        <v>679</v>
      </c>
      <c r="T332" s="22">
        <v>2</v>
      </c>
      <c r="U332" s="264">
        <v>326</v>
      </c>
    </row>
    <row r="333" spans="1:21">
      <c r="A333">
        <v>32</v>
      </c>
      <c r="B333" s="21">
        <v>42</v>
      </c>
      <c r="C333" s="22">
        <v>1386</v>
      </c>
      <c r="D333" s="22" t="s">
        <v>52</v>
      </c>
      <c r="E333" s="23" t="s">
        <v>15</v>
      </c>
      <c r="F333" s="24">
        <v>19810623</v>
      </c>
      <c r="G333" s="16">
        <f t="shared" si="62"/>
        <v>29760</v>
      </c>
      <c r="H333" s="2">
        <f t="shared" si="63"/>
        <v>40</v>
      </c>
      <c r="I333" s="17"/>
      <c r="J333" s="25">
        <v>20131021</v>
      </c>
      <c r="K333" s="16">
        <f t="shared" si="64"/>
        <v>41568</v>
      </c>
      <c r="L333" s="2">
        <f t="shared" si="65"/>
        <v>8</v>
      </c>
      <c r="M333" s="25" t="e">
        <f>VLOOKUP($C333,#REF!:#REF!,2,FALSE)</f>
        <v>#REF!</v>
      </c>
      <c r="N333" s="26"/>
      <c r="O333" s="27" t="s">
        <v>16</v>
      </c>
      <c r="P333" s="223">
        <f>VLOOKUP($C333,従業員情報!$A$2:'従業員情報'!$AM$2000,5,FALSE)</f>
        <v>80000</v>
      </c>
      <c r="Q333" s="223" t="str">
        <f>VLOOKUP($C333,従業員情報!$A$2:'従業員情報'!$AM$2000,6,FALSE)</f>
        <v>ＮＥＬ</v>
      </c>
      <c r="R333" s="22">
        <v>0</v>
      </c>
      <c r="S333" s="22"/>
      <c r="T333" s="22">
        <v>1</v>
      </c>
      <c r="U333" s="264">
        <v>21</v>
      </c>
    </row>
    <row r="334" spans="1:21">
      <c r="A334">
        <v>1</v>
      </c>
      <c r="B334" s="21">
        <v>2</v>
      </c>
      <c r="C334" s="22">
        <v>1266</v>
      </c>
      <c r="D334" s="22" t="s">
        <v>174</v>
      </c>
      <c r="E334" s="23" t="s">
        <v>15</v>
      </c>
      <c r="F334" s="24">
        <v>19690124</v>
      </c>
      <c r="G334" s="16">
        <f t="shared" si="62"/>
        <v>25227</v>
      </c>
      <c r="H334" s="2">
        <f t="shared" si="63"/>
        <v>53</v>
      </c>
      <c r="I334" s="17"/>
      <c r="J334" s="25">
        <v>19901205</v>
      </c>
      <c r="K334" s="16">
        <f t="shared" si="64"/>
        <v>33212</v>
      </c>
      <c r="L334" s="2">
        <f t="shared" si="65"/>
        <v>31</v>
      </c>
      <c r="M334" s="25" t="e">
        <f>VLOOKUP($C334,#REF!:#REF!,2,FALSE)</f>
        <v>#REF!</v>
      </c>
      <c r="N334" s="26"/>
      <c r="O334" s="27" t="s">
        <v>35</v>
      </c>
      <c r="P334" s="223">
        <f>VLOOKUP($C334,従業員情報!$A$2:'従業員情報'!$AM$2000,5,FALSE)</f>
        <v>80000</v>
      </c>
      <c r="Q334" s="223" t="str">
        <f>VLOOKUP($C334,従業員情報!$A$2:'従業員情報'!$AM$2000,6,FALSE)</f>
        <v>ＮＥＬ</v>
      </c>
      <c r="R334" s="22">
        <v>0</v>
      </c>
      <c r="S334" s="22"/>
      <c r="T334" s="22">
        <v>1</v>
      </c>
      <c r="U334" s="264">
        <v>328</v>
      </c>
    </row>
    <row r="335" spans="1:21">
      <c r="A335">
        <v>4</v>
      </c>
      <c r="B335" s="21">
        <v>7</v>
      </c>
      <c r="C335" s="22">
        <v>1298</v>
      </c>
      <c r="D335" s="22" t="s">
        <v>175</v>
      </c>
      <c r="E335" s="23" t="s">
        <v>15</v>
      </c>
      <c r="F335" s="24">
        <v>19660716</v>
      </c>
      <c r="G335" s="16">
        <f t="shared" si="62"/>
        <v>24304</v>
      </c>
      <c r="H335" s="2">
        <f t="shared" si="63"/>
        <v>55</v>
      </c>
      <c r="I335" s="17"/>
      <c r="J335" s="25">
        <v>19950121</v>
      </c>
      <c r="K335" s="16">
        <f t="shared" si="64"/>
        <v>34720</v>
      </c>
      <c r="L335" s="2">
        <f t="shared" si="65"/>
        <v>27</v>
      </c>
      <c r="M335" s="25" t="e">
        <f>VLOOKUP($C335,#REF!:#REF!,2,FALSE)</f>
        <v>#REF!</v>
      </c>
      <c r="N335" s="26"/>
      <c r="O335" s="27" t="s">
        <v>16</v>
      </c>
      <c r="P335" s="223">
        <f>VLOOKUP($C335,従業員情報!$A$2:'従業員情報'!$AM$2000,5,FALSE)</f>
        <v>80000</v>
      </c>
      <c r="Q335" s="223" t="str">
        <f>VLOOKUP($C335,従業員情報!$A$2:'従業員情報'!$AM$2000,6,FALSE)</f>
        <v>ＮＥＬ</v>
      </c>
      <c r="R335" s="22">
        <v>0</v>
      </c>
      <c r="S335" s="22"/>
      <c r="T335" s="22">
        <v>1</v>
      </c>
      <c r="U335" s="264">
        <v>329</v>
      </c>
    </row>
    <row r="336" spans="1:21">
      <c r="A336">
        <v>6</v>
      </c>
      <c r="B336" s="21">
        <v>9</v>
      </c>
      <c r="C336" s="22">
        <v>1311</v>
      </c>
      <c r="D336" s="22" t="s">
        <v>205</v>
      </c>
      <c r="E336" s="23" t="s">
        <v>15</v>
      </c>
      <c r="F336" s="24">
        <v>19731130</v>
      </c>
      <c r="G336" s="16">
        <f t="shared" si="62"/>
        <v>26998</v>
      </c>
      <c r="H336" s="2">
        <f t="shared" si="63"/>
        <v>48</v>
      </c>
      <c r="I336" s="17"/>
      <c r="J336" s="25">
        <v>19970321</v>
      </c>
      <c r="K336" s="16">
        <f t="shared" si="64"/>
        <v>35510</v>
      </c>
      <c r="L336" s="2">
        <f t="shared" si="65"/>
        <v>24</v>
      </c>
      <c r="M336" s="25" t="e">
        <f>VLOOKUP($C336,#REF!:#REF!,2,FALSE)</f>
        <v>#REF!</v>
      </c>
      <c r="N336" s="26"/>
      <c r="O336" s="27" t="s">
        <v>16</v>
      </c>
      <c r="P336" s="223">
        <f>VLOOKUP($C336,従業員情報!$A$2:'従業員情報'!$AM$2000,5,FALSE)</f>
        <v>80000</v>
      </c>
      <c r="Q336" s="223" t="str">
        <f>VLOOKUP($C336,従業員情報!$A$2:'従業員情報'!$AM$2000,6,FALSE)</f>
        <v>ＮＥＬ</v>
      </c>
      <c r="R336" s="22">
        <v>0</v>
      </c>
      <c r="S336" s="22"/>
      <c r="T336" s="22">
        <v>2</v>
      </c>
      <c r="U336" s="264">
        <v>330</v>
      </c>
    </row>
    <row r="337" spans="1:21">
      <c r="A337">
        <v>15</v>
      </c>
      <c r="B337" s="21">
        <v>20</v>
      </c>
      <c r="C337" s="22">
        <v>1344</v>
      </c>
      <c r="D337" s="464" t="s">
        <v>183</v>
      </c>
      <c r="E337" s="23" t="s">
        <v>15</v>
      </c>
      <c r="F337" s="24">
        <v>19790805</v>
      </c>
      <c r="G337" s="16">
        <f t="shared" si="62"/>
        <v>29072</v>
      </c>
      <c r="H337" s="2">
        <f t="shared" si="63"/>
        <v>42</v>
      </c>
      <c r="I337" s="17"/>
      <c r="J337" s="25">
        <v>20080303</v>
      </c>
      <c r="K337" s="16">
        <f t="shared" si="64"/>
        <v>39510</v>
      </c>
      <c r="L337" s="2">
        <f t="shared" si="65"/>
        <v>13</v>
      </c>
      <c r="M337" s="25" t="e">
        <f>VLOOKUP($C337,#REF!:#REF!,2,FALSE)</f>
        <v>#REF!</v>
      </c>
      <c r="N337" s="26"/>
      <c r="O337" s="27" t="s">
        <v>16</v>
      </c>
      <c r="P337" s="223">
        <f>VLOOKUP($C337,従業員情報!$A$2:'従業員情報'!$AM$2000,5,FALSE)</f>
        <v>80000</v>
      </c>
      <c r="Q337" s="223" t="str">
        <f>VLOOKUP($C337,従業員情報!$A$2:'従業員情報'!$AM$2000,6,FALSE)</f>
        <v>ＮＥＬ</v>
      </c>
      <c r="R337" s="22">
        <v>0</v>
      </c>
      <c r="S337" s="22"/>
      <c r="T337" s="22">
        <v>1</v>
      </c>
      <c r="U337" s="264">
        <v>331</v>
      </c>
    </row>
    <row r="338" spans="1:21">
      <c r="B338" s="21"/>
      <c r="C338" s="22">
        <v>1444</v>
      </c>
      <c r="D338" s="22" t="s">
        <v>874</v>
      </c>
      <c r="E338" s="23"/>
      <c r="F338" s="24"/>
      <c r="G338" s="16"/>
      <c r="H338" s="2"/>
      <c r="I338" s="17"/>
      <c r="J338" s="25"/>
      <c r="K338" s="16"/>
      <c r="M338" s="25"/>
      <c r="N338" s="26"/>
      <c r="O338" s="27"/>
      <c r="P338" s="223">
        <f>VLOOKUP($C338,従業員情報!$A$2:'従業員情報'!$AM$2000,5,FALSE)</f>
        <v>80000</v>
      </c>
      <c r="Q338" s="223" t="str">
        <f>VLOOKUP($C338,従業員情報!$A$2:'従業員情報'!$AM$2000,6,FALSE)</f>
        <v>ＮＥＬ</v>
      </c>
      <c r="R338" s="22"/>
      <c r="S338" s="22"/>
      <c r="T338" s="22"/>
      <c r="U338" s="264">
        <v>332</v>
      </c>
    </row>
    <row r="340" spans="1:21">
      <c r="A340">
        <v>129</v>
      </c>
      <c r="B340" s="21">
        <v>135</v>
      </c>
      <c r="C340" s="22">
        <v>3021</v>
      </c>
      <c r="D340" s="22" t="s">
        <v>173</v>
      </c>
      <c r="E340" s="23" t="s">
        <v>15</v>
      </c>
      <c r="F340" s="24">
        <v>19720119</v>
      </c>
      <c r="G340" s="16">
        <f t="shared" ref="G340:G378" si="66">DATE(INT(F340/10000),INT(MOD(F340,10000)/100),MOD(F340,100))</f>
        <v>26317</v>
      </c>
      <c r="H340" s="2">
        <f t="shared" ref="H340:H378" si="67">DATEDIF(G340,$G$4,"Y")</f>
        <v>50</v>
      </c>
      <c r="I340" s="17"/>
      <c r="J340" s="25">
        <v>19950322</v>
      </c>
      <c r="K340" s="16">
        <f t="shared" ref="K340:K378" si="68">DATE(INT(J340/10000),INT(MOD(J340,10000)/100),MOD(J340,100))</f>
        <v>34780</v>
      </c>
      <c r="L340" s="2">
        <f t="shared" ref="L340:L378" si="69">DATEDIF(K340,$G$4,"Y")</f>
        <v>26</v>
      </c>
      <c r="M340" s="25" t="e">
        <f>VLOOKUP($C340,#REF!:#REF!,2,FALSE)</f>
        <v>#REF!</v>
      </c>
      <c r="N340" s="26"/>
      <c r="O340" s="27" t="s">
        <v>16</v>
      </c>
      <c r="P340" s="223">
        <f>VLOOKUP($C340,従業員情報!$A$2:'従業員情報'!$AM$2000,5,FALSE)</f>
        <v>80000</v>
      </c>
      <c r="Q340" s="223" t="str">
        <f>VLOOKUP($C340,従業員情報!$A$2:'従業員情報'!$AM$2000,6,FALSE)</f>
        <v>ＮＥＬ</v>
      </c>
      <c r="R340" s="22">
        <v>0</v>
      </c>
      <c r="S340" s="22"/>
      <c r="T340" s="22">
        <v>1</v>
      </c>
      <c r="U340" s="264">
        <v>334</v>
      </c>
    </row>
    <row r="341" spans="1:21">
      <c r="A341">
        <v>143</v>
      </c>
      <c r="B341" s="21">
        <v>153</v>
      </c>
      <c r="C341" s="22">
        <v>3092</v>
      </c>
      <c r="D341" s="22" t="s">
        <v>176</v>
      </c>
      <c r="E341" s="23" t="s">
        <v>15</v>
      </c>
      <c r="F341" s="24">
        <v>19700208</v>
      </c>
      <c r="G341" s="16">
        <f t="shared" si="66"/>
        <v>25607</v>
      </c>
      <c r="H341" s="2">
        <f t="shared" si="67"/>
        <v>52</v>
      </c>
      <c r="I341" s="17"/>
      <c r="J341" s="25">
        <v>19960321</v>
      </c>
      <c r="K341" s="16">
        <f t="shared" si="68"/>
        <v>35145</v>
      </c>
      <c r="L341" s="2">
        <f t="shared" si="69"/>
        <v>25</v>
      </c>
      <c r="M341" s="25" t="e">
        <f>VLOOKUP($C341,#REF!:#REF!,2,FALSE)</f>
        <v>#REF!</v>
      </c>
      <c r="N341" s="26"/>
      <c r="O341" s="27" t="s">
        <v>60</v>
      </c>
      <c r="P341" s="223">
        <f>VLOOKUP($C341,従業員情報!$A$2:'従業員情報'!$AM$2000,5,FALSE)</f>
        <v>80000</v>
      </c>
      <c r="Q341" s="223" t="str">
        <f>VLOOKUP($C341,従業員情報!$A$2:'従業員情報'!$AM$2000,6,FALSE)</f>
        <v>ＮＥＬ</v>
      </c>
      <c r="R341" s="22">
        <v>0</v>
      </c>
      <c r="S341" s="22"/>
      <c r="T341" s="22">
        <v>1</v>
      </c>
      <c r="U341" s="264">
        <v>335</v>
      </c>
    </row>
    <row r="342" spans="1:21">
      <c r="A342">
        <v>159</v>
      </c>
      <c r="B342" s="21">
        <v>171</v>
      </c>
      <c r="C342" s="22">
        <v>3160</v>
      </c>
      <c r="D342" s="22" t="s">
        <v>178</v>
      </c>
      <c r="E342" s="23" t="s">
        <v>15</v>
      </c>
      <c r="F342" s="24">
        <v>19761015</v>
      </c>
      <c r="G342" s="16">
        <f t="shared" si="66"/>
        <v>28048</v>
      </c>
      <c r="H342" s="2">
        <f t="shared" si="67"/>
        <v>45</v>
      </c>
      <c r="I342" s="17"/>
      <c r="J342" s="25">
        <v>19990322</v>
      </c>
      <c r="K342" s="16">
        <f t="shared" si="68"/>
        <v>36241</v>
      </c>
      <c r="L342" s="2">
        <f t="shared" si="69"/>
        <v>22</v>
      </c>
      <c r="M342" s="25" t="e">
        <f>VLOOKUP($C342,#REF!:#REF!,2,FALSE)</f>
        <v>#REF!</v>
      </c>
      <c r="N342" s="26"/>
      <c r="O342" s="27" t="s">
        <v>16</v>
      </c>
      <c r="P342" s="223">
        <f>VLOOKUP($C342,従業員情報!$A$2:'従業員情報'!$AM$2000,5,FALSE)</f>
        <v>80000</v>
      </c>
      <c r="Q342" s="223" t="str">
        <f>VLOOKUP($C342,従業員情報!$A$2:'従業員情報'!$AM$2000,6,FALSE)</f>
        <v>ＮＥＬ</v>
      </c>
      <c r="R342" s="22">
        <v>0</v>
      </c>
      <c r="S342" s="22"/>
      <c r="T342" s="22">
        <v>1</v>
      </c>
      <c r="U342" s="264">
        <v>337</v>
      </c>
    </row>
    <row r="343" spans="1:21">
      <c r="A343">
        <v>162</v>
      </c>
      <c r="B343" s="21">
        <v>175</v>
      </c>
      <c r="C343" s="22">
        <v>3168</v>
      </c>
      <c r="D343" s="22" t="s">
        <v>188</v>
      </c>
      <c r="E343" s="23" t="s">
        <v>15</v>
      </c>
      <c r="F343" s="24">
        <v>19781023</v>
      </c>
      <c r="G343" s="16">
        <f t="shared" si="66"/>
        <v>28786</v>
      </c>
      <c r="H343" s="2">
        <f t="shared" si="67"/>
        <v>43</v>
      </c>
      <c r="I343" s="17"/>
      <c r="J343" s="25">
        <v>20010321</v>
      </c>
      <c r="K343" s="16">
        <f t="shared" si="68"/>
        <v>36971</v>
      </c>
      <c r="L343" s="2">
        <f t="shared" si="69"/>
        <v>20</v>
      </c>
      <c r="M343" s="25" t="e">
        <f>VLOOKUP($C343,#REF!:#REF!,2,FALSE)</f>
        <v>#REF!</v>
      </c>
      <c r="N343" s="26"/>
      <c r="O343" s="27" t="s">
        <v>16</v>
      </c>
      <c r="P343" s="223">
        <f>VLOOKUP($C343,従業員情報!$A$2:'従業員情報'!$AM$2000,5,FALSE)</f>
        <v>80000</v>
      </c>
      <c r="Q343" s="223" t="str">
        <f>VLOOKUP($C343,従業員情報!$A$2:'従業員情報'!$AM$2000,6,FALSE)</f>
        <v>ＮＥＬ</v>
      </c>
      <c r="R343" s="22">
        <v>0</v>
      </c>
      <c r="S343" s="22"/>
      <c r="T343" s="22">
        <v>1</v>
      </c>
      <c r="U343" s="264">
        <v>338</v>
      </c>
    </row>
    <row r="344" spans="1:21">
      <c r="A344">
        <v>163</v>
      </c>
      <c r="B344" s="21">
        <v>176</v>
      </c>
      <c r="C344" s="22">
        <v>3169</v>
      </c>
      <c r="D344" s="22" t="s">
        <v>180</v>
      </c>
      <c r="E344" s="23" t="s">
        <v>15</v>
      </c>
      <c r="F344" s="24">
        <v>19780810</v>
      </c>
      <c r="G344" s="16">
        <f t="shared" si="66"/>
        <v>28712</v>
      </c>
      <c r="H344" s="2">
        <f t="shared" si="67"/>
        <v>43</v>
      </c>
      <c r="I344" s="17"/>
      <c r="J344" s="25">
        <v>20010321</v>
      </c>
      <c r="K344" s="16">
        <f t="shared" si="68"/>
        <v>36971</v>
      </c>
      <c r="L344" s="2">
        <f t="shared" si="69"/>
        <v>20</v>
      </c>
      <c r="M344" s="25" t="e">
        <f>VLOOKUP($C344,#REF!:#REF!,2,FALSE)</f>
        <v>#REF!</v>
      </c>
      <c r="N344" s="26"/>
      <c r="O344" s="27" t="s">
        <v>16</v>
      </c>
      <c r="P344" s="223">
        <f>VLOOKUP($C344,従業員情報!$A$2:'従業員情報'!$AM$2000,5,FALSE)</f>
        <v>80000</v>
      </c>
      <c r="Q344" s="223" t="str">
        <f>VLOOKUP($C344,従業員情報!$A$2:'従業員情報'!$AM$2000,6,FALSE)</f>
        <v>ＮＥＬ</v>
      </c>
      <c r="R344" s="22">
        <v>0</v>
      </c>
      <c r="S344" s="22"/>
      <c r="T344" s="22">
        <v>1</v>
      </c>
      <c r="U344" s="264">
        <v>339</v>
      </c>
    </row>
    <row r="345" spans="1:21">
      <c r="A345">
        <v>166</v>
      </c>
      <c r="B345" s="21">
        <v>180</v>
      </c>
      <c r="C345" s="22">
        <v>3181</v>
      </c>
      <c r="D345" s="22" t="s">
        <v>181</v>
      </c>
      <c r="E345" s="23" t="s">
        <v>15</v>
      </c>
      <c r="F345" s="24">
        <v>19790703</v>
      </c>
      <c r="G345" s="16">
        <f t="shared" si="66"/>
        <v>29039</v>
      </c>
      <c r="H345" s="2">
        <f t="shared" si="67"/>
        <v>42</v>
      </c>
      <c r="I345" s="17"/>
      <c r="J345" s="25">
        <v>20020322</v>
      </c>
      <c r="K345" s="16">
        <f t="shared" si="68"/>
        <v>37337</v>
      </c>
      <c r="L345" s="2">
        <f t="shared" si="69"/>
        <v>19</v>
      </c>
      <c r="M345" s="25" t="e">
        <f>VLOOKUP($C345,#REF!:#REF!,2,FALSE)</f>
        <v>#REF!</v>
      </c>
      <c r="N345" s="26"/>
      <c r="O345" s="27" t="s">
        <v>16</v>
      </c>
      <c r="P345" s="223">
        <f>VLOOKUP($C345,従業員情報!$A$2:'従業員情報'!$AM$2000,5,FALSE)</f>
        <v>80000</v>
      </c>
      <c r="Q345" s="223" t="str">
        <f>VLOOKUP($C345,従業員情報!$A$2:'従業員情報'!$AM$2000,6,FALSE)</f>
        <v>ＮＥＬ</v>
      </c>
      <c r="R345" s="22">
        <v>0</v>
      </c>
      <c r="S345" s="22"/>
      <c r="T345" s="22">
        <v>1</v>
      </c>
      <c r="U345" s="264">
        <v>340</v>
      </c>
    </row>
    <row r="346" spans="1:21">
      <c r="A346">
        <v>170</v>
      </c>
      <c r="B346" s="21">
        <v>185</v>
      </c>
      <c r="C346" s="22">
        <v>3192</v>
      </c>
      <c r="D346" s="22" t="s">
        <v>185</v>
      </c>
      <c r="E346" s="23" t="s">
        <v>15</v>
      </c>
      <c r="F346" s="24">
        <v>19810317</v>
      </c>
      <c r="G346" s="16">
        <f t="shared" si="66"/>
        <v>29662</v>
      </c>
      <c r="H346" s="2">
        <f t="shared" si="67"/>
        <v>40</v>
      </c>
      <c r="I346" s="17"/>
      <c r="J346" s="25">
        <v>20030321</v>
      </c>
      <c r="K346" s="16">
        <f t="shared" si="68"/>
        <v>37701</v>
      </c>
      <c r="L346" s="2">
        <f t="shared" si="69"/>
        <v>18</v>
      </c>
      <c r="M346" s="25" t="e">
        <f>VLOOKUP($C346,#REF!:#REF!,2,FALSE)</f>
        <v>#REF!</v>
      </c>
      <c r="N346" s="26"/>
      <c r="O346" s="27" t="s">
        <v>16</v>
      </c>
      <c r="P346" s="223">
        <f>VLOOKUP($C346,従業員情報!$A$2:'従業員情報'!$AM$2000,5,FALSE)</f>
        <v>80000</v>
      </c>
      <c r="Q346" s="223" t="str">
        <f>VLOOKUP($C346,従業員情報!$A$2:'従業員情報'!$AM$2000,6,FALSE)</f>
        <v>ＮＥＬ</v>
      </c>
      <c r="R346" s="22">
        <v>0</v>
      </c>
      <c r="S346" s="22"/>
      <c r="T346" s="22">
        <v>1</v>
      </c>
      <c r="U346" s="264">
        <v>341</v>
      </c>
    </row>
    <row r="347" spans="1:21">
      <c r="A347">
        <v>171</v>
      </c>
      <c r="B347" s="21">
        <v>186</v>
      </c>
      <c r="C347" s="22">
        <v>3193</v>
      </c>
      <c r="D347" s="22" t="s">
        <v>182</v>
      </c>
      <c r="E347" s="23" t="s">
        <v>15</v>
      </c>
      <c r="F347" s="24">
        <v>19810207</v>
      </c>
      <c r="G347" s="16">
        <f t="shared" si="66"/>
        <v>29624</v>
      </c>
      <c r="H347" s="2">
        <f t="shared" si="67"/>
        <v>41</v>
      </c>
      <c r="I347" s="17"/>
      <c r="J347" s="25">
        <v>20030321</v>
      </c>
      <c r="K347" s="16">
        <f t="shared" si="68"/>
        <v>37701</v>
      </c>
      <c r="L347" s="2">
        <f t="shared" si="69"/>
        <v>18</v>
      </c>
      <c r="M347" s="25" t="e">
        <f>VLOOKUP($C347,#REF!:#REF!,2,FALSE)</f>
        <v>#REF!</v>
      </c>
      <c r="N347" s="26"/>
      <c r="O347" s="27" t="s">
        <v>16</v>
      </c>
      <c r="P347" s="223">
        <f>VLOOKUP($C347,従業員情報!$A$2:'従業員情報'!$AM$2000,5,FALSE)</f>
        <v>80000</v>
      </c>
      <c r="Q347" s="223" t="str">
        <f>VLOOKUP($C347,従業員情報!$A$2:'従業員情報'!$AM$2000,6,FALSE)</f>
        <v>ＮＥＬ</v>
      </c>
      <c r="R347" s="22">
        <v>0</v>
      </c>
      <c r="S347" s="22"/>
      <c r="T347" s="22">
        <v>1</v>
      </c>
      <c r="U347" s="264">
        <v>342</v>
      </c>
    </row>
    <row r="348" spans="1:21">
      <c r="A348">
        <v>172</v>
      </c>
      <c r="B348" s="21">
        <v>187</v>
      </c>
      <c r="C348" s="22">
        <v>3194</v>
      </c>
      <c r="D348" s="22" t="s">
        <v>186</v>
      </c>
      <c r="E348" s="23" t="s">
        <v>15</v>
      </c>
      <c r="F348" s="24">
        <v>19810122</v>
      </c>
      <c r="G348" s="16">
        <f t="shared" si="66"/>
        <v>29608</v>
      </c>
      <c r="H348" s="2">
        <f t="shared" si="67"/>
        <v>41</v>
      </c>
      <c r="I348" s="17"/>
      <c r="J348" s="25">
        <v>20030321</v>
      </c>
      <c r="K348" s="16">
        <f t="shared" si="68"/>
        <v>37701</v>
      </c>
      <c r="L348" s="2">
        <f t="shared" si="69"/>
        <v>18</v>
      </c>
      <c r="M348" s="25" t="e">
        <f>VLOOKUP($C348,#REF!:#REF!,2,FALSE)</f>
        <v>#REF!</v>
      </c>
      <c r="N348" s="26"/>
      <c r="O348" s="27" t="s">
        <v>16</v>
      </c>
      <c r="P348" s="223">
        <f>VLOOKUP($C348,従業員情報!$A$2:'従業員情報'!$AM$2000,5,FALSE)</f>
        <v>80000</v>
      </c>
      <c r="Q348" s="223" t="str">
        <f>VLOOKUP($C348,従業員情報!$A$2:'従業員情報'!$AM$2000,6,FALSE)</f>
        <v>ＮＥＬ</v>
      </c>
      <c r="R348" s="22">
        <v>0</v>
      </c>
      <c r="S348" s="22"/>
      <c r="T348" s="22">
        <v>1</v>
      </c>
      <c r="U348" s="264">
        <v>343</v>
      </c>
    </row>
    <row r="349" spans="1:21">
      <c r="A349">
        <v>177</v>
      </c>
      <c r="B349" s="21">
        <v>193</v>
      </c>
      <c r="C349" s="22">
        <v>3211</v>
      </c>
      <c r="D349" s="22" t="s">
        <v>189</v>
      </c>
      <c r="E349" s="23" t="s">
        <v>15</v>
      </c>
      <c r="F349" s="24">
        <v>19810301</v>
      </c>
      <c r="G349" s="16">
        <f t="shared" si="66"/>
        <v>29646</v>
      </c>
      <c r="H349" s="2">
        <f t="shared" si="67"/>
        <v>41</v>
      </c>
      <c r="I349" s="17"/>
      <c r="J349" s="25">
        <v>20040322</v>
      </c>
      <c r="K349" s="16">
        <f t="shared" si="68"/>
        <v>38068</v>
      </c>
      <c r="L349" s="2">
        <f t="shared" si="69"/>
        <v>17</v>
      </c>
      <c r="M349" s="25" t="e">
        <f>VLOOKUP($C349,#REF!:#REF!,2,FALSE)</f>
        <v>#REF!</v>
      </c>
      <c r="N349" s="26"/>
      <c r="O349" s="27" t="s">
        <v>16</v>
      </c>
      <c r="P349" s="223">
        <f>VLOOKUP($C349,従業員情報!$A$2:'従業員情報'!$AM$2000,5,FALSE)</f>
        <v>80000</v>
      </c>
      <c r="Q349" s="223" t="str">
        <f>VLOOKUP($C349,従業員情報!$A$2:'従業員情報'!$AM$2000,6,FALSE)</f>
        <v>ＮＥＬ</v>
      </c>
      <c r="R349" s="22">
        <v>0</v>
      </c>
      <c r="S349" s="22"/>
      <c r="T349" s="22">
        <v>1</v>
      </c>
      <c r="U349" s="264">
        <v>344</v>
      </c>
    </row>
    <row r="350" spans="1:21">
      <c r="A350">
        <v>178</v>
      </c>
      <c r="B350" s="21">
        <v>194</v>
      </c>
      <c r="C350" s="22">
        <v>3212</v>
      </c>
      <c r="D350" s="22" t="s">
        <v>190</v>
      </c>
      <c r="E350" s="23" t="s">
        <v>15</v>
      </c>
      <c r="F350" s="24">
        <v>19811117</v>
      </c>
      <c r="G350" s="16">
        <f t="shared" si="66"/>
        <v>29907</v>
      </c>
      <c r="H350" s="2">
        <f t="shared" si="67"/>
        <v>40</v>
      </c>
      <c r="I350" s="17"/>
      <c r="J350" s="25">
        <v>20040322</v>
      </c>
      <c r="K350" s="16">
        <f t="shared" si="68"/>
        <v>38068</v>
      </c>
      <c r="L350" s="2">
        <f t="shared" si="69"/>
        <v>17</v>
      </c>
      <c r="M350" s="25" t="e">
        <f>VLOOKUP($C350,#REF!:#REF!,2,FALSE)</f>
        <v>#REF!</v>
      </c>
      <c r="N350" s="26"/>
      <c r="O350" s="27" t="s">
        <v>16</v>
      </c>
      <c r="P350" s="223">
        <f>VLOOKUP($C350,従業員情報!$A$2:'従業員情報'!$AM$2000,5,FALSE)</f>
        <v>80000</v>
      </c>
      <c r="Q350" s="223" t="str">
        <f>VLOOKUP($C350,従業員情報!$A$2:'従業員情報'!$AM$2000,6,FALSE)</f>
        <v>ＮＥＬ</v>
      </c>
      <c r="R350" s="22">
        <v>0</v>
      </c>
      <c r="S350" s="22"/>
      <c r="T350" s="22">
        <v>1</v>
      </c>
      <c r="U350" s="264">
        <v>345</v>
      </c>
    </row>
    <row r="351" spans="1:21">
      <c r="A351">
        <v>185</v>
      </c>
      <c r="B351" s="21">
        <v>202</v>
      </c>
      <c r="C351" s="22">
        <v>3230</v>
      </c>
      <c r="D351" s="22" t="s">
        <v>187</v>
      </c>
      <c r="E351" s="23" t="s">
        <v>15</v>
      </c>
      <c r="F351" s="24">
        <v>19820902</v>
      </c>
      <c r="G351" s="16">
        <f t="shared" si="66"/>
        <v>30196</v>
      </c>
      <c r="H351" s="2">
        <f t="shared" si="67"/>
        <v>39</v>
      </c>
      <c r="I351" s="17"/>
      <c r="J351" s="25">
        <v>20050321</v>
      </c>
      <c r="K351" s="16">
        <f t="shared" si="68"/>
        <v>38432</v>
      </c>
      <c r="L351" s="2">
        <f t="shared" si="69"/>
        <v>16</v>
      </c>
      <c r="M351" s="25" t="e">
        <f>VLOOKUP($C351,#REF!:#REF!,2,FALSE)</f>
        <v>#REF!</v>
      </c>
      <c r="N351" s="26"/>
      <c r="O351" s="27" t="s">
        <v>16</v>
      </c>
      <c r="P351" s="223">
        <f>VLOOKUP($C351,従業員情報!$A$2:'従業員情報'!$AM$2000,5,FALSE)</f>
        <v>80000</v>
      </c>
      <c r="Q351" s="223" t="str">
        <f>VLOOKUP($C351,従業員情報!$A$2:'従業員情報'!$AM$2000,6,FALSE)</f>
        <v>ＮＥＬ</v>
      </c>
      <c r="R351" s="22">
        <v>0</v>
      </c>
      <c r="S351" s="22"/>
      <c r="T351" s="22">
        <v>1</v>
      </c>
      <c r="U351" s="264">
        <v>346</v>
      </c>
    </row>
    <row r="352" spans="1:21">
      <c r="A352">
        <v>202</v>
      </c>
      <c r="B352" s="21">
        <v>221</v>
      </c>
      <c r="C352" s="22">
        <v>3276</v>
      </c>
      <c r="D352" s="22" t="s">
        <v>192</v>
      </c>
      <c r="E352" s="23" t="s">
        <v>15</v>
      </c>
      <c r="F352" s="24">
        <v>19830823</v>
      </c>
      <c r="G352" s="16">
        <f t="shared" si="66"/>
        <v>30551</v>
      </c>
      <c r="H352" s="2">
        <f t="shared" si="67"/>
        <v>38</v>
      </c>
      <c r="I352" s="17"/>
      <c r="J352" s="25">
        <v>20080321</v>
      </c>
      <c r="K352" s="16">
        <f t="shared" si="68"/>
        <v>39528</v>
      </c>
      <c r="L352" s="2">
        <f t="shared" si="69"/>
        <v>13</v>
      </c>
      <c r="M352" s="25" t="e">
        <f>VLOOKUP($C352,#REF!:#REF!,2,FALSE)</f>
        <v>#REF!</v>
      </c>
      <c r="N352" s="26"/>
      <c r="O352" s="27" t="s">
        <v>16</v>
      </c>
      <c r="P352" s="223">
        <f>VLOOKUP($C352,従業員情報!$A$2:'従業員情報'!$AM$2000,5,FALSE)</f>
        <v>80000</v>
      </c>
      <c r="Q352" s="223" t="str">
        <f>VLOOKUP($C352,従業員情報!$A$2:'従業員情報'!$AM$2000,6,FALSE)</f>
        <v>ＮＥＬ</v>
      </c>
      <c r="R352" s="22">
        <v>0</v>
      </c>
      <c r="S352" s="22"/>
      <c r="T352" s="22">
        <v>1</v>
      </c>
      <c r="U352" s="264">
        <v>347</v>
      </c>
    </row>
    <row r="353" spans="1:21">
      <c r="A353">
        <v>207</v>
      </c>
      <c r="B353" s="21">
        <v>231</v>
      </c>
      <c r="C353" s="22">
        <v>3304</v>
      </c>
      <c r="D353" s="22" t="s">
        <v>193</v>
      </c>
      <c r="E353" s="23" t="s">
        <v>15</v>
      </c>
      <c r="F353" s="24">
        <v>19861128</v>
      </c>
      <c r="G353" s="16">
        <f t="shared" si="66"/>
        <v>31744</v>
      </c>
      <c r="H353" s="2">
        <f t="shared" si="67"/>
        <v>35</v>
      </c>
      <c r="I353" s="17"/>
      <c r="J353" s="25">
        <v>20090323</v>
      </c>
      <c r="K353" s="16">
        <f t="shared" si="68"/>
        <v>39895</v>
      </c>
      <c r="L353" s="2">
        <f t="shared" si="69"/>
        <v>12</v>
      </c>
      <c r="M353" s="25" t="e">
        <f>VLOOKUP($C353,#REF!:#REF!,2,FALSE)</f>
        <v>#REF!</v>
      </c>
      <c r="N353" s="26"/>
      <c r="O353" s="27" t="s">
        <v>16</v>
      </c>
      <c r="P353" s="223">
        <f>VLOOKUP($C353,従業員情報!$A$2:'従業員情報'!$AM$2000,5,FALSE)</f>
        <v>80000</v>
      </c>
      <c r="Q353" s="223" t="str">
        <f>VLOOKUP($C353,従業員情報!$A$2:'従業員情報'!$AM$2000,6,FALSE)</f>
        <v>ＮＥＬ</v>
      </c>
      <c r="R353" s="22">
        <v>0</v>
      </c>
      <c r="S353" s="22"/>
      <c r="T353" s="22">
        <v>1</v>
      </c>
      <c r="U353" s="264">
        <v>348</v>
      </c>
    </row>
    <row r="354" spans="1:21">
      <c r="A354">
        <v>208</v>
      </c>
      <c r="B354" s="21">
        <v>232</v>
      </c>
      <c r="C354" s="22">
        <v>3305</v>
      </c>
      <c r="D354" s="22" t="s">
        <v>194</v>
      </c>
      <c r="E354" s="23" t="s">
        <v>15</v>
      </c>
      <c r="F354" s="24">
        <v>19860130</v>
      </c>
      <c r="G354" s="16">
        <f t="shared" si="66"/>
        <v>31442</v>
      </c>
      <c r="H354" s="2">
        <f t="shared" si="67"/>
        <v>36</v>
      </c>
      <c r="I354" s="17"/>
      <c r="J354" s="25">
        <v>20090323</v>
      </c>
      <c r="K354" s="16">
        <f t="shared" si="68"/>
        <v>39895</v>
      </c>
      <c r="L354" s="2">
        <f t="shared" si="69"/>
        <v>12</v>
      </c>
      <c r="M354" s="25" t="e">
        <f>VLOOKUP($C354,#REF!:#REF!,2,FALSE)</f>
        <v>#REF!</v>
      </c>
      <c r="N354" s="26"/>
      <c r="O354" s="27" t="s">
        <v>16</v>
      </c>
      <c r="P354" s="223">
        <f>VLOOKUP($C354,従業員情報!$A$2:'従業員情報'!$AM$2000,5,FALSE)</f>
        <v>80000</v>
      </c>
      <c r="Q354" s="223" t="str">
        <f>VLOOKUP($C354,従業員情報!$A$2:'従業員情報'!$AM$2000,6,FALSE)</f>
        <v>ＮＥＬ</v>
      </c>
      <c r="R354" s="22">
        <v>0</v>
      </c>
      <c r="S354" s="22"/>
      <c r="T354" s="22">
        <v>1</v>
      </c>
      <c r="U354" s="264">
        <v>349</v>
      </c>
    </row>
    <row r="355" spans="1:21">
      <c r="A355">
        <v>211</v>
      </c>
      <c r="B355" s="21">
        <v>237</v>
      </c>
      <c r="C355" s="22">
        <v>3316</v>
      </c>
      <c r="D355" s="22" t="s">
        <v>195</v>
      </c>
      <c r="E355" s="23" t="s">
        <v>15</v>
      </c>
      <c r="F355" s="24">
        <v>19870727</v>
      </c>
      <c r="G355" s="16">
        <f t="shared" si="66"/>
        <v>31985</v>
      </c>
      <c r="H355" s="2">
        <f t="shared" si="67"/>
        <v>34</v>
      </c>
      <c r="I355" s="17"/>
      <c r="J355" s="25">
        <v>20100321</v>
      </c>
      <c r="K355" s="16">
        <f t="shared" si="68"/>
        <v>40258</v>
      </c>
      <c r="L355" s="2">
        <f t="shared" si="69"/>
        <v>11</v>
      </c>
      <c r="M355" s="25" t="e">
        <f>VLOOKUP($C355,#REF!:#REF!,2,FALSE)</f>
        <v>#REF!</v>
      </c>
      <c r="N355" s="26"/>
      <c r="O355" s="27" t="s">
        <v>16</v>
      </c>
      <c r="P355" s="223">
        <f>VLOOKUP($C355,従業員情報!$A$2:'従業員情報'!$AM$2000,5,FALSE)</f>
        <v>80000</v>
      </c>
      <c r="Q355" s="223" t="str">
        <f>VLOOKUP($C355,従業員情報!$A$2:'従業員情報'!$AM$2000,6,FALSE)</f>
        <v>ＮＥＬ</v>
      </c>
      <c r="R355" s="22">
        <v>0</v>
      </c>
      <c r="S355" s="22"/>
      <c r="T355" s="22">
        <v>1</v>
      </c>
      <c r="U355" s="264">
        <v>350</v>
      </c>
    </row>
    <row r="356" spans="1:21">
      <c r="A356">
        <v>212</v>
      </c>
      <c r="B356" s="21">
        <v>238</v>
      </c>
      <c r="C356" s="22">
        <v>3318</v>
      </c>
      <c r="D356" s="22" t="s">
        <v>196</v>
      </c>
      <c r="E356" s="23" t="s">
        <v>15</v>
      </c>
      <c r="F356" s="24">
        <v>19880213</v>
      </c>
      <c r="G356" s="16">
        <f t="shared" si="66"/>
        <v>32186</v>
      </c>
      <c r="H356" s="2">
        <f t="shared" si="67"/>
        <v>34</v>
      </c>
      <c r="I356" s="17"/>
      <c r="J356" s="25">
        <v>20100321</v>
      </c>
      <c r="K356" s="16">
        <f t="shared" si="68"/>
        <v>40258</v>
      </c>
      <c r="L356" s="2">
        <f t="shared" si="69"/>
        <v>11</v>
      </c>
      <c r="M356" s="25" t="e">
        <f>VLOOKUP($C356,#REF!:#REF!,2,FALSE)</f>
        <v>#REF!</v>
      </c>
      <c r="N356" s="26"/>
      <c r="O356" s="27" t="s">
        <v>16</v>
      </c>
      <c r="P356" s="223">
        <f>VLOOKUP($C356,従業員情報!$A$2:'従業員情報'!$AM$2000,5,FALSE)</f>
        <v>80000</v>
      </c>
      <c r="Q356" s="223" t="str">
        <f>VLOOKUP($C356,従業員情報!$A$2:'従業員情報'!$AM$2000,6,FALSE)</f>
        <v>ＮＥＬ</v>
      </c>
      <c r="R356" s="22">
        <v>0</v>
      </c>
      <c r="S356" s="22"/>
      <c r="T356" s="22">
        <v>1</v>
      </c>
      <c r="U356" s="264">
        <v>351</v>
      </c>
    </row>
    <row r="357" spans="1:21">
      <c r="A357">
        <v>216</v>
      </c>
      <c r="B357" s="21">
        <v>243</v>
      </c>
      <c r="C357" s="22">
        <v>3330</v>
      </c>
      <c r="D357" s="22" t="s">
        <v>197</v>
      </c>
      <c r="E357" s="23" t="s">
        <v>15</v>
      </c>
      <c r="F357" s="24">
        <v>19890202</v>
      </c>
      <c r="G357" s="16">
        <f t="shared" si="66"/>
        <v>32541</v>
      </c>
      <c r="H357" s="2">
        <f t="shared" si="67"/>
        <v>33</v>
      </c>
      <c r="I357" s="17"/>
      <c r="J357" s="25">
        <v>20110321</v>
      </c>
      <c r="K357" s="16">
        <f t="shared" si="68"/>
        <v>40623</v>
      </c>
      <c r="L357" s="2">
        <f t="shared" si="69"/>
        <v>10</v>
      </c>
      <c r="M357" s="25" t="e">
        <f>VLOOKUP($C357,#REF!:#REF!,2,FALSE)</f>
        <v>#REF!</v>
      </c>
      <c r="N357" s="26"/>
      <c r="O357" s="27" t="s">
        <v>16</v>
      </c>
      <c r="P357" s="223">
        <f>VLOOKUP($C357,従業員情報!$A$2:'従業員情報'!$AM$2000,5,FALSE)</f>
        <v>80000</v>
      </c>
      <c r="Q357" s="223" t="str">
        <f>VLOOKUP($C357,従業員情報!$A$2:'従業員情報'!$AM$2000,6,FALSE)</f>
        <v>ＮＥＬ</v>
      </c>
      <c r="R357" s="22">
        <v>0</v>
      </c>
      <c r="S357" s="22"/>
      <c r="T357" s="22">
        <v>1</v>
      </c>
      <c r="U357" s="264">
        <v>352</v>
      </c>
    </row>
    <row r="358" spans="1:21">
      <c r="A358">
        <v>218</v>
      </c>
      <c r="B358" s="21">
        <v>245</v>
      </c>
      <c r="C358" s="22">
        <v>3332</v>
      </c>
      <c r="D358" s="22" t="s">
        <v>206</v>
      </c>
      <c r="E358" s="23" t="s">
        <v>15</v>
      </c>
      <c r="F358" s="24">
        <v>19880826</v>
      </c>
      <c r="G358" s="16">
        <f t="shared" si="66"/>
        <v>32381</v>
      </c>
      <c r="H358" s="2">
        <f t="shared" si="67"/>
        <v>33</v>
      </c>
      <c r="I358" s="17"/>
      <c r="J358" s="25">
        <v>20110321</v>
      </c>
      <c r="K358" s="16">
        <f t="shared" si="68"/>
        <v>40623</v>
      </c>
      <c r="L358" s="2">
        <f t="shared" si="69"/>
        <v>10</v>
      </c>
      <c r="M358" s="25" t="e">
        <f>VLOOKUP($C358,#REF!:#REF!,2,FALSE)</f>
        <v>#REF!</v>
      </c>
      <c r="N358" s="26"/>
      <c r="O358" s="27" t="s">
        <v>16</v>
      </c>
      <c r="P358" s="223">
        <f>VLOOKUP($C358,従業員情報!$A$2:'従業員情報'!$AM$2000,5,FALSE)</f>
        <v>80000</v>
      </c>
      <c r="Q358" s="223" t="str">
        <f>VLOOKUP($C358,従業員情報!$A$2:'従業員情報'!$AM$2000,6,FALSE)</f>
        <v>ＮＥＬ</v>
      </c>
      <c r="R358" s="22">
        <v>0</v>
      </c>
      <c r="S358" s="22"/>
      <c r="T358" s="22">
        <v>2</v>
      </c>
      <c r="U358" s="264">
        <v>353</v>
      </c>
    </row>
    <row r="359" spans="1:21">
      <c r="A359">
        <v>220</v>
      </c>
      <c r="B359" s="21">
        <v>247</v>
      </c>
      <c r="C359" s="22">
        <v>3335</v>
      </c>
      <c r="D359" s="22" t="s">
        <v>198</v>
      </c>
      <c r="E359" s="23" t="s">
        <v>15</v>
      </c>
      <c r="F359" s="24">
        <v>19870404</v>
      </c>
      <c r="G359" s="16">
        <f t="shared" si="66"/>
        <v>31871</v>
      </c>
      <c r="H359" s="2">
        <f t="shared" si="67"/>
        <v>34</v>
      </c>
      <c r="I359" s="17"/>
      <c r="J359" s="25">
        <v>20110321</v>
      </c>
      <c r="K359" s="16">
        <f t="shared" si="68"/>
        <v>40623</v>
      </c>
      <c r="L359" s="2">
        <f t="shared" si="69"/>
        <v>10</v>
      </c>
      <c r="M359" s="25" t="e">
        <f>VLOOKUP($C359,#REF!:#REF!,2,FALSE)</f>
        <v>#REF!</v>
      </c>
      <c r="N359" s="26"/>
      <c r="O359" s="27" t="s">
        <v>16</v>
      </c>
      <c r="P359" s="223">
        <f>VLOOKUP($C359,従業員情報!$A$2:'従業員情報'!$AM$2000,5,FALSE)</f>
        <v>80000</v>
      </c>
      <c r="Q359" s="223" t="str">
        <f>VLOOKUP($C359,従業員情報!$A$2:'従業員情報'!$AM$2000,6,FALSE)</f>
        <v>ＮＥＬ</v>
      </c>
      <c r="R359" s="22">
        <v>0</v>
      </c>
      <c r="S359" s="22"/>
      <c r="T359" s="22">
        <v>1</v>
      </c>
      <c r="U359" s="264">
        <v>354</v>
      </c>
    </row>
    <row r="360" spans="1:21">
      <c r="A360">
        <v>221</v>
      </c>
      <c r="B360" s="21">
        <v>248</v>
      </c>
      <c r="C360" s="22">
        <v>3336</v>
      </c>
      <c r="D360" s="22" t="s">
        <v>199</v>
      </c>
      <c r="E360" s="23" t="s">
        <v>15</v>
      </c>
      <c r="F360" s="24">
        <v>19880801</v>
      </c>
      <c r="G360" s="16">
        <f t="shared" si="66"/>
        <v>32356</v>
      </c>
      <c r="H360" s="2">
        <f t="shared" si="67"/>
        <v>33</v>
      </c>
      <c r="I360" s="17"/>
      <c r="J360" s="25">
        <v>20110321</v>
      </c>
      <c r="K360" s="16">
        <f t="shared" si="68"/>
        <v>40623</v>
      </c>
      <c r="L360" s="2">
        <f t="shared" si="69"/>
        <v>10</v>
      </c>
      <c r="M360" s="25" t="e">
        <f>VLOOKUP($C360,#REF!:#REF!,2,FALSE)</f>
        <v>#REF!</v>
      </c>
      <c r="N360" s="26"/>
      <c r="O360" s="27" t="s">
        <v>16</v>
      </c>
      <c r="P360" s="223">
        <f>VLOOKUP($C360,従業員情報!$A$2:'従業員情報'!$AM$2000,5,FALSE)</f>
        <v>80000</v>
      </c>
      <c r="Q360" s="223" t="str">
        <f>VLOOKUP($C360,従業員情報!$A$2:'従業員情報'!$AM$2000,6,FALSE)</f>
        <v>ＮＥＬ</v>
      </c>
      <c r="R360" s="22">
        <v>0</v>
      </c>
      <c r="S360" s="22"/>
      <c r="T360" s="22">
        <v>1</v>
      </c>
      <c r="U360" s="264">
        <v>355</v>
      </c>
    </row>
    <row r="361" spans="1:21">
      <c r="A361">
        <v>226</v>
      </c>
      <c r="B361" s="21">
        <v>258</v>
      </c>
      <c r="C361" s="22">
        <v>3357</v>
      </c>
      <c r="D361" s="22" t="s">
        <v>200</v>
      </c>
      <c r="E361" s="23" t="s">
        <v>15</v>
      </c>
      <c r="F361" s="24">
        <v>19871130</v>
      </c>
      <c r="G361" s="16">
        <f t="shared" si="66"/>
        <v>32111</v>
      </c>
      <c r="H361" s="2">
        <f t="shared" si="67"/>
        <v>34</v>
      </c>
      <c r="I361" s="17"/>
      <c r="J361" s="25">
        <v>20120321</v>
      </c>
      <c r="K361" s="16">
        <f t="shared" si="68"/>
        <v>40989</v>
      </c>
      <c r="L361" s="2">
        <f t="shared" si="69"/>
        <v>9</v>
      </c>
      <c r="M361" s="25" t="e">
        <f>VLOOKUP($C361,#REF!:#REF!,2,FALSE)</f>
        <v>#REF!</v>
      </c>
      <c r="N361" s="26"/>
      <c r="O361" s="27" t="s">
        <v>60</v>
      </c>
      <c r="P361" s="223">
        <f>VLOOKUP($C361,従業員情報!$A$2:'従業員情報'!$AM$2000,5,FALSE)</f>
        <v>80000</v>
      </c>
      <c r="Q361" s="223" t="str">
        <f>VLOOKUP($C361,従業員情報!$A$2:'従業員情報'!$AM$2000,6,FALSE)</f>
        <v>ＮＥＬ</v>
      </c>
      <c r="R361" s="22">
        <v>0</v>
      </c>
      <c r="S361" s="22"/>
      <c r="T361" s="22">
        <v>1</v>
      </c>
      <c r="U361" s="264">
        <v>356</v>
      </c>
    </row>
    <row r="362" spans="1:21">
      <c r="A362">
        <v>228</v>
      </c>
      <c r="B362" s="21">
        <v>260</v>
      </c>
      <c r="C362" s="22">
        <v>3359</v>
      </c>
      <c r="D362" s="22" t="s">
        <v>201</v>
      </c>
      <c r="E362" s="23" t="s">
        <v>15</v>
      </c>
      <c r="F362" s="24">
        <v>19900113</v>
      </c>
      <c r="G362" s="16">
        <f t="shared" si="66"/>
        <v>32886</v>
      </c>
      <c r="H362" s="2">
        <f t="shared" si="67"/>
        <v>32</v>
      </c>
      <c r="I362" s="17"/>
      <c r="J362" s="25">
        <v>20120321</v>
      </c>
      <c r="K362" s="16">
        <f t="shared" si="68"/>
        <v>40989</v>
      </c>
      <c r="L362" s="2">
        <f t="shared" si="69"/>
        <v>9</v>
      </c>
      <c r="M362" s="25" t="e">
        <f>VLOOKUP($C362,#REF!:#REF!,2,FALSE)</f>
        <v>#REF!</v>
      </c>
      <c r="N362" s="26"/>
      <c r="O362" s="27" t="s">
        <v>16</v>
      </c>
      <c r="P362" s="223">
        <f>VLOOKUP($C362,従業員情報!$A$2:'従業員情報'!$AM$2000,5,FALSE)</f>
        <v>80000</v>
      </c>
      <c r="Q362" s="223" t="str">
        <f>VLOOKUP($C362,従業員情報!$A$2:'従業員情報'!$AM$2000,6,FALSE)</f>
        <v>ＮＥＬ</v>
      </c>
      <c r="R362" s="22">
        <v>0</v>
      </c>
      <c r="S362" s="22"/>
      <c r="T362" s="22">
        <v>1</v>
      </c>
      <c r="U362" s="264">
        <v>357</v>
      </c>
    </row>
    <row r="363" spans="1:21">
      <c r="A363">
        <v>239</v>
      </c>
      <c r="B363" s="21">
        <v>279</v>
      </c>
      <c r="C363" s="22">
        <v>3391</v>
      </c>
      <c r="D363" s="22" t="s">
        <v>203</v>
      </c>
      <c r="E363" s="23" t="s">
        <v>15</v>
      </c>
      <c r="F363" s="24">
        <v>19900828</v>
      </c>
      <c r="G363" s="16">
        <f t="shared" si="66"/>
        <v>33113</v>
      </c>
      <c r="H363" s="2">
        <f t="shared" si="67"/>
        <v>31</v>
      </c>
      <c r="I363" s="17"/>
      <c r="J363" s="25">
        <v>20130321</v>
      </c>
      <c r="K363" s="16">
        <f t="shared" si="68"/>
        <v>41354</v>
      </c>
      <c r="L363" s="2">
        <f t="shared" si="69"/>
        <v>8</v>
      </c>
      <c r="M363" s="25" t="e">
        <f>VLOOKUP($C363,#REF!:#REF!,2,FALSE)</f>
        <v>#REF!</v>
      </c>
      <c r="N363" s="26"/>
      <c r="O363" s="27" t="s">
        <v>16</v>
      </c>
      <c r="P363" s="223">
        <f>VLOOKUP($C363,従業員情報!$A$2:'従業員情報'!$AM$2000,5,FALSE)</f>
        <v>80000</v>
      </c>
      <c r="Q363" s="223" t="str">
        <f>VLOOKUP($C363,従業員情報!$A$2:'従業員情報'!$AM$2000,6,FALSE)</f>
        <v>ＮＥＬ</v>
      </c>
      <c r="R363" s="22">
        <v>0</v>
      </c>
      <c r="S363" s="22"/>
      <c r="T363" s="22">
        <v>1</v>
      </c>
      <c r="U363" s="264">
        <v>358</v>
      </c>
    </row>
    <row r="364" spans="1:21">
      <c r="A364">
        <v>245</v>
      </c>
      <c r="B364" s="21">
        <v>288</v>
      </c>
      <c r="C364" s="22">
        <v>3409</v>
      </c>
      <c r="D364" s="22" t="s">
        <v>207</v>
      </c>
      <c r="E364" s="23" t="s">
        <v>15</v>
      </c>
      <c r="F364" s="24">
        <v>19890511</v>
      </c>
      <c r="G364" s="16">
        <f t="shared" si="66"/>
        <v>32639</v>
      </c>
      <c r="H364" s="2">
        <f t="shared" si="67"/>
        <v>32</v>
      </c>
      <c r="I364" s="17"/>
      <c r="J364" s="25">
        <v>20140321</v>
      </c>
      <c r="K364" s="16">
        <f t="shared" si="68"/>
        <v>41719</v>
      </c>
      <c r="L364" s="2">
        <f t="shared" si="69"/>
        <v>7</v>
      </c>
      <c r="M364" s="25" t="e">
        <f>VLOOKUP($C364,#REF!:#REF!,2,FALSE)</f>
        <v>#REF!</v>
      </c>
      <c r="N364" s="26"/>
      <c r="O364" s="27" t="s">
        <v>60</v>
      </c>
      <c r="P364" s="223">
        <f>VLOOKUP($C364,従業員情報!$A$2:'従業員情報'!$AM$2000,5,FALSE)</f>
        <v>80000</v>
      </c>
      <c r="Q364" s="223" t="str">
        <f>VLOOKUP($C364,従業員情報!$A$2:'従業員情報'!$AM$2000,6,FALSE)</f>
        <v>ＮＥＬ</v>
      </c>
      <c r="R364" s="22">
        <v>0</v>
      </c>
      <c r="S364" s="22"/>
      <c r="T364" s="22">
        <v>2</v>
      </c>
      <c r="U364" s="264">
        <v>359</v>
      </c>
    </row>
    <row r="365" spans="1:21">
      <c r="A365">
        <v>246</v>
      </c>
      <c r="B365" s="21">
        <v>289</v>
      </c>
      <c r="C365" s="22">
        <v>3410</v>
      </c>
      <c r="D365" s="22" t="s">
        <v>208</v>
      </c>
      <c r="E365" s="23" t="s">
        <v>15</v>
      </c>
      <c r="F365" s="24">
        <v>19910720</v>
      </c>
      <c r="G365" s="16">
        <f t="shared" si="66"/>
        <v>33439</v>
      </c>
      <c r="H365" s="2">
        <f t="shared" si="67"/>
        <v>30</v>
      </c>
      <c r="I365" s="17"/>
      <c r="J365" s="25">
        <v>20140321</v>
      </c>
      <c r="K365" s="16">
        <f t="shared" si="68"/>
        <v>41719</v>
      </c>
      <c r="L365" s="2">
        <f t="shared" si="69"/>
        <v>7</v>
      </c>
      <c r="M365" s="25" t="e">
        <f>VLOOKUP($C365,#REF!:#REF!,2,FALSE)</f>
        <v>#REF!</v>
      </c>
      <c r="N365" s="26"/>
      <c r="O365" s="27" t="s">
        <v>16</v>
      </c>
      <c r="P365" s="223">
        <f>VLOOKUP($C365,従業員情報!$A$2:'従業員情報'!$AM$2000,5,FALSE)</f>
        <v>80000</v>
      </c>
      <c r="Q365" s="223" t="str">
        <f>VLOOKUP($C365,従業員情報!$A$2:'従業員情報'!$AM$2000,6,FALSE)</f>
        <v>ＮＥＬ</v>
      </c>
      <c r="R365" s="22">
        <v>0</v>
      </c>
      <c r="S365" s="22"/>
      <c r="T365" s="22">
        <v>2</v>
      </c>
      <c r="U365" s="264">
        <v>360</v>
      </c>
    </row>
    <row r="366" spans="1:21">
      <c r="A366">
        <v>254</v>
      </c>
      <c r="B366" s="21">
        <v>299</v>
      </c>
      <c r="C366" s="22">
        <v>3429</v>
      </c>
      <c r="D366" s="22" t="s">
        <v>209</v>
      </c>
      <c r="E366" s="23" t="s">
        <v>15</v>
      </c>
      <c r="F366" s="24">
        <v>19921212</v>
      </c>
      <c r="G366" s="16">
        <f t="shared" si="66"/>
        <v>33950</v>
      </c>
      <c r="H366" s="2">
        <f t="shared" si="67"/>
        <v>29</v>
      </c>
      <c r="I366" s="17"/>
      <c r="J366" s="25">
        <v>20150401</v>
      </c>
      <c r="K366" s="16">
        <f t="shared" si="68"/>
        <v>42095</v>
      </c>
      <c r="L366" s="2">
        <f t="shared" si="69"/>
        <v>6</v>
      </c>
      <c r="M366" s="25" t="e">
        <f>VLOOKUP($C366,#REF!:#REF!,2,FALSE)</f>
        <v>#REF!</v>
      </c>
      <c r="N366" s="26"/>
      <c r="O366" s="27" t="s">
        <v>16</v>
      </c>
      <c r="P366" s="223">
        <f>VLOOKUP($C366,従業員情報!$A$2:'従業員情報'!$AM$2000,5,FALSE)</f>
        <v>80000</v>
      </c>
      <c r="Q366" s="223" t="str">
        <f>VLOOKUP($C366,従業員情報!$A$2:'従業員情報'!$AM$2000,6,FALSE)</f>
        <v>ＮＥＬ</v>
      </c>
      <c r="R366" s="22">
        <v>0</v>
      </c>
      <c r="S366" s="22"/>
      <c r="T366" s="22">
        <v>2</v>
      </c>
      <c r="U366" s="264">
        <v>361</v>
      </c>
    </row>
    <row r="367" spans="1:21">
      <c r="A367">
        <v>255</v>
      </c>
      <c r="B367" s="21">
        <v>300</v>
      </c>
      <c r="C367" s="22">
        <v>3430</v>
      </c>
      <c r="D367" s="22" t="s">
        <v>210</v>
      </c>
      <c r="E367" s="23" t="s">
        <v>15</v>
      </c>
      <c r="F367" s="24">
        <v>19930218</v>
      </c>
      <c r="G367" s="16">
        <f t="shared" si="66"/>
        <v>34018</v>
      </c>
      <c r="H367" s="2">
        <f t="shared" si="67"/>
        <v>29</v>
      </c>
      <c r="I367" s="17"/>
      <c r="J367" s="25">
        <v>20150401</v>
      </c>
      <c r="K367" s="16">
        <f t="shared" si="68"/>
        <v>42095</v>
      </c>
      <c r="L367" s="2">
        <f t="shared" si="69"/>
        <v>6</v>
      </c>
      <c r="M367" s="25" t="e">
        <f>VLOOKUP($C367,#REF!:#REF!,2,FALSE)</f>
        <v>#REF!</v>
      </c>
      <c r="N367" s="26"/>
      <c r="O367" s="27" t="s">
        <v>16</v>
      </c>
      <c r="P367" s="223">
        <f>VLOOKUP($C367,従業員情報!$A$2:'従業員情報'!$AM$2000,5,FALSE)</f>
        <v>80000</v>
      </c>
      <c r="Q367" s="223" t="str">
        <f>VLOOKUP($C367,従業員情報!$A$2:'従業員情報'!$AM$2000,6,FALSE)</f>
        <v>ＮＥＬ</v>
      </c>
      <c r="R367" s="22">
        <v>0</v>
      </c>
      <c r="S367" s="22"/>
      <c r="T367" s="22">
        <v>2</v>
      </c>
      <c r="U367" s="264">
        <v>362</v>
      </c>
    </row>
    <row r="368" spans="1:21">
      <c r="A368">
        <v>272</v>
      </c>
      <c r="B368" s="37">
        <v>330</v>
      </c>
      <c r="C368" s="38">
        <v>3472</v>
      </c>
      <c r="D368" s="38" t="s">
        <v>212</v>
      </c>
      <c r="E368" s="50" t="s">
        <v>15</v>
      </c>
      <c r="F368" s="19">
        <v>19941001</v>
      </c>
      <c r="G368" s="16">
        <f t="shared" si="66"/>
        <v>34608</v>
      </c>
      <c r="H368" s="2">
        <f t="shared" si="67"/>
        <v>27</v>
      </c>
      <c r="I368" s="17"/>
      <c r="J368" s="19">
        <v>20170403</v>
      </c>
      <c r="K368" s="16">
        <f t="shared" si="68"/>
        <v>42828</v>
      </c>
      <c r="L368" s="2">
        <f t="shared" si="69"/>
        <v>4</v>
      </c>
      <c r="M368" s="19" t="e">
        <f>VLOOKUP($C368,#REF!:#REF!,2,FALSE)</f>
        <v>#REF!</v>
      </c>
      <c r="N368" s="19"/>
      <c r="O368" s="40">
        <v>8</v>
      </c>
      <c r="P368" s="223">
        <f>VLOOKUP($C368,従業員情報!$A$2:'従業員情報'!$AM$2000,5,FALSE)</f>
        <v>80000</v>
      </c>
      <c r="Q368" s="223" t="str">
        <f>VLOOKUP($C368,従業員情報!$A$2:'従業員情報'!$AM$2000,6,FALSE)</f>
        <v>ＮＥＬ</v>
      </c>
      <c r="R368" s="37">
        <v>0</v>
      </c>
      <c r="S368" s="37"/>
      <c r="T368" s="37">
        <v>2</v>
      </c>
      <c r="U368" s="264">
        <v>363</v>
      </c>
    </row>
    <row r="369" spans="1:21">
      <c r="A369">
        <v>280</v>
      </c>
      <c r="B369" s="37">
        <v>342</v>
      </c>
      <c r="C369" s="38">
        <v>3488</v>
      </c>
      <c r="D369" s="38" t="s">
        <v>213</v>
      </c>
      <c r="E369" s="50" t="s">
        <v>15</v>
      </c>
      <c r="F369" s="19">
        <v>19950323</v>
      </c>
      <c r="G369" s="16">
        <f t="shared" si="66"/>
        <v>34781</v>
      </c>
      <c r="H369" s="2">
        <f t="shared" si="67"/>
        <v>26</v>
      </c>
      <c r="I369" s="17"/>
      <c r="J369" s="19">
        <v>20180402</v>
      </c>
      <c r="K369" s="16">
        <f t="shared" si="68"/>
        <v>43192</v>
      </c>
      <c r="L369" s="2">
        <f t="shared" si="69"/>
        <v>3</v>
      </c>
      <c r="M369" s="19" t="e">
        <f>VLOOKUP($C369,#REF!:#REF!,2,FALSE)</f>
        <v>#REF!</v>
      </c>
      <c r="N369" s="19"/>
      <c r="O369" s="40">
        <v>8</v>
      </c>
      <c r="P369" s="223">
        <f>VLOOKUP($C369,従業員情報!$A$2:'従業員情報'!$AM$2000,5,FALSE)</f>
        <v>80000</v>
      </c>
      <c r="Q369" s="223" t="str">
        <f>VLOOKUP($C369,従業員情報!$A$2:'従業員情報'!$AM$2000,6,FALSE)</f>
        <v>ＮＥＬ</v>
      </c>
      <c r="R369" s="37">
        <v>0</v>
      </c>
      <c r="S369" s="37"/>
      <c r="T369" s="37">
        <v>2</v>
      </c>
      <c r="U369" s="264">
        <v>364</v>
      </c>
    </row>
    <row r="370" spans="1:21" ht="18.75" customHeight="1">
      <c r="A370">
        <v>288</v>
      </c>
      <c r="B370" s="12">
        <v>353</v>
      </c>
      <c r="C370" s="13">
        <v>3502</v>
      </c>
      <c r="D370" s="13" t="s">
        <v>215</v>
      </c>
      <c r="E370" s="14" t="s">
        <v>15</v>
      </c>
      <c r="F370" s="15">
        <v>19951027</v>
      </c>
      <c r="G370" s="16">
        <f t="shared" si="66"/>
        <v>34999</v>
      </c>
      <c r="H370" s="2">
        <f t="shared" si="67"/>
        <v>26</v>
      </c>
      <c r="I370" s="17"/>
      <c r="J370" s="18">
        <v>20190401</v>
      </c>
      <c r="K370" s="16">
        <f t="shared" si="68"/>
        <v>43556</v>
      </c>
      <c r="L370" s="2">
        <f t="shared" si="69"/>
        <v>2</v>
      </c>
      <c r="M370" s="19" t="e">
        <f>VLOOKUP($C370,#REF!:#REF!,2,FALSE)</f>
        <v>#REF!</v>
      </c>
      <c r="N370" s="19"/>
      <c r="O370" s="20">
        <v>8</v>
      </c>
      <c r="P370" s="223">
        <f>VLOOKUP($C370,従業員情報!$A$2:'従業員情報'!$AM$2000,5,FALSE)</f>
        <v>80000</v>
      </c>
      <c r="Q370" s="223" t="str">
        <f>VLOOKUP($C370,従業員情報!$A$2:'従業員情報'!$AM$2000,6,FALSE)</f>
        <v>ＮＥＬ</v>
      </c>
      <c r="R370" s="13">
        <v>0</v>
      </c>
      <c r="S370" s="13"/>
      <c r="T370" s="13">
        <v>2</v>
      </c>
      <c r="U370" s="264">
        <v>366</v>
      </c>
    </row>
    <row r="371" spans="1:21">
      <c r="A371">
        <v>295</v>
      </c>
      <c r="B371" s="21">
        <v>363</v>
      </c>
      <c r="C371" s="22">
        <v>3516</v>
      </c>
      <c r="D371" s="22" t="s">
        <v>216</v>
      </c>
      <c r="E371" s="23" t="s">
        <v>678</v>
      </c>
      <c r="F371" s="24">
        <v>19960822</v>
      </c>
      <c r="G371" s="16">
        <f t="shared" si="66"/>
        <v>35299</v>
      </c>
      <c r="H371" s="2">
        <f t="shared" si="67"/>
        <v>25</v>
      </c>
      <c r="I371" s="17"/>
      <c r="J371" s="25">
        <v>20200401</v>
      </c>
      <c r="K371" s="16">
        <f t="shared" si="68"/>
        <v>43922</v>
      </c>
      <c r="L371" s="2">
        <f t="shared" si="69"/>
        <v>1</v>
      </c>
      <c r="M371" s="25" t="e">
        <f>VLOOKUP($C371,#REF!:#REF!,2,FALSE)</f>
        <v>#REF!</v>
      </c>
      <c r="N371" s="26"/>
      <c r="O371" s="27">
        <v>8</v>
      </c>
      <c r="P371" s="223">
        <f>VLOOKUP($C371,従業員情報!$A$2:'従業員情報'!$AM$2000,5,FALSE)</f>
        <v>80000</v>
      </c>
      <c r="Q371" s="223" t="str">
        <f>VLOOKUP($C371,従業員情報!$A$2:'従業員情報'!$AM$2000,6,FALSE)</f>
        <v>ＮＥＬ</v>
      </c>
      <c r="R371" s="22">
        <v>1</v>
      </c>
      <c r="S371" s="22" t="s">
        <v>679</v>
      </c>
      <c r="T371" s="22">
        <v>2</v>
      </c>
      <c r="U371" s="264">
        <v>367</v>
      </c>
    </row>
    <row r="372" spans="1:21">
      <c r="A372">
        <v>5</v>
      </c>
      <c r="B372" s="21">
        <v>8</v>
      </c>
      <c r="C372" s="22">
        <v>1308</v>
      </c>
      <c r="D372" s="22" t="s">
        <v>223</v>
      </c>
      <c r="E372" s="23" t="s">
        <v>15</v>
      </c>
      <c r="F372" s="24">
        <v>19730727</v>
      </c>
      <c r="G372" s="16">
        <f t="shared" si="66"/>
        <v>26872</v>
      </c>
      <c r="H372" s="2">
        <f t="shared" si="67"/>
        <v>48</v>
      </c>
      <c r="I372" s="17"/>
      <c r="J372" s="25">
        <v>20000321</v>
      </c>
      <c r="K372" s="16">
        <f t="shared" si="68"/>
        <v>36606</v>
      </c>
      <c r="L372" s="2">
        <f t="shared" si="69"/>
        <v>21</v>
      </c>
      <c r="M372" s="25" t="e">
        <f>VLOOKUP($C372,#REF!:#REF!,2,FALSE)</f>
        <v>#REF!</v>
      </c>
      <c r="N372" s="26"/>
      <c r="O372" s="27" t="s">
        <v>16</v>
      </c>
      <c r="P372" s="223">
        <f>VLOOKUP($C372,従業員情報!$A$2:'従業員情報'!$AM$2000,5,FALSE)</f>
        <v>90000</v>
      </c>
      <c r="Q372" s="223" t="str">
        <f>VLOOKUP($C372,従業員情報!$A$2:'従業員情報'!$AM$2000,6,FALSE)</f>
        <v>資材部</v>
      </c>
      <c r="R372" s="22">
        <v>0</v>
      </c>
      <c r="S372" s="22"/>
      <c r="T372" s="22">
        <v>1</v>
      </c>
      <c r="U372" s="264">
        <v>368</v>
      </c>
    </row>
    <row r="373" spans="1:21">
      <c r="A373">
        <v>47</v>
      </c>
      <c r="B373" s="21"/>
      <c r="C373" s="271">
        <v>1411</v>
      </c>
      <c r="D373" s="271" t="s">
        <v>229</v>
      </c>
      <c r="E373" s="23" t="s">
        <v>678</v>
      </c>
      <c r="F373" s="24">
        <v>19830817</v>
      </c>
      <c r="G373" s="16">
        <f t="shared" si="66"/>
        <v>30545</v>
      </c>
      <c r="H373" s="2">
        <f t="shared" si="67"/>
        <v>38</v>
      </c>
      <c r="I373" s="17"/>
      <c r="J373" s="25">
        <v>20210401</v>
      </c>
      <c r="K373" s="16">
        <f t="shared" si="68"/>
        <v>44287</v>
      </c>
      <c r="L373" s="2">
        <f t="shared" si="69"/>
        <v>0</v>
      </c>
      <c r="M373" s="25" t="e">
        <f>VLOOKUP($C373,#REF!:#REF!,2,FALSE)</f>
        <v>#REF!</v>
      </c>
      <c r="N373" s="26"/>
      <c r="O373" s="27" t="s">
        <v>35</v>
      </c>
      <c r="P373" s="223">
        <f>VLOOKUP($C373,従業員情報!$A$2:'従業員情報'!$AM$2000,5,FALSE)</f>
        <v>90000</v>
      </c>
      <c r="Q373" s="223" t="str">
        <f>VLOOKUP($C373,従業員情報!$A$2:'従業員情報'!$AM$2000,6,FALSE)</f>
        <v>資材部</v>
      </c>
      <c r="R373" s="271"/>
      <c r="S373" s="271"/>
      <c r="T373" s="271"/>
      <c r="U373" s="264">
        <v>369</v>
      </c>
    </row>
    <row r="374" spans="1:21">
      <c r="A374">
        <v>125</v>
      </c>
      <c r="B374" s="21">
        <v>131</v>
      </c>
      <c r="C374" s="271">
        <v>3007</v>
      </c>
      <c r="D374" s="271" t="s">
        <v>48</v>
      </c>
      <c r="E374" s="23" t="s">
        <v>15</v>
      </c>
      <c r="F374" s="24">
        <v>19730203</v>
      </c>
      <c r="G374" s="16">
        <f t="shared" si="66"/>
        <v>26698</v>
      </c>
      <c r="H374" s="2">
        <f t="shared" si="67"/>
        <v>49</v>
      </c>
      <c r="I374" s="17"/>
      <c r="J374" s="25">
        <v>19950322</v>
      </c>
      <c r="K374" s="16">
        <f t="shared" si="68"/>
        <v>34780</v>
      </c>
      <c r="L374" s="2">
        <f t="shared" si="69"/>
        <v>26</v>
      </c>
      <c r="M374" s="25" t="e">
        <f>VLOOKUP($C374,#REF!:#REF!,2,FALSE)</f>
        <v>#REF!</v>
      </c>
      <c r="N374" s="19"/>
      <c r="O374" s="27" t="s">
        <v>16</v>
      </c>
      <c r="P374" s="223">
        <f>VLOOKUP($C374,従業員情報!$A$2:'従業員情報'!$AM$2000,5,FALSE)</f>
        <v>90000</v>
      </c>
      <c r="Q374" s="223" t="str">
        <f>VLOOKUP($C374,従業員情報!$A$2:'従業員情報'!$AM$2000,6,FALSE)</f>
        <v>資材部</v>
      </c>
      <c r="R374" s="271">
        <v>0</v>
      </c>
      <c r="S374" s="271"/>
      <c r="T374" s="271">
        <v>1</v>
      </c>
      <c r="U374" s="264">
        <v>370</v>
      </c>
    </row>
    <row r="375" spans="1:21">
      <c r="A375">
        <v>186</v>
      </c>
      <c r="B375" s="21">
        <v>203</v>
      </c>
      <c r="C375" s="271">
        <v>3231</v>
      </c>
      <c r="D375" s="271" t="s">
        <v>226</v>
      </c>
      <c r="E375" s="23" t="s">
        <v>15</v>
      </c>
      <c r="F375" s="24">
        <v>19821116</v>
      </c>
      <c r="G375" s="16">
        <f t="shared" si="66"/>
        <v>30271</v>
      </c>
      <c r="H375" s="2">
        <f t="shared" si="67"/>
        <v>39</v>
      </c>
      <c r="I375" s="17"/>
      <c r="J375" s="25">
        <v>20050321</v>
      </c>
      <c r="K375" s="16">
        <f t="shared" si="68"/>
        <v>38432</v>
      </c>
      <c r="L375" s="2">
        <f t="shared" si="69"/>
        <v>16</v>
      </c>
      <c r="M375" s="25" t="e">
        <f>VLOOKUP($C375,#REF!:#REF!,2,FALSE)</f>
        <v>#REF!</v>
      </c>
      <c r="N375" s="26"/>
      <c r="O375" s="27" t="s">
        <v>16</v>
      </c>
      <c r="P375" s="223">
        <f>VLOOKUP($C375,従業員情報!$A$2:'従業員情報'!$AM$2000,5,FALSE)</f>
        <v>90000</v>
      </c>
      <c r="Q375" s="223" t="str">
        <f>VLOOKUP($C375,従業員情報!$A$2:'従業員情報'!$AM$2000,6,FALSE)</f>
        <v>資材部</v>
      </c>
      <c r="R375" s="271">
        <v>0</v>
      </c>
      <c r="S375" s="271"/>
      <c r="T375" s="271">
        <v>1</v>
      </c>
      <c r="U375" s="264">
        <v>371</v>
      </c>
    </row>
    <row r="376" spans="1:21">
      <c r="A376">
        <v>190</v>
      </c>
      <c r="B376" s="21">
        <v>208</v>
      </c>
      <c r="C376" s="22">
        <v>3248</v>
      </c>
      <c r="D376" s="22" t="s">
        <v>47</v>
      </c>
      <c r="E376" s="23" t="s">
        <v>15</v>
      </c>
      <c r="F376" s="24">
        <v>19840203</v>
      </c>
      <c r="G376" s="16">
        <f t="shared" si="66"/>
        <v>30715</v>
      </c>
      <c r="H376" s="2">
        <f t="shared" si="67"/>
        <v>38</v>
      </c>
      <c r="I376" s="17"/>
      <c r="J376" s="25">
        <v>20060321</v>
      </c>
      <c r="K376" s="16">
        <f t="shared" si="68"/>
        <v>38797</v>
      </c>
      <c r="L376" s="2">
        <f t="shared" si="69"/>
        <v>15</v>
      </c>
      <c r="M376" s="25" t="e">
        <f>VLOOKUP($C376,#REF!:#REF!,2,FALSE)</f>
        <v>#REF!</v>
      </c>
      <c r="N376" s="26"/>
      <c r="O376" s="27" t="s">
        <v>16</v>
      </c>
      <c r="P376" s="223">
        <f>VLOOKUP($C376,従業員情報!$A$2:'従業員情報'!$AM$2000,5,FALSE)</f>
        <v>90000</v>
      </c>
      <c r="Q376" s="223" t="str">
        <f>VLOOKUP($C376,従業員情報!$A$2:'従業員情報'!$AM$2000,6,FALSE)</f>
        <v>資材部</v>
      </c>
      <c r="R376" s="22">
        <v>0</v>
      </c>
      <c r="S376" s="22"/>
      <c r="T376" s="22">
        <v>1</v>
      </c>
      <c r="U376" s="264">
        <v>372</v>
      </c>
    </row>
    <row r="377" spans="1:21">
      <c r="A377">
        <v>191</v>
      </c>
      <c r="B377" s="21">
        <v>209</v>
      </c>
      <c r="C377" s="22">
        <v>3249</v>
      </c>
      <c r="D377" s="22" t="s">
        <v>224</v>
      </c>
      <c r="E377" s="23" t="s">
        <v>15</v>
      </c>
      <c r="F377" s="24">
        <v>19760831</v>
      </c>
      <c r="G377" s="16">
        <f t="shared" si="66"/>
        <v>28003</v>
      </c>
      <c r="H377" s="2">
        <f t="shared" si="67"/>
        <v>45</v>
      </c>
      <c r="I377" s="17"/>
      <c r="J377" s="25">
        <v>20060321</v>
      </c>
      <c r="K377" s="16">
        <f t="shared" si="68"/>
        <v>38797</v>
      </c>
      <c r="L377" s="2">
        <f t="shared" si="69"/>
        <v>15</v>
      </c>
      <c r="M377" s="25" t="e">
        <f>VLOOKUP($C377,#REF!:#REF!,2,FALSE)</f>
        <v>#REF!</v>
      </c>
      <c r="N377" s="26"/>
      <c r="O377" s="27" t="s">
        <v>16</v>
      </c>
      <c r="P377" s="223">
        <f>VLOOKUP($C377,従業員情報!$A$2:'従業員情報'!$AM$2000,5,FALSE)</f>
        <v>90000</v>
      </c>
      <c r="Q377" s="223" t="str">
        <f>VLOOKUP($C377,従業員情報!$A$2:'従業員情報'!$AM$2000,6,FALSE)</f>
        <v>資材部</v>
      </c>
      <c r="R377" s="22">
        <v>0</v>
      </c>
      <c r="S377" s="22"/>
      <c r="T377" s="22">
        <v>1</v>
      </c>
      <c r="U377" s="264">
        <v>373</v>
      </c>
    </row>
    <row r="378" spans="1:21">
      <c r="A378">
        <v>227</v>
      </c>
      <c r="B378" s="21">
        <v>259</v>
      </c>
      <c r="C378" s="22">
        <v>3358</v>
      </c>
      <c r="D378" s="22" t="s">
        <v>227</v>
      </c>
      <c r="E378" s="23" t="s">
        <v>15</v>
      </c>
      <c r="F378" s="24">
        <v>19900105</v>
      </c>
      <c r="G378" s="16">
        <f t="shared" si="66"/>
        <v>32878</v>
      </c>
      <c r="H378" s="2">
        <f t="shared" si="67"/>
        <v>32</v>
      </c>
      <c r="I378" s="17"/>
      <c r="J378" s="25">
        <v>20120321</v>
      </c>
      <c r="K378" s="16">
        <f t="shared" si="68"/>
        <v>40989</v>
      </c>
      <c r="L378" s="2">
        <f t="shared" si="69"/>
        <v>9</v>
      </c>
      <c r="M378" s="25" t="e">
        <f>VLOOKUP($C378,#REF!:#REF!,2,FALSE)</f>
        <v>#REF!</v>
      </c>
      <c r="N378" s="19"/>
      <c r="O378" s="27" t="s">
        <v>16</v>
      </c>
      <c r="P378" s="223">
        <f>VLOOKUP($C378,従業員情報!$A$2:'従業員情報'!$AM$2000,5,FALSE)</f>
        <v>90000</v>
      </c>
      <c r="Q378" s="223" t="str">
        <f>VLOOKUP($C378,従業員情報!$A$2:'従業員情報'!$AM$2000,6,FALSE)</f>
        <v>資材部</v>
      </c>
      <c r="R378" s="22">
        <v>0</v>
      </c>
      <c r="S378" s="22"/>
      <c r="T378" s="22">
        <v>1</v>
      </c>
      <c r="U378" s="264">
        <v>374</v>
      </c>
    </row>
    <row r="379" spans="1:21">
      <c r="A379">
        <v>305</v>
      </c>
      <c r="B379" s="21"/>
      <c r="C379" s="22">
        <v>3528</v>
      </c>
      <c r="D379" s="22" t="s">
        <v>720</v>
      </c>
      <c r="E379" s="23"/>
      <c r="F379" s="24"/>
      <c r="G379" s="16"/>
      <c r="H379" s="2"/>
      <c r="I379" s="17"/>
      <c r="J379" s="25"/>
      <c r="K379" s="16"/>
      <c r="M379" s="25" t="e">
        <f>VLOOKUP($C379,#REF!:#REF!,2,FALSE)</f>
        <v>#REF!</v>
      </c>
      <c r="N379" s="26"/>
      <c r="O379" s="27"/>
      <c r="P379" s="223">
        <f>VLOOKUP($C379,従業員情報!$A$2:'従業員情報'!$AM$2000,5,FALSE)</f>
        <v>90000</v>
      </c>
      <c r="Q379" s="223" t="str">
        <f>VLOOKUP($C379,従業員情報!$A$2:'従業員情報'!$AM$2000,6,FALSE)</f>
        <v>資材部</v>
      </c>
      <c r="R379" s="22"/>
      <c r="S379" s="22"/>
      <c r="T379" s="22"/>
      <c r="U379" s="264">
        <v>375</v>
      </c>
    </row>
    <row r="380" spans="1:21">
      <c r="B380" s="21"/>
      <c r="C380" s="22"/>
      <c r="D380" s="22" t="s">
        <v>1626</v>
      </c>
      <c r="E380" s="23"/>
      <c r="F380" s="24"/>
      <c r="G380" s="16"/>
      <c r="H380" s="2"/>
      <c r="I380" s="17"/>
      <c r="J380" s="25"/>
      <c r="K380" s="16"/>
      <c r="M380" s="25"/>
      <c r="N380" s="26"/>
      <c r="O380" s="27"/>
      <c r="P380" s="70">
        <v>64011</v>
      </c>
      <c r="Q380" s="70"/>
      <c r="R380" s="22"/>
      <c r="S380" s="22"/>
      <c r="T380" s="22"/>
    </row>
    <row r="381" spans="1:21">
      <c r="B381" s="21"/>
      <c r="C381" s="22"/>
      <c r="D381" s="22" t="s">
        <v>1631</v>
      </c>
      <c r="E381" s="23"/>
      <c r="F381" s="24"/>
      <c r="G381" s="16"/>
      <c r="H381" s="2"/>
      <c r="I381" s="17"/>
      <c r="J381" s="25"/>
      <c r="K381" s="16"/>
      <c r="M381" s="25"/>
      <c r="N381" s="26"/>
      <c r="O381" s="27"/>
      <c r="P381" s="70">
        <v>69011</v>
      </c>
      <c r="Q381" s="70"/>
      <c r="R381" s="22"/>
      <c r="S381" s="22"/>
      <c r="T381" s="22"/>
    </row>
    <row r="382" spans="1:21">
      <c r="B382" s="21"/>
      <c r="C382" s="22"/>
      <c r="D382" s="22" t="s">
        <v>1632</v>
      </c>
      <c r="E382" s="23"/>
      <c r="F382" s="24"/>
      <c r="G382" s="16"/>
      <c r="H382" s="2"/>
      <c r="I382" s="17"/>
      <c r="J382" s="25"/>
      <c r="K382" s="16"/>
      <c r="M382" s="25"/>
      <c r="N382" s="26"/>
      <c r="O382" s="27"/>
      <c r="P382" s="70">
        <v>42211</v>
      </c>
      <c r="Q382" s="70"/>
      <c r="R382" s="22"/>
      <c r="S382" s="22"/>
      <c r="T382" s="22"/>
    </row>
    <row r="383" spans="1:21">
      <c r="B383" s="37"/>
      <c r="C383" s="43">
        <v>1459</v>
      </c>
      <c r="D383" s="42" t="s">
        <v>1639</v>
      </c>
      <c r="E383" s="264"/>
      <c r="O383" s="400"/>
      <c r="P383" s="412" t="s">
        <v>1640</v>
      </c>
      <c r="Q383" s="70"/>
      <c r="R383" s="37"/>
      <c r="S383" s="37"/>
      <c r="T383" s="37"/>
    </row>
    <row r="384" spans="1:21">
      <c r="B384" s="21"/>
      <c r="C384" s="22">
        <v>3546</v>
      </c>
      <c r="D384" s="22" t="s">
        <v>1647</v>
      </c>
      <c r="E384" s="23"/>
      <c r="F384" s="24"/>
      <c r="G384" s="16"/>
      <c r="H384" s="2"/>
      <c r="I384" s="17"/>
      <c r="J384" s="25"/>
      <c r="K384" s="16"/>
      <c r="M384" s="25"/>
      <c r="N384" s="26"/>
      <c r="O384" s="27"/>
      <c r="P384" s="73">
        <v>42111</v>
      </c>
      <c r="Q384" s="73" t="s">
        <v>305</v>
      </c>
      <c r="R384" s="22"/>
      <c r="S384" s="22"/>
      <c r="T384" s="22"/>
    </row>
    <row r="385" spans="2:20">
      <c r="B385" s="21"/>
      <c r="C385" s="22">
        <v>3547</v>
      </c>
      <c r="D385" s="22" t="s">
        <v>1648</v>
      </c>
      <c r="E385" s="23"/>
      <c r="F385" s="24"/>
      <c r="G385" s="16"/>
      <c r="H385" s="2"/>
      <c r="I385" s="17"/>
      <c r="J385" s="25"/>
      <c r="K385" s="16"/>
      <c r="M385" s="19"/>
      <c r="N385" s="26"/>
      <c r="O385" s="27"/>
      <c r="P385" s="72">
        <v>42311</v>
      </c>
      <c r="Q385" s="72"/>
      <c r="R385" s="22"/>
      <c r="S385" s="22"/>
      <c r="T385" s="22"/>
    </row>
    <row r="386" spans="2:20">
      <c r="B386" s="21"/>
      <c r="C386" s="22">
        <v>3548</v>
      </c>
      <c r="D386" s="22" t="s">
        <v>1649</v>
      </c>
      <c r="E386" s="23"/>
      <c r="F386" s="24"/>
      <c r="G386" s="16"/>
      <c r="H386" s="2"/>
      <c r="I386" s="17"/>
      <c r="J386" s="25"/>
      <c r="K386" s="16"/>
      <c r="M386" s="25"/>
      <c r="N386" s="26"/>
      <c r="O386" s="27"/>
      <c r="P386" s="72">
        <v>64011</v>
      </c>
      <c r="Q386" s="72" t="s">
        <v>416</v>
      </c>
      <c r="R386" s="22"/>
      <c r="S386" s="22"/>
      <c r="T386" s="22"/>
    </row>
    <row r="387" spans="2:20">
      <c r="B387" s="21"/>
      <c r="C387" s="22">
        <v>3549</v>
      </c>
      <c r="D387" s="22" t="s">
        <v>1650</v>
      </c>
      <c r="E387" s="23"/>
      <c r="F387" s="24"/>
      <c r="G387" s="16"/>
      <c r="H387" s="2"/>
      <c r="I387" s="17"/>
      <c r="J387" s="25"/>
      <c r="K387" s="16"/>
      <c r="M387" s="25"/>
      <c r="N387" s="26"/>
      <c r="O387" s="27"/>
      <c r="P387" s="72">
        <v>69011</v>
      </c>
      <c r="Q387" s="72" t="s">
        <v>489</v>
      </c>
      <c r="R387" s="22"/>
      <c r="S387" s="22"/>
      <c r="T387" s="22"/>
    </row>
    <row r="388" spans="2:20">
      <c r="B388" s="21"/>
      <c r="C388" s="22">
        <v>3550</v>
      </c>
      <c r="D388" s="22" t="s">
        <v>1651</v>
      </c>
      <c r="E388" s="23"/>
      <c r="F388" s="24"/>
      <c r="G388" s="16"/>
      <c r="H388" s="2"/>
      <c r="I388" s="17"/>
      <c r="J388" s="25"/>
      <c r="K388" s="16"/>
      <c r="M388" s="25"/>
      <c r="N388" s="26"/>
      <c r="O388" s="27"/>
      <c r="P388" s="70">
        <v>42311</v>
      </c>
      <c r="Q388" s="70"/>
      <c r="R388" s="22"/>
      <c r="S388" s="22"/>
      <c r="T388" s="22"/>
    </row>
    <row r="389" spans="2:20">
      <c r="B389" s="21"/>
      <c r="C389" s="22">
        <v>3551</v>
      </c>
      <c r="D389" s="22" t="s">
        <v>1652</v>
      </c>
      <c r="E389" s="23"/>
      <c r="F389" s="24"/>
      <c r="G389" s="16"/>
      <c r="H389" s="2"/>
      <c r="I389" s="17"/>
      <c r="J389" s="25"/>
      <c r="K389" s="16"/>
      <c r="M389" s="25"/>
      <c r="N389" s="26"/>
      <c r="O389" s="27"/>
      <c r="P389" s="70">
        <v>43011</v>
      </c>
      <c r="Q389" s="70" t="s">
        <v>349</v>
      </c>
      <c r="R389" s="22"/>
      <c r="S389" s="22"/>
      <c r="T389" s="22"/>
    </row>
    <row r="390" spans="2:20">
      <c r="B390" s="21"/>
      <c r="C390" s="22">
        <v>3552</v>
      </c>
      <c r="D390" s="22" t="s">
        <v>1653</v>
      </c>
      <c r="E390" s="23"/>
      <c r="F390" s="24"/>
      <c r="G390" s="16"/>
      <c r="H390" s="2"/>
      <c r="I390" s="17"/>
      <c r="J390" s="25"/>
      <c r="K390" s="16"/>
      <c r="M390" s="25"/>
      <c r="N390" s="26"/>
      <c r="O390" s="27"/>
      <c r="P390" s="70">
        <v>42011</v>
      </c>
      <c r="Q390" s="70" t="s">
        <v>290</v>
      </c>
      <c r="R390" s="22"/>
      <c r="S390" s="22"/>
      <c r="T390" s="22"/>
    </row>
    <row r="391" spans="2:20">
      <c r="B391" s="21"/>
      <c r="C391" s="22">
        <v>3553</v>
      </c>
      <c r="D391" s="22" t="s">
        <v>1654</v>
      </c>
      <c r="E391" s="23"/>
      <c r="F391" s="24"/>
      <c r="G391" s="16"/>
      <c r="H391" s="2"/>
      <c r="I391" s="17"/>
      <c r="J391" s="25"/>
      <c r="K391" s="16"/>
      <c r="M391" s="25"/>
      <c r="N391" s="26"/>
      <c r="O391" s="27"/>
      <c r="P391" s="70">
        <v>41011</v>
      </c>
      <c r="Q391" s="70" t="s">
        <v>258</v>
      </c>
      <c r="R391" s="22"/>
      <c r="S391" s="22"/>
      <c r="T391" s="22"/>
    </row>
    <row r="392" spans="2:20">
      <c r="B392" s="21"/>
      <c r="C392" s="22">
        <v>3554</v>
      </c>
      <c r="D392" s="22" t="s">
        <v>1655</v>
      </c>
      <c r="E392" s="23"/>
      <c r="F392" s="24"/>
      <c r="G392" s="16"/>
      <c r="H392" s="2"/>
      <c r="I392" s="17"/>
      <c r="J392" s="25"/>
      <c r="K392" s="16"/>
      <c r="M392" s="25"/>
      <c r="N392" s="26"/>
      <c r="O392" s="27"/>
      <c r="P392" s="73">
        <v>42111</v>
      </c>
      <c r="Q392" s="73" t="s">
        <v>305</v>
      </c>
      <c r="R392" s="22"/>
      <c r="S392" s="22"/>
      <c r="T392" s="22"/>
    </row>
    <row r="393" spans="2:20">
      <c r="B393" s="21"/>
      <c r="C393" s="22">
        <v>3555</v>
      </c>
      <c r="D393" s="22" t="s">
        <v>1656</v>
      </c>
      <c r="E393" s="23"/>
      <c r="F393" s="24"/>
      <c r="G393" s="16"/>
      <c r="H393" s="2"/>
      <c r="I393" s="17"/>
      <c r="J393" s="25"/>
      <c r="K393" s="16"/>
      <c r="M393" s="25"/>
      <c r="N393" s="26"/>
      <c r="O393" s="27"/>
      <c r="P393" s="73">
        <v>43211</v>
      </c>
      <c r="Q393" s="73" t="s">
        <v>364</v>
      </c>
      <c r="R393" s="22"/>
      <c r="S393" s="22"/>
      <c r="T393" s="22"/>
    </row>
    <row r="394" spans="2:20">
      <c r="B394" s="21"/>
      <c r="C394" s="22">
        <v>3556</v>
      </c>
      <c r="D394" s="22" t="s">
        <v>1657</v>
      </c>
      <c r="E394" s="23"/>
      <c r="F394" s="24"/>
      <c r="G394" s="16"/>
      <c r="H394" s="2"/>
      <c r="I394" s="17"/>
      <c r="J394" s="25"/>
      <c r="K394" s="16"/>
      <c r="M394" s="25"/>
      <c r="N394" s="26"/>
      <c r="O394" s="27"/>
      <c r="P394" s="73">
        <v>44511</v>
      </c>
      <c r="Q394" s="73" t="s">
        <v>389</v>
      </c>
      <c r="R394" s="22"/>
      <c r="S394" s="22"/>
      <c r="T394" s="22"/>
    </row>
    <row r="395" spans="2:20">
      <c r="B395" s="21"/>
      <c r="C395" s="22">
        <v>3558</v>
      </c>
      <c r="D395" s="22" t="s">
        <v>1662</v>
      </c>
      <c r="E395" s="23"/>
      <c r="F395" s="24"/>
      <c r="G395" s="16"/>
      <c r="H395" s="2"/>
      <c r="I395" s="17"/>
      <c r="J395" s="25"/>
      <c r="K395" s="16"/>
      <c r="M395" s="25"/>
      <c r="N395" s="26"/>
      <c r="O395" s="27"/>
      <c r="P395" s="72">
        <v>65011</v>
      </c>
      <c r="Q395" s="72" t="s">
        <v>433</v>
      </c>
      <c r="R395" s="22"/>
      <c r="S395" s="22"/>
      <c r="T395" s="22"/>
    </row>
    <row r="396" spans="2:20">
      <c r="B396" s="21"/>
      <c r="C396" s="22">
        <v>3559</v>
      </c>
      <c r="D396" s="22" t="s">
        <v>1663</v>
      </c>
      <c r="E396" s="23"/>
      <c r="F396" s="24"/>
      <c r="G396" s="16"/>
      <c r="H396" s="2"/>
      <c r="I396" s="17"/>
      <c r="J396" s="25"/>
      <c r="K396" s="16"/>
      <c r="M396" s="19"/>
      <c r="N396" s="26"/>
      <c r="O396" s="27"/>
      <c r="P396" s="72">
        <v>66011</v>
      </c>
      <c r="Q396" s="72" t="s">
        <v>449</v>
      </c>
      <c r="R396" s="22"/>
      <c r="S396" s="22"/>
      <c r="T396" s="22"/>
    </row>
    <row r="397" spans="2:20">
      <c r="B397" s="21"/>
      <c r="C397" s="22">
        <v>1461</v>
      </c>
      <c r="D397" s="22" t="s">
        <v>1665</v>
      </c>
      <c r="E397" s="23"/>
      <c r="F397" s="24"/>
      <c r="G397" s="16"/>
      <c r="H397" s="2"/>
      <c r="I397" s="17"/>
      <c r="J397" s="25"/>
      <c r="K397" s="16"/>
      <c r="M397" s="25"/>
      <c r="N397" s="26"/>
      <c r="O397" s="27"/>
      <c r="P397" s="72">
        <v>41011</v>
      </c>
      <c r="Q397" s="72"/>
      <c r="R397" s="22"/>
      <c r="S397" s="22"/>
      <c r="T397" s="22"/>
    </row>
    <row r="398" spans="2:20">
      <c r="B398" s="21"/>
      <c r="C398" s="22">
        <v>1462</v>
      </c>
      <c r="D398" s="22" t="s">
        <v>1666</v>
      </c>
      <c r="E398" s="23"/>
      <c r="F398" s="24"/>
      <c r="G398" s="16"/>
      <c r="H398" s="2"/>
      <c r="I398" s="17"/>
      <c r="J398" s="25"/>
      <c r="K398" s="16"/>
      <c r="M398" s="25"/>
      <c r="N398" s="26"/>
      <c r="O398" s="27"/>
      <c r="P398" s="72">
        <v>42011</v>
      </c>
      <c r="Q398" s="72"/>
      <c r="R398" s="22"/>
      <c r="S398" s="22"/>
      <c r="T398" s="22"/>
    </row>
    <row r="399" spans="2:20">
      <c r="B399" s="21"/>
      <c r="C399" s="22">
        <v>1463</v>
      </c>
      <c r="D399" s="22" t="s">
        <v>1667</v>
      </c>
      <c r="E399" s="23"/>
      <c r="F399" s="24"/>
      <c r="G399" s="16"/>
      <c r="H399" s="2"/>
      <c r="I399" s="17"/>
      <c r="J399" s="25"/>
      <c r="K399" s="16"/>
      <c r="M399" s="25"/>
      <c r="N399" s="26"/>
      <c r="O399" s="27"/>
      <c r="P399" s="72">
        <v>42311</v>
      </c>
      <c r="Q399" s="72"/>
      <c r="R399" s="22"/>
      <c r="S399" s="22"/>
      <c r="T399" s="22"/>
    </row>
    <row r="400" spans="2:20">
      <c r="B400" s="21"/>
      <c r="C400" s="22">
        <v>1464</v>
      </c>
      <c r="D400" s="22" t="s">
        <v>1668</v>
      </c>
      <c r="E400" s="23"/>
      <c r="F400" s="24"/>
      <c r="G400" s="16"/>
      <c r="H400" s="2"/>
      <c r="I400" s="17"/>
      <c r="J400" s="25"/>
      <c r="K400" s="16"/>
      <c r="M400" s="25"/>
      <c r="N400" s="26"/>
      <c r="O400" s="27"/>
      <c r="P400" s="70">
        <v>90000</v>
      </c>
      <c r="Q400" s="70"/>
      <c r="R400" s="22"/>
      <c r="S400" s="22"/>
      <c r="T400" s="22"/>
    </row>
    <row r="401" spans="2:20">
      <c r="B401" s="21"/>
      <c r="C401" s="22">
        <v>1469</v>
      </c>
      <c r="D401" s="22" t="s">
        <v>1909</v>
      </c>
      <c r="E401" s="23"/>
      <c r="F401" s="24"/>
      <c r="G401" s="16"/>
      <c r="H401" s="2"/>
      <c r="I401" s="17"/>
      <c r="J401" s="25"/>
      <c r="K401" s="16"/>
      <c r="M401" s="25"/>
      <c r="N401" s="26"/>
      <c r="O401" s="27"/>
      <c r="P401" s="72">
        <v>65011</v>
      </c>
      <c r="Q401" s="72" t="s">
        <v>433</v>
      </c>
      <c r="R401" s="22"/>
      <c r="S401" s="22"/>
      <c r="T401" s="22"/>
    </row>
    <row r="402" spans="2:20">
      <c r="B402" s="21"/>
      <c r="C402" s="22">
        <v>1468</v>
      </c>
      <c r="D402" s="22" t="s">
        <v>1910</v>
      </c>
      <c r="E402" s="23"/>
      <c r="F402" s="24"/>
      <c r="G402" s="16"/>
      <c r="H402" s="2"/>
      <c r="I402" s="17"/>
      <c r="J402" s="25"/>
      <c r="K402" s="16"/>
      <c r="M402" s="25"/>
      <c r="N402" s="26"/>
      <c r="O402" s="27"/>
      <c r="P402" s="72">
        <v>65011</v>
      </c>
      <c r="Q402" s="72" t="s">
        <v>433</v>
      </c>
      <c r="R402" s="22"/>
      <c r="S402" s="22"/>
      <c r="T402" s="22"/>
    </row>
    <row r="403" spans="2:20">
      <c r="B403" s="21"/>
      <c r="C403" s="22"/>
      <c r="D403" s="22"/>
      <c r="E403" s="23"/>
      <c r="F403" s="24"/>
      <c r="G403" s="16"/>
      <c r="H403" s="2"/>
      <c r="I403" s="17"/>
      <c r="J403" s="25"/>
      <c r="K403" s="16"/>
      <c r="M403" s="25"/>
      <c r="N403" s="26"/>
      <c r="O403" s="27"/>
      <c r="P403" s="70"/>
      <c r="Q403" s="70"/>
      <c r="R403" s="22"/>
      <c r="S403" s="22"/>
      <c r="T403" s="22"/>
    </row>
    <row r="404" spans="2:20">
      <c r="B404" s="21"/>
      <c r="C404" s="22"/>
      <c r="D404" s="22"/>
      <c r="E404" s="23"/>
      <c r="F404" s="24"/>
      <c r="G404" s="16"/>
      <c r="H404" s="2"/>
      <c r="I404" s="17"/>
      <c r="J404" s="25"/>
      <c r="K404" s="16"/>
      <c r="M404" s="25"/>
      <c r="N404" s="26"/>
      <c r="O404" s="27"/>
      <c r="P404" s="70"/>
      <c r="Q404" s="70"/>
      <c r="R404" s="22"/>
      <c r="S404" s="22"/>
      <c r="T404" s="22"/>
    </row>
    <row r="405" spans="2:20">
      <c r="B405" s="21"/>
      <c r="C405" s="22"/>
      <c r="D405" s="22"/>
      <c r="E405" s="23"/>
      <c r="F405" s="24"/>
      <c r="G405" s="16"/>
      <c r="H405" s="2"/>
      <c r="I405" s="17"/>
      <c r="J405" s="25"/>
      <c r="K405" s="16"/>
      <c r="M405" s="25"/>
      <c r="N405" s="26"/>
      <c r="O405" s="27"/>
      <c r="P405" s="70"/>
      <c r="Q405" s="70"/>
      <c r="R405" s="22"/>
      <c r="S405" s="22"/>
      <c r="T405" s="22"/>
    </row>
    <row r="406" spans="2:20">
      <c r="B406" s="21"/>
      <c r="C406" s="22"/>
      <c r="D406" s="22"/>
      <c r="E406" s="23"/>
      <c r="F406" s="24"/>
      <c r="G406" s="16"/>
      <c r="H406" s="2"/>
      <c r="I406" s="17"/>
      <c r="J406" s="25"/>
      <c r="K406" s="16"/>
      <c r="M406" s="25"/>
      <c r="N406" s="26"/>
      <c r="O406" s="27"/>
      <c r="P406" s="70"/>
      <c r="Q406" s="70"/>
      <c r="R406" s="22"/>
      <c r="S406" s="22"/>
      <c r="T406" s="22"/>
    </row>
    <row r="407" spans="2:20">
      <c r="B407" s="21"/>
      <c r="C407" s="22"/>
      <c r="D407" s="22"/>
      <c r="E407" s="23"/>
      <c r="F407" s="24"/>
      <c r="G407" s="16"/>
      <c r="H407" s="2"/>
      <c r="I407" s="17"/>
      <c r="J407" s="25"/>
      <c r="K407" s="16"/>
      <c r="M407" s="25"/>
      <c r="N407" s="26"/>
      <c r="O407" s="27"/>
      <c r="P407" s="70"/>
      <c r="Q407" s="70"/>
      <c r="R407" s="22"/>
      <c r="S407" s="22"/>
      <c r="T407" s="22"/>
    </row>
    <row r="408" spans="2:20">
      <c r="B408" s="21"/>
      <c r="C408" s="22"/>
      <c r="D408" s="22"/>
      <c r="E408" s="23"/>
      <c r="F408" s="24"/>
      <c r="G408" s="16"/>
      <c r="H408" s="2"/>
      <c r="I408" s="17"/>
      <c r="J408" s="25"/>
      <c r="K408" s="16"/>
      <c r="M408" s="25"/>
      <c r="N408" s="26"/>
      <c r="O408" s="27"/>
      <c r="P408" s="70"/>
      <c r="Q408" s="70"/>
      <c r="R408" s="22"/>
      <c r="S408" s="22"/>
      <c r="T408" s="22"/>
    </row>
    <row r="409" spans="2:20">
      <c r="B409" s="21"/>
      <c r="C409" s="22"/>
      <c r="D409" s="22"/>
      <c r="E409" s="23"/>
      <c r="F409" s="24"/>
      <c r="G409" s="16"/>
      <c r="H409" s="2"/>
      <c r="I409" s="17"/>
      <c r="J409" s="25"/>
      <c r="K409" s="16"/>
      <c r="M409" s="25"/>
      <c r="N409" s="26"/>
      <c r="O409" s="27"/>
      <c r="P409" s="70"/>
      <c r="Q409" s="70"/>
      <c r="R409" s="22"/>
      <c r="S409" s="22"/>
      <c r="T409" s="22"/>
    </row>
    <row r="410" spans="2:20">
      <c r="B410" s="21"/>
      <c r="C410" s="22"/>
      <c r="D410" s="22"/>
      <c r="E410" s="23"/>
      <c r="F410" s="24"/>
      <c r="G410" s="16"/>
      <c r="H410" s="2"/>
      <c r="I410" s="17"/>
      <c r="J410" s="25"/>
      <c r="K410" s="16"/>
      <c r="M410" s="25"/>
      <c r="N410" s="26"/>
      <c r="O410" s="27"/>
      <c r="P410" s="70"/>
      <c r="Q410" s="70"/>
      <c r="R410" s="22"/>
      <c r="S410" s="22"/>
      <c r="T410" s="22"/>
    </row>
    <row r="411" spans="2:20">
      <c r="B411" s="21"/>
      <c r="C411" s="22"/>
      <c r="D411" s="22"/>
      <c r="E411" s="23"/>
      <c r="F411" s="24"/>
      <c r="G411" s="16"/>
      <c r="H411" s="2"/>
      <c r="I411" s="17"/>
      <c r="J411" s="25"/>
      <c r="K411" s="16"/>
      <c r="M411" s="25"/>
      <c r="N411" s="26"/>
      <c r="O411" s="27"/>
      <c r="P411" s="70"/>
      <c r="Q411" s="70"/>
      <c r="R411" s="22"/>
      <c r="S411" s="22"/>
      <c r="T411" s="22"/>
    </row>
    <row r="412" spans="2:20">
      <c r="B412" s="21"/>
      <c r="C412" s="22"/>
      <c r="D412" s="22"/>
      <c r="E412" s="23"/>
      <c r="F412" s="24"/>
      <c r="G412" s="16"/>
      <c r="H412" s="2"/>
      <c r="I412" s="17"/>
      <c r="J412" s="25"/>
      <c r="K412" s="16"/>
      <c r="M412" s="25"/>
      <c r="N412" s="26"/>
      <c r="O412" s="27"/>
      <c r="P412" s="70"/>
      <c r="Q412" s="70"/>
      <c r="R412" s="22"/>
      <c r="S412" s="22"/>
      <c r="T412" s="22"/>
    </row>
    <row r="413" spans="2:20">
      <c r="B413" s="21"/>
      <c r="C413" s="22"/>
      <c r="D413" s="22"/>
      <c r="E413" s="23"/>
      <c r="F413" s="24"/>
      <c r="G413" s="16"/>
      <c r="H413" s="2"/>
      <c r="I413" s="17"/>
      <c r="J413" s="25"/>
      <c r="K413" s="16"/>
      <c r="M413" s="25"/>
      <c r="N413" s="26"/>
      <c r="O413" s="27"/>
      <c r="P413" s="70"/>
      <c r="Q413" s="70"/>
      <c r="R413" s="22"/>
      <c r="S413" s="22"/>
      <c r="T413" s="22"/>
    </row>
    <row r="414" spans="2:20">
      <c r="B414" s="21"/>
      <c r="C414" s="22"/>
      <c r="D414" s="22"/>
      <c r="E414" s="23"/>
      <c r="F414" s="24"/>
      <c r="G414" s="16"/>
      <c r="H414" s="2"/>
      <c r="I414" s="17"/>
      <c r="J414" s="25"/>
      <c r="K414" s="16"/>
      <c r="M414" s="25"/>
      <c r="N414" s="26"/>
      <c r="O414" s="27"/>
      <c r="P414" s="70"/>
      <c r="Q414" s="70"/>
      <c r="R414" s="22"/>
      <c r="S414" s="22"/>
      <c r="T414" s="22"/>
    </row>
    <row r="415" spans="2:20">
      <c r="B415" s="21"/>
      <c r="C415" s="22"/>
      <c r="D415" s="22"/>
      <c r="E415" s="23"/>
      <c r="F415" s="24"/>
      <c r="G415" s="16"/>
      <c r="H415" s="2"/>
      <c r="I415" s="17"/>
      <c r="J415" s="25"/>
      <c r="K415" s="16"/>
      <c r="M415" s="25"/>
      <c r="N415" s="26"/>
      <c r="O415" s="27"/>
      <c r="P415" s="70"/>
      <c r="Q415" s="70"/>
      <c r="R415" s="22"/>
      <c r="S415" s="22"/>
      <c r="T415" s="22"/>
    </row>
    <row r="416" spans="2:20">
      <c r="B416" s="21"/>
      <c r="C416" s="22"/>
      <c r="D416" s="22"/>
      <c r="E416" s="23"/>
      <c r="F416" s="24"/>
      <c r="G416" s="16"/>
      <c r="H416" s="2"/>
      <c r="I416" s="17"/>
      <c r="J416" s="25"/>
      <c r="K416" s="16"/>
      <c r="M416" s="25"/>
      <c r="N416" s="26"/>
      <c r="O416" s="27"/>
      <c r="P416" s="70"/>
      <c r="Q416" s="70"/>
      <c r="R416" s="22"/>
      <c r="S416" s="22"/>
      <c r="T416" s="22"/>
    </row>
    <row r="417" spans="2:20">
      <c r="B417" s="21"/>
      <c r="C417" s="22"/>
      <c r="D417" s="22"/>
      <c r="E417" s="23"/>
      <c r="F417" s="24"/>
      <c r="G417" s="16"/>
      <c r="H417" s="2"/>
      <c r="I417" s="17"/>
      <c r="J417" s="25"/>
      <c r="K417" s="16"/>
      <c r="M417" s="25"/>
      <c r="N417" s="26"/>
      <c r="O417" s="27"/>
      <c r="P417" s="70"/>
      <c r="Q417" s="70"/>
      <c r="R417" s="22"/>
      <c r="S417" s="22"/>
      <c r="T417" s="22"/>
    </row>
    <row r="418" spans="2:20">
      <c r="B418" s="21"/>
      <c r="C418" s="22"/>
      <c r="D418" s="22"/>
      <c r="E418" s="23"/>
      <c r="F418" s="24"/>
      <c r="G418" s="16"/>
      <c r="H418" s="2"/>
      <c r="I418" s="17"/>
      <c r="J418" s="25"/>
      <c r="K418" s="16"/>
      <c r="M418" s="25"/>
      <c r="N418" s="26"/>
      <c r="O418" s="27"/>
      <c r="P418" s="70"/>
      <c r="Q418" s="70"/>
      <c r="R418" s="22"/>
      <c r="S418" s="22"/>
      <c r="T418" s="22"/>
    </row>
    <row r="419" spans="2:20">
      <c r="B419" s="21"/>
      <c r="C419" s="22"/>
      <c r="D419" s="22"/>
      <c r="E419" s="23"/>
      <c r="F419" s="24"/>
      <c r="G419" s="16"/>
      <c r="H419" s="2"/>
      <c r="I419" s="17"/>
      <c r="J419" s="25"/>
      <c r="K419" s="16"/>
      <c r="M419" s="25"/>
      <c r="N419" s="26"/>
      <c r="O419" s="27"/>
      <c r="P419" s="70"/>
      <c r="Q419" s="70"/>
      <c r="R419" s="22"/>
      <c r="S419" s="22"/>
      <c r="T419" s="22"/>
    </row>
  </sheetData>
  <sortState ref="A5:U383">
    <sortCondition ref="P5:P383"/>
  </sortState>
  <mergeCells count="10">
    <mergeCell ref="C3:C4"/>
    <mergeCell ref="D3:D4"/>
    <mergeCell ref="E3:E4"/>
    <mergeCell ref="F3:F4"/>
    <mergeCell ref="J3:J4"/>
    <mergeCell ref="O3:O4"/>
    <mergeCell ref="R3:R4"/>
    <mergeCell ref="S3:S4"/>
    <mergeCell ref="T3:T4"/>
    <mergeCell ref="D2:F2"/>
  </mergeCells>
  <phoneticPr fontId="2"/>
  <pageMargins left="0.7" right="0.7" top="0.75" bottom="0.75" header="0.3" footer="0.3"/>
  <pageSetup paperSize="8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105"/>
  <sheetViews>
    <sheetView tabSelected="1" topLeftCell="A88" workbookViewId="0">
      <selection activeCell="H23" sqref="H23"/>
    </sheetView>
  </sheetViews>
  <sheetFormatPr defaultRowHeight="18"/>
  <cols>
    <col min="2" max="2" width="5.59765625" customWidth="1"/>
    <col min="3" max="3" width="8.796875" style="264"/>
    <col min="4" max="4" width="14.19921875" style="264" customWidth="1"/>
    <col min="5" max="5" width="4.3984375" style="264" hidden="1" customWidth="1"/>
    <col min="6" max="6" width="9.3984375" style="2" hidden="1" customWidth="1"/>
    <col min="7" max="7" width="11.69921875" style="3" hidden="1" customWidth="1"/>
    <col min="8" max="9" width="9.3984375" style="3" hidden="1" customWidth="1"/>
    <col min="10" max="13" width="10.69921875" style="2" hidden="1" customWidth="1"/>
    <col min="14" max="14" width="8.5" style="2" hidden="1" customWidth="1"/>
    <col min="15" max="15" width="4.19921875" style="342" hidden="1" customWidth="1"/>
    <col min="16" max="16" width="8" style="44" customWidth="1"/>
    <col min="17" max="17" width="22.8984375" style="264" bestFit="1" customWidth="1"/>
    <col min="18" max="18" width="8" style="44" hidden="1" customWidth="1"/>
    <col min="19" max="20" width="4.09765625" customWidth="1"/>
    <col min="21" max="21" width="4.5" customWidth="1"/>
  </cols>
  <sheetData>
    <row r="1" spans="1:21">
      <c r="D1" s="342"/>
    </row>
    <row r="2" spans="1:21" ht="18.75" customHeight="1" thickBot="1">
      <c r="D2" s="599" t="s">
        <v>0</v>
      </c>
      <c r="E2" s="600"/>
      <c r="F2" s="601"/>
      <c r="G2" s="4"/>
      <c r="H2" s="4"/>
      <c r="I2" s="4"/>
      <c r="J2" s="5"/>
      <c r="K2" s="5"/>
      <c r="L2" s="5"/>
      <c r="M2" s="5"/>
      <c r="N2" s="5"/>
    </row>
    <row r="3" spans="1:21" ht="18.75" customHeight="1" thickBot="1">
      <c r="B3" s="9"/>
      <c r="C3" s="346" t="s">
        <v>919</v>
      </c>
      <c r="D3" s="346" t="s">
        <v>918</v>
      </c>
      <c r="E3" s="347"/>
      <c r="F3" s="348"/>
      <c r="G3" s="10">
        <v>44378</v>
      </c>
      <c r="H3" s="7"/>
      <c r="I3" s="7"/>
      <c r="J3" s="338"/>
      <c r="K3" s="11"/>
      <c r="L3" s="8"/>
      <c r="M3" s="8"/>
      <c r="N3" s="8"/>
      <c r="O3" s="349"/>
      <c r="P3" s="45" t="s">
        <v>10</v>
      </c>
      <c r="Q3" s="339" t="s">
        <v>11</v>
      </c>
      <c r="R3" s="45" t="s">
        <v>10</v>
      </c>
      <c r="S3" s="340"/>
      <c r="T3" s="340"/>
      <c r="U3" s="341"/>
    </row>
    <row r="4" spans="1:21">
      <c r="A4">
        <v>1</v>
      </c>
      <c r="B4" s="21"/>
      <c r="C4" s="32">
        <v>6136</v>
      </c>
      <c r="D4" s="32" t="s">
        <v>609</v>
      </c>
      <c r="E4" s="271"/>
      <c r="F4" s="34"/>
      <c r="J4" s="30"/>
      <c r="M4" s="25" t="e">
        <f>VLOOKUP($C4,#REF!:#REF!,2,FALSE)</f>
        <v>#REF!</v>
      </c>
      <c r="N4" s="35"/>
      <c r="O4" s="345"/>
      <c r="P4" s="223">
        <v>1020</v>
      </c>
      <c r="Q4" s="223" t="s">
        <v>792</v>
      </c>
      <c r="R4" s="22"/>
      <c r="S4" s="22"/>
      <c r="T4" s="22"/>
    </row>
    <row r="5" spans="1:21">
      <c r="A5">
        <v>2</v>
      </c>
      <c r="B5" s="21">
        <v>61</v>
      </c>
      <c r="C5" s="271">
        <v>1408</v>
      </c>
      <c r="D5" s="271" t="s">
        <v>12</v>
      </c>
      <c r="E5" s="23" t="s">
        <v>633</v>
      </c>
      <c r="F5" s="24">
        <v>19630327</v>
      </c>
      <c r="G5" s="16">
        <f>DATE(INT(F5/10000),INT(MOD(F5,10000)/100),MOD(F5,100))</f>
        <v>23097</v>
      </c>
      <c r="H5" s="2">
        <f>DATEDIF(G5,$G$3,"Y")</f>
        <v>58</v>
      </c>
      <c r="I5" s="17"/>
      <c r="J5" s="25">
        <v>20200413</v>
      </c>
      <c r="K5" s="16">
        <f>DATE(INT(J5/10000),INT(MOD(J5,10000)/100),MOD(J5,100))</f>
        <v>43934</v>
      </c>
      <c r="L5" s="2">
        <f>DATEDIF(K5,$G$3,"Y")</f>
        <v>1</v>
      </c>
      <c r="M5" s="25" t="e">
        <f>VLOOKUP($C5,#REF!:#REF!,2,FALSE)</f>
        <v>#REF!</v>
      </c>
      <c r="N5" s="26"/>
      <c r="O5" s="27">
        <v>8</v>
      </c>
      <c r="P5" s="223">
        <v>1120</v>
      </c>
      <c r="Q5" s="223" t="s">
        <v>741</v>
      </c>
      <c r="R5" s="22">
        <v>0</v>
      </c>
      <c r="S5" s="22"/>
      <c r="T5" s="22">
        <v>1</v>
      </c>
    </row>
    <row r="6" spans="1:21">
      <c r="A6" s="264">
        <v>3</v>
      </c>
      <c r="B6" s="21">
        <v>3</v>
      </c>
      <c r="C6" s="271">
        <v>1278</v>
      </c>
      <c r="D6" s="271" t="s">
        <v>14</v>
      </c>
      <c r="E6" s="23" t="s">
        <v>15</v>
      </c>
      <c r="F6" s="24">
        <v>19620707</v>
      </c>
      <c r="G6" s="16">
        <f>DATE(INT(F6/10000),INT(MOD(F6,10000)/100),MOD(F6,100))</f>
        <v>22834</v>
      </c>
      <c r="H6" s="2">
        <f>DATEDIF(G6,$G$3,"Y")</f>
        <v>58</v>
      </c>
      <c r="I6" s="17"/>
      <c r="J6" s="25">
        <v>19920130</v>
      </c>
      <c r="K6" s="16">
        <f>DATE(INT(J6/10000),INT(MOD(J6,10000)/100),MOD(J6,100))</f>
        <v>33633</v>
      </c>
      <c r="L6" s="2">
        <f>DATEDIF(K6,$G$3,"Y")</f>
        <v>29</v>
      </c>
      <c r="M6" s="25" t="e">
        <f>VLOOKUP($C6,#REF!:#REF!,2,FALSE)</f>
        <v>#REF!</v>
      </c>
      <c r="N6" s="26"/>
      <c r="O6" s="27" t="s">
        <v>16</v>
      </c>
      <c r="P6" s="223">
        <v>3020</v>
      </c>
      <c r="Q6" s="223" t="s">
        <v>736</v>
      </c>
      <c r="R6" s="22">
        <v>0</v>
      </c>
      <c r="S6" s="22"/>
      <c r="T6" s="22">
        <v>1</v>
      </c>
    </row>
    <row r="7" spans="1:21">
      <c r="A7" s="264">
        <v>4</v>
      </c>
      <c r="B7" s="21"/>
      <c r="C7" s="32">
        <v>8234</v>
      </c>
      <c r="D7" s="32" t="s">
        <v>901</v>
      </c>
      <c r="E7" s="271"/>
      <c r="F7" s="34"/>
      <c r="J7" s="30"/>
      <c r="M7" s="30"/>
      <c r="N7" s="35"/>
      <c r="O7" s="345"/>
      <c r="P7" s="44" t="s">
        <v>902</v>
      </c>
      <c r="Q7" s="350" t="s">
        <v>922</v>
      </c>
      <c r="R7" s="311"/>
      <c r="S7" s="271"/>
      <c r="T7" s="271"/>
    </row>
    <row r="8" spans="1:21">
      <c r="A8" s="264">
        <v>5</v>
      </c>
      <c r="B8" s="21">
        <v>511</v>
      </c>
      <c r="C8" s="271"/>
      <c r="D8" s="271"/>
      <c r="E8" s="23"/>
      <c r="F8" s="24"/>
      <c r="G8" s="16"/>
      <c r="H8" s="2"/>
      <c r="I8" s="17"/>
      <c r="J8" s="25"/>
      <c r="K8" s="16"/>
      <c r="M8" s="25"/>
      <c r="N8" s="26"/>
      <c r="O8" s="27"/>
      <c r="P8" s="223"/>
      <c r="Q8" s="223"/>
      <c r="R8" s="22">
        <v>2</v>
      </c>
      <c r="S8" s="22"/>
      <c r="T8" s="22">
        <v>3</v>
      </c>
    </row>
    <row r="9" spans="1:21">
      <c r="A9" s="264">
        <v>6</v>
      </c>
      <c r="B9" s="21">
        <v>522</v>
      </c>
      <c r="C9" s="271">
        <v>8168</v>
      </c>
      <c r="D9" s="271" t="s">
        <v>562</v>
      </c>
      <c r="E9" s="23" t="s">
        <v>15</v>
      </c>
      <c r="F9" s="24">
        <v>19571001</v>
      </c>
      <c r="G9" s="16">
        <f>DATE(INT(F9/10000),INT(MOD(F9,10000)/100),MOD(F9,100))</f>
        <v>21094</v>
      </c>
      <c r="H9" s="2">
        <f>DATEDIF(G9,$G$3,"Y")</f>
        <v>63</v>
      </c>
      <c r="I9" s="17"/>
      <c r="J9" s="25">
        <v>19760329</v>
      </c>
      <c r="K9" s="16">
        <f>DATE(INT(J9/10000),INT(MOD(J9,10000)/100),MOD(J9,100))</f>
        <v>27848</v>
      </c>
      <c r="L9" s="2">
        <f>DATEDIF(K9,$G$3,"Y")</f>
        <v>45</v>
      </c>
      <c r="M9" s="25" t="e">
        <f>VLOOKUP($C9,#REF!:#REF!,2,FALSE)</f>
        <v>#REF!</v>
      </c>
      <c r="N9" s="26"/>
      <c r="O9" s="27">
        <v>0</v>
      </c>
      <c r="P9" s="223">
        <v>30020</v>
      </c>
      <c r="Q9" s="223" t="s">
        <v>53</v>
      </c>
      <c r="R9" s="22">
        <v>2</v>
      </c>
      <c r="S9" s="22"/>
      <c r="T9" s="22">
        <v>3</v>
      </c>
    </row>
    <row r="10" spans="1:21">
      <c r="A10" s="264">
        <v>7</v>
      </c>
      <c r="B10" s="21">
        <v>539</v>
      </c>
      <c r="C10" s="271">
        <v>8193</v>
      </c>
      <c r="D10" s="271" t="s">
        <v>574</v>
      </c>
      <c r="E10" s="23" t="s">
        <v>678</v>
      </c>
      <c r="F10" s="24">
        <v>19600519</v>
      </c>
      <c r="G10" s="16">
        <f>DATE(INT(F10/10000),INT(MOD(F10,10000)/100),MOD(F10,100))</f>
        <v>22055</v>
      </c>
      <c r="H10" s="2">
        <f>DATEDIF(G10,$G$3,"Y")</f>
        <v>61</v>
      </c>
      <c r="I10" s="17"/>
      <c r="J10" s="25">
        <v>19840321</v>
      </c>
      <c r="K10" s="16">
        <f>DATE(INT(J10/10000),INT(MOD(J10,10000)/100),MOD(J10,100))</f>
        <v>30762</v>
      </c>
      <c r="L10" s="2">
        <f>DATEDIF(K10,$G$3,"Y")</f>
        <v>37</v>
      </c>
      <c r="M10" s="25" t="e">
        <f>VLOOKUP($C10,#REF!:#REF!,2,FALSE)</f>
        <v>#REF!</v>
      </c>
      <c r="N10" s="26"/>
      <c r="O10" s="27">
        <v>0</v>
      </c>
      <c r="P10" s="223">
        <f>VLOOKUP($C10,従業員情報!$A$2:'従業員情報'!$AM$2000,5,FALSE)</f>
        <v>34020</v>
      </c>
      <c r="Q10" s="223" t="str">
        <f>VLOOKUP($C10,従業員情報!$A$2:'従業員情報'!$AM$2000,6,FALSE)</f>
        <v>生産支援室</v>
      </c>
      <c r="R10" s="22">
        <v>2</v>
      </c>
      <c r="S10" s="22"/>
      <c r="T10" s="22">
        <v>3</v>
      </c>
    </row>
    <row r="11" spans="1:21">
      <c r="A11" s="264">
        <v>8</v>
      </c>
      <c r="B11" s="21"/>
      <c r="C11" s="32">
        <v>8214</v>
      </c>
      <c r="D11" s="32" t="s">
        <v>860</v>
      </c>
      <c r="E11" s="33" t="s">
        <v>861</v>
      </c>
      <c r="F11" s="34"/>
      <c r="J11" s="30"/>
      <c r="M11" s="30"/>
      <c r="N11" s="35"/>
      <c r="O11" s="345"/>
      <c r="P11" s="223">
        <v>30020</v>
      </c>
      <c r="Q11" s="223" t="s">
        <v>53</v>
      </c>
      <c r="R11" s="311"/>
      <c r="S11" s="271"/>
      <c r="T11" s="271"/>
    </row>
    <row r="12" spans="1:21">
      <c r="A12" s="264">
        <v>9</v>
      </c>
      <c r="B12" s="21"/>
      <c r="C12" s="271"/>
      <c r="D12" s="271"/>
      <c r="E12" s="23"/>
      <c r="F12" s="24"/>
      <c r="G12" s="16"/>
      <c r="H12" s="2"/>
      <c r="I12" s="17"/>
      <c r="J12" s="25"/>
      <c r="K12" s="16"/>
      <c r="M12" s="25"/>
      <c r="N12" s="26"/>
      <c r="O12" s="27"/>
      <c r="P12" s="223"/>
      <c r="Q12" s="223"/>
      <c r="R12" s="22">
        <v>2</v>
      </c>
      <c r="S12" s="22"/>
      <c r="T12" s="22">
        <v>3</v>
      </c>
    </row>
    <row r="13" spans="1:21">
      <c r="A13" s="264">
        <v>10</v>
      </c>
      <c r="B13" s="21"/>
      <c r="C13" s="32">
        <v>8226</v>
      </c>
      <c r="D13" s="32" t="s">
        <v>879</v>
      </c>
      <c r="E13" s="271"/>
      <c r="F13" s="34"/>
      <c r="J13" s="30"/>
      <c r="M13" s="30"/>
      <c r="N13" s="35"/>
      <c r="O13" s="345"/>
      <c r="P13" s="44" t="s">
        <v>880</v>
      </c>
      <c r="Q13" s="223" t="s">
        <v>921</v>
      </c>
      <c r="R13" s="311"/>
      <c r="S13" s="271"/>
      <c r="T13" s="271"/>
    </row>
    <row r="14" spans="1:21">
      <c r="A14" s="264">
        <v>11</v>
      </c>
      <c r="B14" s="21">
        <v>536</v>
      </c>
      <c r="C14" s="271">
        <v>8190</v>
      </c>
      <c r="D14" s="271" t="s">
        <v>572</v>
      </c>
      <c r="E14" s="23" t="s">
        <v>678</v>
      </c>
      <c r="F14" s="24">
        <v>19591104</v>
      </c>
      <c r="G14" s="16">
        <f>DATE(INT(F14/10000),INT(MOD(F14,10000)/100),MOD(F14,100))</f>
        <v>21858</v>
      </c>
      <c r="H14" s="2">
        <f>DATEDIF(G14,$G$3,"Y")</f>
        <v>61</v>
      </c>
      <c r="I14" s="17"/>
      <c r="J14" s="25">
        <v>19760323</v>
      </c>
      <c r="K14" s="16">
        <f>DATE(INT(J14/10000),INT(MOD(J14,10000)/100),MOD(J14,100))</f>
        <v>27842</v>
      </c>
      <c r="L14" s="2">
        <f>DATEDIF(K14,$G$3,"Y")</f>
        <v>45</v>
      </c>
      <c r="M14" s="25" t="e">
        <f>VLOOKUP($C14,#REF!:#REF!,2,FALSE)</f>
        <v>#REF!</v>
      </c>
      <c r="N14" s="26"/>
      <c r="O14" s="27">
        <v>0</v>
      </c>
      <c r="P14" s="223">
        <v>41021</v>
      </c>
      <c r="Q14" s="223" t="s">
        <v>258</v>
      </c>
      <c r="R14" s="22">
        <v>2</v>
      </c>
      <c r="S14" s="22"/>
      <c r="T14" s="22">
        <v>3</v>
      </c>
    </row>
    <row r="15" spans="1:21">
      <c r="A15" s="264">
        <v>12</v>
      </c>
      <c r="B15" s="21">
        <v>496</v>
      </c>
      <c r="C15" s="271">
        <v>8071</v>
      </c>
      <c r="D15" s="271" t="s">
        <v>597</v>
      </c>
      <c r="E15" s="23" t="s">
        <v>34</v>
      </c>
      <c r="F15" s="24">
        <v>19700223</v>
      </c>
      <c r="G15" s="16">
        <f>DATE(INT(F15/10000),INT(MOD(F15,10000)/100),MOD(F15,100))</f>
        <v>25622</v>
      </c>
      <c r="H15" s="2">
        <f>DATEDIF(G15,$G$3,"Y")</f>
        <v>51</v>
      </c>
      <c r="I15" s="17"/>
      <c r="J15" s="25">
        <v>20110621</v>
      </c>
      <c r="K15" s="16">
        <f>DATE(INT(J15/10000),INT(MOD(J15,10000)/100),MOD(J15,100))</f>
        <v>40715</v>
      </c>
      <c r="L15" s="2">
        <f>DATEDIF(K15,$G$3,"Y")</f>
        <v>10</v>
      </c>
      <c r="M15" s="25" t="e">
        <f>VLOOKUP($C15,#REF!:#REF!,2,FALSE)</f>
        <v>#REF!</v>
      </c>
      <c r="N15" s="26"/>
      <c r="O15" s="27">
        <v>0</v>
      </c>
      <c r="P15" s="223">
        <v>41021</v>
      </c>
      <c r="Q15" s="223" t="s">
        <v>258</v>
      </c>
      <c r="R15" s="22">
        <v>2</v>
      </c>
      <c r="S15" s="22"/>
      <c r="T15" s="22">
        <v>3</v>
      </c>
    </row>
    <row r="16" spans="1:21">
      <c r="A16" s="264">
        <v>13</v>
      </c>
      <c r="B16" s="21"/>
      <c r="C16" s="32">
        <v>8228</v>
      </c>
      <c r="D16" s="32" t="s">
        <v>881</v>
      </c>
      <c r="E16" s="271"/>
      <c r="F16" s="34"/>
      <c r="J16" s="30"/>
      <c r="M16" s="30"/>
      <c r="N16" s="35"/>
      <c r="O16" s="345"/>
      <c r="P16" s="223">
        <v>41021</v>
      </c>
      <c r="Q16" s="223" t="s">
        <v>258</v>
      </c>
      <c r="R16" s="311"/>
      <c r="S16" s="271"/>
      <c r="T16" s="271"/>
    </row>
    <row r="17" spans="1:20">
      <c r="A17" s="264">
        <v>14</v>
      </c>
      <c r="B17" s="21">
        <v>490</v>
      </c>
      <c r="C17" s="271">
        <v>8041</v>
      </c>
      <c r="D17" s="271" t="s">
        <v>541</v>
      </c>
      <c r="E17" s="23" t="s">
        <v>15</v>
      </c>
      <c r="F17" s="24">
        <v>19590410</v>
      </c>
      <c r="G17" s="16">
        <f t="shared" ref="G17:G22" si="0">DATE(INT(F17/10000),INT(MOD(F17,10000)/100),MOD(F17,100))</f>
        <v>21650</v>
      </c>
      <c r="H17" s="2">
        <f t="shared" ref="H17:H21" si="1">DATEDIF(G17,$G$3,"Y")</f>
        <v>62</v>
      </c>
      <c r="I17" s="17"/>
      <c r="J17" s="25">
        <v>20100721</v>
      </c>
      <c r="K17" s="16">
        <f t="shared" ref="K17:K22" si="2">DATE(INT(J17/10000),INT(MOD(J17,10000)/100),MOD(J17,100))</f>
        <v>40380</v>
      </c>
      <c r="L17" s="2">
        <f t="shared" ref="L17:L21" si="3">DATEDIF(K17,$G$3,"Y")</f>
        <v>10</v>
      </c>
      <c r="M17" s="25" t="e">
        <f>VLOOKUP($C17,#REF!:#REF!,2,FALSE)</f>
        <v>#REF!</v>
      </c>
      <c r="N17" s="26"/>
      <c r="O17" s="27">
        <v>0</v>
      </c>
      <c r="P17" s="223">
        <v>41121</v>
      </c>
      <c r="Q17" s="223" t="s">
        <v>280</v>
      </c>
      <c r="R17" s="22">
        <v>2</v>
      </c>
      <c r="S17" s="22"/>
      <c r="T17" s="22">
        <v>3</v>
      </c>
    </row>
    <row r="18" spans="1:20">
      <c r="A18" s="264">
        <v>15</v>
      </c>
      <c r="B18" s="21">
        <v>494</v>
      </c>
      <c r="C18" s="271">
        <v>8062</v>
      </c>
      <c r="D18" s="271" t="s">
        <v>544</v>
      </c>
      <c r="E18" s="23" t="s">
        <v>15</v>
      </c>
      <c r="F18" s="24">
        <v>19630514</v>
      </c>
      <c r="G18" s="16">
        <f t="shared" si="0"/>
        <v>23145</v>
      </c>
      <c r="H18" s="2">
        <f t="shared" si="1"/>
        <v>58</v>
      </c>
      <c r="I18" s="17"/>
      <c r="J18" s="25">
        <v>20110208</v>
      </c>
      <c r="K18" s="16">
        <f t="shared" si="2"/>
        <v>40582</v>
      </c>
      <c r="L18" s="2">
        <f t="shared" si="3"/>
        <v>10</v>
      </c>
      <c r="M18" s="25" t="e">
        <f>VLOOKUP($C18,#REF!:#REF!,2,FALSE)</f>
        <v>#REF!</v>
      </c>
      <c r="N18" s="26"/>
      <c r="O18" s="27">
        <v>0</v>
      </c>
      <c r="P18" s="223">
        <v>41121</v>
      </c>
      <c r="Q18" s="223" t="s">
        <v>280</v>
      </c>
      <c r="R18" s="22">
        <v>2</v>
      </c>
      <c r="S18" s="22"/>
      <c r="T18" s="22">
        <v>3</v>
      </c>
    </row>
    <row r="19" spans="1:20">
      <c r="A19" s="264">
        <v>16</v>
      </c>
      <c r="B19" s="21">
        <v>443</v>
      </c>
      <c r="C19" s="271">
        <v>8203</v>
      </c>
      <c r="D19" s="271" t="s">
        <v>584</v>
      </c>
      <c r="E19" s="23" t="s">
        <v>15</v>
      </c>
      <c r="F19" s="24">
        <v>19610607</v>
      </c>
      <c r="G19" s="16">
        <f t="shared" si="0"/>
        <v>22439</v>
      </c>
      <c r="H19" s="2">
        <f t="shared" si="1"/>
        <v>60</v>
      </c>
      <c r="I19" s="17"/>
      <c r="J19" s="25">
        <v>19790323</v>
      </c>
      <c r="K19" s="16">
        <f t="shared" si="2"/>
        <v>28937</v>
      </c>
      <c r="L19" s="2">
        <f t="shared" si="3"/>
        <v>42</v>
      </c>
      <c r="M19" s="25" t="e">
        <f>VLOOKUP($C19,#REF!:#REF!,2,FALSE)</f>
        <v>#REF!</v>
      </c>
      <c r="N19" s="26"/>
      <c r="O19" s="27" t="s">
        <v>75</v>
      </c>
      <c r="P19" s="223">
        <v>41121</v>
      </c>
      <c r="Q19" s="223" t="s">
        <v>280</v>
      </c>
      <c r="R19" s="22">
        <v>1</v>
      </c>
      <c r="S19" s="22" t="s">
        <v>679</v>
      </c>
      <c r="T19" s="22">
        <v>2</v>
      </c>
    </row>
    <row r="20" spans="1:20">
      <c r="A20" s="264"/>
      <c r="B20" s="21"/>
      <c r="C20" s="271"/>
      <c r="D20" s="271"/>
      <c r="E20" s="23"/>
      <c r="F20" s="24"/>
      <c r="G20" s="16"/>
      <c r="H20" s="2"/>
      <c r="I20" s="17"/>
      <c r="J20" s="25"/>
      <c r="K20" s="16"/>
      <c r="M20" s="25"/>
      <c r="N20" s="26"/>
      <c r="O20" s="27"/>
      <c r="P20" s="223"/>
      <c r="Q20" s="223"/>
      <c r="R20" s="22">
        <v>2</v>
      </c>
      <c r="S20" s="22"/>
      <c r="T20" s="22">
        <v>3</v>
      </c>
    </row>
    <row r="21" spans="1:20">
      <c r="A21" s="264">
        <v>18</v>
      </c>
      <c r="B21" s="21">
        <v>474</v>
      </c>
      <c r="C21" s="271">
        <v>7755</v>
      </c>
      <c r="D21" s="271" t="s">
        <v>534</v>
      </c>
      <c r="E21" s="23" t="s">
        <v>15</v>
      </c>
      <c r="F21" s="24">
        <v>19760828</v>
      </c>
      <c r="G21" s="16">
        <f t="shared" si="0"/>
        <v>28000</v>
      </c>
      <c r="H21" s="2">
        <f t="shared" si="1"/>
        <v>44</v>
      </c>
      <c r="I21" s="17"/>
      <c r="J21" s="25">
        <v>20030630</v>
      </c>
      <c r="K21" s="16">
        <f t="shared" si="2"/>
        <v>37802</v>
      </c>
      <c r="L21" s="2">
        <f t="shared" si="3"/>
        <v>18</v>
      </c>
      <c r="M21" s="25" t="e">
        <f>VLOOKUP($C21,#REF!:#REF!,2,FALSE)</f>
        <v>#REF!</v>
      </c>
      <c r="N21" s="26"/>
      <c r="O21" s="27">
        <v>0</v>
      </c>
      <c r="P21" s="223">
        <v>41220</v>
      </c>
      <c r="Q21" s="223" t="s">
        <v>103</v>
      </c>
      <c r="R21" s="22">
        <v>2</v>
      </c>
      <c r="S21" s="22"/>
      <c r="T21" s="22">
        <v>3</v>
      </c>
    </row>
    <row r="22" spans="1:20">
      <c r="A22" s="264">
        <v>21</v>
      </c>
      <c r="B22" s="21">
        <v>442</v>
      </c>
      <c r="C22" s="271">
        <v>8207</v>
      </c>
      <c r="D22" s="271" t="s">
        <v>104</v>
      </c>
      <c r="E22" s="23" t="s">
        <v>15</v>
      </c>
      <c r="F22" s="24">
        <v>19610924</v>
      </c>
      <c r="G22" s="16">
        <f t="shared" si="0"/>
        <v>22548</v>
      </c>
      <c r="H22" s="2">
        <f>DATEDIF(G22,参考1男性!$G$4,"Y")</f>
        <v>60</v>
      </c>
      <c r="I22" s="17"/>
      <c r="J22" s="25">
        <v>19780323</v>
      </c>
      <c r="K22" s="16">
        <f t="shared" si="2"/>
        <v>28572</v>
      </c>
      <c r="L22" s="2">
        <f>DATEDIF(K22,参考1男性!$G$4,"Y")</f>
        <v>43</v>
      </c>
      <c r="M22" s="25" t="e">
        <f>VLOOKUP($C22,#REF!:#REF!,2,FALSE)</f>
        <v>#REF!</v>
      </c>
      <c r="N22" s="26"/>
      <c r="O22" s="27" t="s">
        <v>105</v>
      </c>
      <c r="P22" s="223">
        <v>41220</v>
      </c>
      <c r="Q22" s="223" t="s">
        <v>103</v>
      </c>
      <c r="R22" s="22">
        <v>0</v>
      </c>
      <c r="S22" s="22"/>
      <c r="T22" s="22">
        <v>2</v>
      </c>
    </row>
    <row r="23" spans="1:20">
      <c r="A23" s="264">
        <v>23</v>
      </c>
      <c r="B23" s="21">
        <v>476</v>
      </c>
      <c r="C23" s="271">
        <v>7806</v>
      </c>
      <c r="D23" s="271" t="s">
        <v>535</v>
      </c>
      <c r="E23" s="23" t="s">
        <v>15</v>
      </c>
      <c r="F23" s="24">
        <v>19591207</v>
      </c>
      <c r="G23" s="16">
        <f>DATE(INT(F23/10000),INT(MOD(F23,10000)/100),MOD(F23,100))</f>
        <v>21891</v>
      </c>
      <c r="H23" s="2"/>
      <c r="I23" s="17"/>
      <c r="J23" s="25">
        <v>20040224</v>
      </c>
      <c r="K23" s="16">
        <f>DATE(INT(J23/10000),INT(MOD(J23,10000)/100),MOD(J23,100))</f>
        <v>38041</v>
      </c>
      <c r="L23" s="2">
        <f>DATEDIF(K23,$G$3,"Y")</f>
        <v>17</v>
      </c>
      <c r="M23" s="25" t="e">
        <f>VLOOKUP($C23,#REF!:#REF!,2,FALSE)</f>
        <v>#REF!</v>
      </c>
      <c r="N23" s="26"/>
      <c r="O23" s="27">
        <v>0</v>
      </c>
      <c r="P23" s="223">
        <v>42021</v>
      </c>
      <c r="Q23" s="223" t="s">
        <v>290</v>
      </c>
      <c r="R23" s="22">
        <v>2</v>
      </c>
      <c r="S23" s="22"/>
      <c r="T23" s="22">
        <v>3</v>
      </c>
    </row>
    <row r="24" spans="1:20">
      <c r="A24" s="264"/>
      <c r="B24" s="21"/>
      <c r="C24" s="271"/>
      <c r="D24" s="271"/>
      <c r="E24" s="23"/>
      <c r="F24" s="24"/>
      <c r="G24" s="16"/>
      <c r="H24" s="2"/>
      <c r="I24" s="17"/>
      <c r="J24" s="25"/>
      <c r="K24" s="16"/>
      <c r="M24" s="25"/>
      <c r="N24" s="26"/>
      <c r="O24" s="27"/>
      <c r="P24" s="223"/>
      <c r="Q24" s="223"/>
      <c r="R24" s="22">
        <v>2</v>
      </c>
      <c r="S24" s="22"/>
      <c r="T24" s="22">
        <v>3</v>
      </c>
    </row>
    <row r="25" spans="1:20" s="312" customFormat="1">
      <c r="A25" s="264"/>
      <c r="B25" s="313"/>
      <c r="C25" s="59"/>
      <c r="D25" s="59"/>
      <c r="E25" s="314"/>
      <c r="F25" s="315"/>
      <c r="G25" s="316"/>
      <c r="H25" s="317"/>
      <c r="I25" s="318"/>
      <c r="J25" s="319"/>
      <c r="K25" s="316"/>
      <c r="L25" s="317"/>
      <c r="M25" s="319"/>
      <c r="N25" s="320"/>
      <c r="O25" s="321"/>
      <c r="P25" s="322"/>
      <c r="Q25" s="322"/>
      <c r="R25" s="59">
        <v>1</v>
      </c>
      <c r="S25" s="59" t="s">
        <v>679</v>
      </c>
      <c r="T25" s="59">
        <v>2</v>
      </c>
    </row>
    <row r="26" spans="1:20">
      <c r="A26" s="264">
        <v>26</v>
      </c>
      <c r="B26" s="21">
        <v>485</v>
      </c>
      <c r="C26" s="271">
        <v>7953</v>
      </c>
      <c r="D26" s="271" t="s">
        <v>594</v>
      </c>
      <c r="E26" s="23" t="s">
        <v>34</v>
      </c>
      <c r="F26" s="24">
        <v>19761028</v>
      </c>
      <c r="G26" s="16">
        <f>DATE(INT(F26/10000),INT(MOD(F26,10000)/100),MOD(F26,100))</f>
        <v>28061</v>
      </c>
      <c r="H26" s="2">
        <f>DATEDIF(G26,$G$3,"Y")</f>
        <v>44</v>
      </c>
      <c r="I26" s="17"/>
      <c r="J26" s="25">
        <v>20070806</v>
      </c>
      <c r="K26" s="16">
        <f>DATE(INT(J26/10000),INT(MOD(J26,10000)/100),MOD(J26,100))</f>
        <v>39300</v>
      </c>
      <c r="L26" s="2">
        <f>DATEDIF(K26,$G$3,"Y")</f>
        <v>13</v>
      </c>
      <c r="M26" s="25" t="e">
        <f>VLOOKUP($C26,#REF!:#REF!,2,FALSE)</f>
        <v>#REF!</v>
      </c>
      <c r="N26" s="26"/>
      <c r="O26" s="27">
        <v>0</v>
      </c>
      <c r="P26" s="223">
        <v>42121</v>
      </c>
      <c r="Q26" s="223" t="s">
        <v>305</v>
      </c>
      <c r="R26" s="22">
        <v>2</v>
      </c>
      <c r="S26" s="22"/>
      <c r="T26" s="22">
        <v>3</v>
      </c>
    </row>
    <row r="27" spans="1:20">
      <c r="A27" s="264">
        <v>27</v>
      </c>
      <c r="B27" s="21">
        <v>514</v>
      </c>
      <c r="C27" s="271">
        <v>8148</v>
      </c>
      <c r="D27" s="271" t="s">
        <v>602</v>
      </c>
      <c r="E27" s="23" t="s">
        <v>34</v>
      </c>
      <c r="F27" s="24">
        <v>19840803</v>
      </c>
      <c r="G27" s="16">
        <f>DATE(INT(F27/10000),INT(MOD(F27,10000)/100),MOD(F27,100))</f>
        <v>30897</v>
      </c>
      <c r="H27" s="2">
        <f>DATEDIF(G27,$G$3,"Y")</f>
        <v>36</v>
      </c>
      <c r="I27" s="17"/>
      <c r="J27" s="25">
        <v>20150525</v>
      </c>
      <c r="K27" s="16">
        <f>DATE(INT(J27/10000),INT(MOD(J27,10000)/100),MOD(J27,100))</f>
        <v>42149</v>
      </c>
      <c r="L27" s="2">
        <f>DATEDIF(K27,$G$3,"Y")</f>
        <v>6</v>
      </c>
      <c r="M27" s="25" t="e">
        <f>VLOOKUP($C27,#REF!:#REF!,2,FALSE)</f>
        <v>#REF!</v>
      </c>
      <c r="N27" s="26"/>
      <c r="O27" s="27">
        <v>0</v>
      </c>
      <c r="P27" s="223">
        <v>42121</v>
      </c>
      <c r="Q27" s="223" t="s">
        <v>305</v>
      </c>
      <c r="R27" s="22">
        <v>2</v>
      </c>
      <c r="S27" s="22"/>
      <c r="T27" s="22">
        <v>3</v>
      </c>
    </row>
    <row r="28" spans="1:20">
      <c r="A28" s="264">
        <v>28</v>
      </c>
      <c r="B28" s="21"/>
      <c r="C28" s="32">
        <v>8216</v>
      </c>
      <c r="D28" s="32" t="s">
        <v>862</v>
      </c>
      <c r="E28" s="33" t="s">
        <v>863</v>
      </c>
      <c r="F28" s="34"/>
      <c r="J28" s="30"/>
      <c r="M28" s="30"/>
      <c r="N28" s="35"/>
      <c r="O28" s="345"/>
      <c r="P28" s="223">
        <v>42121</v>
      </c>
      <c r="Q28" s="223" t="s">
        <v>305</v>
      </c>
      <c r="R28" s="311"/>
      <c r="S28" s="271"/>
      <c r="T28" s="271"/>
    </row>
    <row r="29" spans="1:20">
      <c r="A29" s="264">
        <v>29</v>
      </c>
      <c r="B29" s="21">
        <v>65</v>
      </c>
      <c r="C29" s="271">
        <v>8219</v>
      </c>
      <c r="D29" s="271" t="s">
        <v>320</v>
      </c>
      <c r="E29" s="23" t="s">
        <v>800</v>
      </c>
      <c r="F29" s="24">
        <v>19621220</v>
      </c>
      <c r="G29" s="16">
        <f>DATE(INT(F29/10000),INT(MOD(F29,10000)/100),MOD(F29,100))</f>
        <v>23000</v>
      </c>
      <c r="H29" s="2">
        <f>DATEDIF(G29,参考1男性!$G$4,"Y")</f>
        <v>59</v>
      </c>
      <c r="I29" s="17"/>
      <c r="J29" s="25">
        <v>19810330</v>
      </c>
      <c r="K29" s="16">
        <f>DATE(INT(J29/10000),INT(MOD(J29,10000)/100),MOD(J29,100))</f>
        <v>29675</v>
      </c>
      <c r="L29" s="2">
        <f>DATEDIF(K29,参考1男性!$G$4,"Y")</f>
        <v>40</v>
      </c>
      <c r="M29" s="25" t="e">
        <f>VLOOKUP($C29,#REF!:#REF!,2,FALSE)</f>
        <v>#REF!</v>
      </c>
      <c r="N29" s="26"/>
      <c r="O29" s="27" t="s">
        <v>35</v>
      </c>
      <c r="P29" s="223">
        <v>42221</v>
      </c>
      <c r="Q29" s="223" t="s">
        <v>318</v>
      </c>
      <c r="R29" s="22">
        <v>1</v>
      </c>
      <c r="S29" s="22" t="s">
        <v>679</v>
      </c>
      <c r="T29" s="22">
        <v>2</v>
      </c>
    </row>
    <row r="30" spans="1:20">
      <c r="A30" s="264">
        <v>30</v>
      </c>
      <c r="B30" s="21">
        <v>484</v>
      </c>
      <c r="C30" s="271">
        <v>7941</v>
      </c>
      <c r="D30" s="271" t="s">
        <v>593</v>
      </c>
      <c r="E30" s="23" t="s">
        <v>34</v>
      </c>
      <c r="F30" s="24">
        <v>19771127</v>
      </c>
      <c r="G30" s="16">
        <f>DATE(INT(F30/10000),INT(MOD(F30,10000)/100),MOD(F30,100))</f>
        <v>28456</v>
      </c>
      <c r="H30" s="2">
        <f>DATEDIF(G30,$G$3,"Y")</f>
        <v>43</v>
      </c>
      <c r="I30" s="17"/>
      <c r="J30" s="25">
        <v>20070621</v>
      </c>
      <c r="K30" s="16">
        <f>DATE(INT(J30/10000),INT(MOD(J30,10000)/100),MOD(J30,100))</f>
        <v>39254</v>
      </c>
      <c r="L30" s="2">
        <f>DATEDIF(K30,$G$3,"Y")</f>
        <v>14</v>
      </c>
      <c r="M30" s="25" t="e">
        <f>VLOOKUP($C30,#REF!:#REF!,2,FALSE)</f>
        <v>#REF!</v>
      </c>
      <c r="N30" s="26"/>
      <c r="O30" s="27">
        <v>0</v>
      </c>
      <c r="P30" s="223">
        <v>43021</v>
      </c>
      <c r="Q30" s="223" t="s">
        <v>349</v>
      </c>
      <c r="R30" s="22">
        <v>2</v>
      </c>
      <c r="S30" s="22"/>
      <c r="T30" s="22">
        <v>3</v>
      </c>
    </row>
    <row r="31" spans="1:20">
      <c r="A31" s="264">
        <v>31</v>
      </c>
      <c r="B31" s="21"/>
      <c r="C31" s="32">
        <v>8213</v>
      </c>
      <c r="D31" s="32" t="s">
        <v>824</v>
      </c>
      <c r="E31" s="271"/>
      <c r="F31" s="34"/>
      <c r="J31" s="30"/>
      <c r="M31" s="25" t="e">
        <f>VLOOKUP($C31,#REF!:#REF!,2,FALSE)</f>
        <v>#REF!</v>
      </c>
      <c r="N31" s="35"/>
      <c r="O31" s="345"/>
      <c r="P31" s="223">
        <v>43021</v>
      </c>
      <c r="Q31" s="223" t="s">
        <v>349</v>
      </c>
      <c r="R31" s="311"/>
      <c r="S31" s="271"/>
      <c r="T31" s="271"/>
    </row>
    <row r="32" spans="1:20">
      <c r="A32" s="264">
        <v>32</v>
      </c>
      <c r="B32" s="21">
        <v>475</v>
      </c>
      <c r="C32" s="271"/>
      <c r="D32" s="271"/>
      <c r="E32" s="23"/>
      <c r="F32" s="24"/>
      <c r="G32" s="16"/>
      <c r="H32" s="2"/>
      <c r="I32" s="17"/>
      <c r="J32" s="25"/>
      <c r="K32" s="16"/>
      <c r="M32" s="25"/>
      <c r="N32" s="26"/>
      <c r="O32" s="27"/>
      <c r="P32" s="223"/>
      <c r="Q32" s="223"/>
      <c r="R32" s="22">
        <v>2</v>
      </c>
      <c r="S32" s="22"/>
      <c r="T32" s="22">
        <v>3</v>
      </c>
    </row>
    <row r="33" spans="1:20">
      <c r="A33" s="264">
        <v>33</v>
      </c>
      <c r="B33" s="21">
        <v>477</v>
      </c>
      <c r="C33" s="271"/>
      <c r="D33" s="271"/>
      <c r="E33" s="23"/>
      <c r="F33" s="24"/>
      <c r="G33" s="16"/>
      <c r="H33" s="2"/>
      <c r="I33" s="17"/>
      <c r="J33" s="25"/>
      <c r="K33" s="16"/>
      <c r="M33" s="25"/>
      <c r="N33" s="26"/>
      <c r="O33" s="27"/>
      <c r="P33" s="223"/>
      <c r="Q33" s="223"/>
      <c r="R33" s="22">
        <v>2</v>
      </c>
      <c r="S33" s="22"/>
      <c r="T33" s="22">
        <v>3</v>
      </c>
    </row>
    <row r="34" spans="1:20">
      <c r="A34" s="264">
        <v>34</v>
      </c>
      <c r="B34" s="21">
        <v>482</v>
      </c>
      <c r="C34" s="271">
        <v>7934</v>
      </c>
      <c r="D34" s="271" t="s">
        <v>592</v>
      </c>
      <c r="E34" s="23" t="s">
        <v>34</v>
      </c>
      <c r="F34" s="24">
        <v>19670125</v>
      </c>
      <c r="G34" s="16">
        <f>DATE(INT(F34/10000),INT(MOD(F34,10000)/100),MOD(F34,100))</f>
        <v>24497</v>
      </c>
      <c r="H34" s="2">
        <f>DATEDIF(G34,$G$3,"Y")</f>
        <v>54</v>
      </c>
      <c r="I34" s="17"/>
      <c r="J34" s="25">
        <v>20070507</v>
      </c>
      <c r="K34" s="16">
        <f>DATE(INT(J34/10000),INT(MOD(J34,10000)/100),MOD(J34,100))</f>
        <v>39209</v>
      </c>
      <c r="L34" s="2">
        <f>DATEDIF(K34,$G$3,"Y")</f>
        <v>14</v>
      </c>
      <c r="M34" s="25" t="e">
        <f>VLOOKUP($C34,#REF!:#REF!,2,FALSE)</f>
        <v>#REF!</v>
      </c>
      <c r="N34" s="26"/>
      <c r="O34" s="27">
        <v>0</v>
      </c>
      <c r="P34" s="223">
        <v>43221</v>
      </c>
      <c r="Q34" s="223" t="s">
        <v>364</v>
      </c>
      <c r="R34" s="22">
        <v>2</v>
      </c>
      <c r="S34" s="22"/>
      <c r="T34" s="22">
        <v>3</v>
      </c>
    </row>
    <row r="35" spans="1:20">
      <c r="A35" s="264">
        <v>35</v>
      </c>
      <c r="B35" s="21"/>
      <c r="C35" s="32">
        <v>8218</v>
      </c>
      <c r="D35" s="32" t="s">
        <v>864</v>
      </c>
      <c r="E35" s="33" t="s">
        <v>863</v>
      </c>
      <c r="F35" s="34"/>
      <c r="J35" s="30"/>
      <c r="M35" s="30"/>
      <c r="N35" s="35"/>
      <c r="O35" s="345"/>
      <c r="P35" s="223">
        <v>43221</v>
      </c>
      <c r="Q35" s="223" t="s">
        <v>364</v>
      </c>
      <c r="R35" s="311"/>
      <c r="S35" s="271"/>
      <c r="T35" s="271"/>
    </row>
    <row r="36" spans="1:20">
      <c r="A36" s="264">
        <v>36</v>
      </c>
      <c r="B36" s="21"/>
      <c r="C36" s="32"/>
      <c r="D36" s="32"/>
      <c r="E36" s="271"/>
      <c r="F36" s="34"/>
      <c r="J36" s="30"/>
      <c r="M36" s="30"/>
      <c r="N36" s="35"/>
      <c r="O36" s="345"/>
      <c r="P36" s="223"/>
      <c r="Q36" s="223"/>
      <c r="R36" s="311"/>
      <c r="S36" s="271"/>
      <c r="T36" s="271"/>
    </row>
    <row r="37" spans="1:20">
      <c r="A37" s="264">
        <v>37</v>
      </c>
      <c r="B37" s="21">
        <v>519</v>
      </c>
      <c r="C37" s="271">
        <v>8162</v>
      </c>
      <c r="D37" s="271" t="s">
        <v>603</v>
      </c>
      <c r="E37" s="23" t="s">
        <v>34</v>
      </c>
      <c r="F37" s="24">
        <v>19600902</v>
      </c>
      <c r="G37" s="16">
        <f>DATE(INT(F37/10000),INT(MOD(F37,10000)/100),MOD(F37,100))</f>
        <v>22161</v>
      </c>
      <c r="H37" s="2">
        <f>DATEDIF(G37,$G$3,"Y")</f>
        <v>60</v>
      </c>
      <c r="I37" s="17"/>
      <c r="J37" s="25">
        <v>20170313</v>
      </c>
      <c r="K37" s="16">
        <f>DATE(INT(J37/10000),INT(MOD(J37,10000)/100),MOD(J37,100))</f>
        <v>42807</v>
      </c>
      <c r="L37" s="2">
        <f>DATEDIF(K37,$G$3,"Y")</f>
        <v>4</v>
      </c>
      <c r="M37" s="25" t="e">
        <f>VLOOKUP($C37,#REF!:#REF!,2,FALSE)</f>
        <v>#REF!</v>
      </c>
      <c r="N37" s="26"/>
      <c r="O37" s="27">
        <v>0</v>
      </c>
      <c r="P37" s="223">
        <v>43321</v>
      </c>
      <c r="Q37" s="223" t="s">
        <v>377</v>
      </c>
      <c r="R37" s="22">
        <v>2</v>
      </c>
      <c r="S37" s="22"/>
      <c r="T37" s="22">
        <v>3</v>
      </c>
    </row>
    <row r="38" spans="1:20">
      <c r="A38" s="264">
        <v>38</v>
      </c>
      <c r="B38" s="21">
        <v>400</v>
      </c>
      <c r="C38" s="271">
        <v>8210</v>
      </c>
      <c r="D38" s="271" t="s">
        <v>379</v>
      </c>
      <c r="E38" s="23" t="s">
        <v>15</v>
      </c>
      <c r="F38" s="24">
        <v>19620404</v>
      </c>
      <c r="G38" s="16">
        <f>DATE(INT(F38/10000),INT(MOD(F38,10000)/100),MOD(F38,100))</f>
        <v>22740</v>
      </c>
      <c r="H38" s="2">
        <f>DATEDIF(G38,$G$3,"Y")</f>
        <v>59</v>
      </c>
      <c r="I38" s="17"/>
      <c r="J38" s="25">
        <v>20021107</v>
      </c>
      <c r="K38" s="16">
        <f>DATE(INT(J38/10000),INT(MOD(J38,10000)/100),MOD(J38,100))</f>
        <v>37567</v>
      </c>
      <c r="L38" s="2">
        <f>DATEDIF(K38,$G$3,"Y")</f>
        <v>18</v>
      </c>
      <c r="M38" s="25" t="e">
        <f>VLOOKUP($C38,#REF!:#REF!,2,FALSE)</f>
        <v>#REF!</v>
      </c>
      <c r="N38" s="26"/>
      <c r="O38" s="27" t="s">
        <v>35</v>
      </c>
      <c r="P38" s="223">
        <v>43321</v>
      </c>
      <c r="Q38" s="223" t="s">
        <v>377</v>
      </c>
      <c r="R38" s="22">
        <v>1</v>
      </c>
      <c r="S38" s="22" t="s">
        <v>679</v>
      </c>
      <c r="T38" s="22">
        <v>2</v>
      </c>
    </row>
    <row r="39" spans="1:20">
      <c r="A39" s="264">
        <v>40</v>
      </c>
      <c r="B39" s="21"/>
      <c r="C39" s="32">
        <v>8232</v>
      </c>
      <c r="D39" s="32" t="s">
        <v>900</v>
      </c>
      <c r="E39" s="271"/>
      <c r="F39" s="34"/>
      <c r="J39" s="30"/>
      <c r="M39" s="30"/>
      <c r="N39" s="35"/>
      <c r="O39" s="345"/>
      <c r="P39" s="44" t="s">
        <v>904</v>
      </c>
      <c r="Q39" s="223" t="s">
        <v>920</v>
      </c>
      <c r="R39" s="311"/>
      <c r="S39" s="271"/>
      <c r="T39" s="271"/>
    </row>
    <row r="40" spans="1:20">
      <c r="A40" s="264">
        <v>41</v>
      </c>
      <c r="B40" s="21"/>
      <c r="C40" s="32">
        <v>8199</v>
      </c>
      <c r="D40" s="271" t="s">
        <v>580</v>
      </c>
      <c r="E40" s="33" t="s">
        <v>678</v>
      </c>
      <c r="F40" s="34"/>
      <c r="J40" s="30"/>
      <c r="M40" s="25" t="e">
        <f>VLOOKUP($C40,#REF!:#REF!,2,FALSE)</f>
        <v>#REF!</v>
      </c>
      <c r="N40" s="35"/>
      <c r="O40" s="345"/>
      <c r="P40" s="223">
        <v>44220</v>
      </c>
      <c r="Q40" s="223" t="s">
        <v>114</v>
      </c>
      <c r="R40" s="22"/>
      <c r="S40" s="22"/>
      <c r="T40" s="22"/>
    </row>
    <row r="41" spans="1:20">
      <c r="A41" s="264">
        <v>42</v>
      </c>
      <c r="B41" s="21">
        <v>486</v>
      </c>
      <c r="C41" s="271">
        <v>7963</v>
      </c>
      <c r="D41" s="271" t="s">
        <v>595</v>
      </c>
      <c r="E41" s="23" t="s">
        <v>34</v>
      </c>
      <c r="F41" s="24">
        <v>19580305</v>
      </c>
      <c r="G41" s="16">
        <f>DATE(INT(F41/10000),INT(MOD(F41,10000)/100),MOD(F41,100))</f>
        <v>21249</v>
      </c>
      <c r="H41" s="2">
        <f>DATEDIF(G41,$G$3,"Y")</f>
        <v>63</v>
      </c>
      <c r="I41" s="17"/>
      <c r="J41" s="25">
        <v>20070903</v>
      </c>
      <c r="K41" s="16">
        <f>DATE(INT(J41/10000),INT(MOD(J41,10000)/100),MOD(J41,100))</f>
        <v>39328</v>
      </c>
      <c r="L41" s="2">
        <f>DATEDIF(K41,$G$3,"Y")</f>
        <v>13</v>
      </c>
      <c r="M41" s="25" t="e">
        <f>VLOOKUP($C41,#REF!:#REF!,2,FALSE)</f>
        <v>#REF!</v>
      </c>
      <c r="N41" s="26"/>
      <c r="O41" s="27">
        <v>0</v>
      </c>
      <c r="P41" s="223">
        <v>44220</v>
      </c>
      <c r="Q41" s="223" t="s">
        <v>114</v>
      </c>
      <c r="R41" s="22">
        <v>2</v>
      </c>
      <c r="S41" s="22"/>
      <c r="T41" s="22">
        <v>3</v>
      </c>
    </row>
    <row r="42" spans="1:20">
      <c r="A42" s="264">
        <v>43</v>
      </c>
      <c r="B42" s="21">
        <v>478</v>
      </c>
      <c r="C42" s="271">
        <v>7850</v>
      </c>
      <c r="D42" s="271" t="s">
        <v>536</v>
      </c>
      <c r="E42" s="23" t="s">
        <v>15</v>
      </c>
      <c r="F42" s="24">
        <v>19870118</v>
      </c>
      <c r="G42" s="16">
        <f>DATE(INT(F42/10000),INT(MOD(F42,10000)/100),MOD(F42,100))</f>
        <v>31795</v>
      </c>
      <c r="H42" s="2">
        <f>DATEDIF(G42,$G$3,"Y")</f>
        <v>34</v>
      </c>
      <c r="I42" s="17"/>
      <c r="J42" s="25">
        <v>20050321</v>
      </c>
      <c r="K42" s="16">
        <f>DATE(INT(J42/10000),INT(MOD(J42,10000)/100),MOD(J42,100))</f>
        <v>38432</v>
      </c>
      <c r="L42" s="2">
        <f>DATEDIF(K42,$G$3,"Y")</f>
        <v>16</v>
      </c>
      <c r="M42" s="25" t="e">
        <f>VLOOKUP($C42,#REF!:#REF!,2,FALSE)</f>
        <v>#REF!</v>
      </c>
      <c r="N42" s="26"/>
      <c r="O42" s="27">
        <v>0</v>
      </c>
      <c r="P42" s="223">
        <v>44521</v>
      </c>
      <c r="Q42" s="223" t="s">
        <v>389</v>
      </c>
      <c r="R42" s="22">
        <v>2</v>
      </c>
      <c r="S42" s="22"/>
      <c r="T42" s="22">
        <v>3</v>
      </c>
    </row>
    <row r="43" spans="1:20">
      <c r="A43" s="264">
        <v>44</v>
      </c>
      <c r="B43" s="21"/>
      <c r="C43" s="32"/>
      <c r="D43" s="32"/>
      <c r="E43" s="271"/>
      <c r="F43" s="34"/>
      <c r="J43" s="30"/>
      <c r="M43" s="30"/>
      <c r="N43" s="35"/>
      <c r="O43" s="345"/>
      <c r="Q43" s="223"/>
      <c r="R43" s="311"/>
      <c r="S43" s="271"/>
      <c r="T43" s="271"/>
    </row>
    <row r="44" spans="1:20">
      <c r="A44" s="264">
        <v>45</v>
      </c>
      <c r="B44" s="21"/>
      <c r="C44" s="32">
        <v>8230</v>
      </c>
      <c r="D44" s="32" t="s">
        <v>897</v>
      </c>
      <c r="E44" s="271"/>
      <c r="F44" s="34"/>
      <c r="J44" s="30"/>
      <c r="M44" s="30"/>
      <c r="N44" s="35"/>
      <c r="O44" s="345"/>
      <c r="P44" s="44" t="s">
        <v>898</v>
      </c>
      <c r="Q44" s="223" t="s">
        <v>389</v>
      </c>
      <c r="R44" s="311"/>
      <c r="S44" s="271"/>
      <c r="T44" s="271"/>
    </row>
    <row r="45" spans="1:20">
      <c r="A45" s="264">
        <v>46</v>
      </c>
      <c r="B45" s="21">
        <v>531</v>
      </c>
      <c r="C45" s="271">
        <v>8184</v>
      </c>
      <c r="D45" s="271" t="s">
        <v>567</v>
      </c>
      <c r="E45" s="23" t="s">
        <v>15</v>
      </c>
      <c r="F45" s="24">
        <v>19590226</v>
      </c>
      <c r="G45" s="16">
        <f t="shared" ref="G45:G53" si="4">DATE(INT(F45/10000),INT(MOD(F45,10000)/100),MOD(F45,100))</f>
        <v>21607</v>
      </c>
      <c r="H45" s="2">
        <f t="shared" ref="H45:H53" si="5">DATEDIF(G45,$G$3,"Y")</f>
        <v>62</v>
      </c>
      <c r="I45" s="17"/>
      <c r="J45" s="25">
        <v>20020701</v>
      </c>
      <c r="K45" s="16">
        <f t="shared" ref="K45:K53" si="6">DATE(INT(J45/10000),INT(MOD(J45,10000)/100),MOD(J45,100))</f>
        <v>37438</v>
      </c>
      <c r="L45" s="2">
        <f t="shared" ref="L45:L53" si="7">DATEDIF(K45,$G$3,"Y")</f>
        <v>19</v>
      </c>
      <c r="M45" s="25" t="e">
        <f>VLOOKUP($C45,#REF!:#REF!,2,FALSE)</f>
        <v>#REF!</v>
      </c>
      <c r="N45" s="26"/>
      <c r="O45" s="27">
        <v>0</v>
      </c>
      <c r="P45" s="223">
        <v>45121</v>
      </c>
      <c r="Q45" s="223" t="s">
        <v>396</v>
      </c>
      <c r="R45" s="22">
        <v>2</v>
      </c>
      <c r="S45" s="22"/>
      <c r="T45" s="22">
        <v>3</v>
      </c>
    </row>
    <row r="46" spans="1:20">
      <c r="A46" s="264">
        <v>47</v>
      </c>
      <c r="B46" s="21">
        <v>1</v>
      </c>
      <c r="C46" s="271">
        <v>8209</v>
      </c>
      <c r="D46" s="271" t="s">
        <v>130</v>
      </c>
      <c r="E46" s="23" t="s">
        <v>15</v>
      </c>
      <c r="F46" s="24">
        <v>19620113</v>
      </c>
      <c r="G46" s="16">
        <f t="shared" si="4"/>
        <v>22659</v>
      </c>
      <c r="H46" s="2">
        <f t="shared" si="5"/>
        <v>59</v>
      </c>
      <c r="I46" s="17"/>
      <c r="J46" s="25">
        <v>19881221</v>
      </c>
      <c r="K46" s="16">
        <f t="shared" si="6"/>
        <v>32498</v>
      </c>
      <c r="L46" s="2">
        <f t="shared" si="7"/>
        <v>32</v>
      </c>
      <c r="M46" s="25" t="e">
        <f>VLOOKUP($C46,#REF!:#REF!,2,FALSE)</f>
        <v>#REF!</v>
      </c>
      <c r="N46" s="26"/>
      <c r="O46" s="27" t="s">
        <v>16</v>
      </c>
      <c r="P46" s="223">
        <v>60020</v>
      </c>
      <c r="Q46" s="223" t="s">
        <v>131</v>
      </c>
      <c r="R46" s="22">
        <v>0</v>
      </c>
      <c r="S46" s="22"/>
      <c r="T46" s="22">
        <v>1</v>
      </c>
    </row>
    <row r="47" spans="1:20">
      <c r="A47" s="264">
        <v>48</v>
      </c>
      <c r="B47" s="21"/>
      <c r="C47" s="271"/>
      <c r="D47" s="271"/>
      <c r="E47" s="23"/>
      <c r="F47" s="24"/>
      <c r="G47" s="16"/>
      <c r="H47" s="2"/>
      <c r="I47" s="17"/>
      <c r="J47" s="25"/>
      <c r="K47" s="16"/>
      <c r="M47" s="25"/>
      <c r="N47" s="26"/>
      <c r="O47" s="27"/>
      <c r="P47" s="223"/>
      <c r="Q47" s="223"/>
      <c r="R47" s="22">
        <v>2</v>
      </c>
      <c r="S47" s="22"/>
      <c r="T47" s="22">
        <v>3</v>
      </c>
    </row>
    <row r="48" spans="1:20">
      <c r="A48" s="264">
        <v>49</v>
      </c>
      <c r="B48" s="21">
        <v>524</v>
      </c>
      <c r="C48" s="271">
        <v>8171</v>
      </c>
      <c r="D48" s="271" t="s">
        <v>563</v>
      </c>
      <c r="E48" s="23" t="s">
        <v>15</v>
      </c>
      <c r="F48" s="24">
        <v>19571123</v>
      </c>
      <c r="G48" s="16">
        <f t="shared" si="4"/>
        <v>21147</v>
      </c>
      <c r="H48" s="2">
        <f t="shared" si="5"/>
        <v>63</v>
      </c>
      <c r="I48" s="17"/>
      <c r="J48" s="25">
        <v>19760329</v>
      </c>
      <c r="K48" s="16">
        <f t="shared" si="6"/>
        <v>27848</v>
      </c>
      <c r="L48" s="2">
        <f t="shared" si="7"/>
        <v>45</v>
      </c>
      <c r="M48" s="25" t="e">
        <f>VLOOKUP($C48,#REF!:#REF!,2,FALSE)</f>
        <v>#REF!</v>
      </c>
      <c r="N48" s="26"/>
      <c r="O48" s="27">
        <v>0</v>
      </c>
      <c r="P48" s="223">
        <v>60320</v>
      </c>
      <c r="Q48" s="223" t="s">
        <v>138</v>
      </c>
      <c r="R48" s="22">
        <v>2</v>
      </c>
      <c r="S48" s="22"/>
      <c r="T48" s="22">
        <v>3</v>
      </c>
    </row>
    <row r="49" spans="1:20">
      <c r="A49" s="264">
        <v>50</v>
      </c>
      <c r="B49" s="21">
        <v>489</v>
      </c>
      <c r="C49" s="271">
        <v>8033</v>
      </c>
      <c r="D49" s="271" t="s">
        <v>596</v>
      </c>
      <c r="E49" s="23" t="s">
        <v>34</v>
      </c>
      <c r="F49" s="24">
        <v>19710131</v>
      </c>
      <c r="G49" s="16">
        <f t="shared" si="4"/>
        <v>25964</v>
      </c>
      <c r="H49" s="2">
        <f t="shared" si="5"/>
        <v>50</v>
      </c>
      <c r="I49" s="17"/>
      <c r="J49" s="25">
        <v>20100521</v>
      </c>
      <c r="K49" s="16">
        <f t="shared" si="6"/>
        <v>40319</v>
      </c>
      <c r="L49" s="2">
        <f t="shared" si="7"/>
        <v>11</v>
      </c>
      <c r="M49" s="25" t="e">
        <f>VLOOKUP($C49,#REF!:#REF!,2,FALSE)</f>
        <v>#REF!</v>
      </c>
      <c r="N49" s="26"/>
      <c r="O49" s="27">
        <v>0</v>
      </c>
      <c r="P49" s="223">
        <v>60421</v>
      </c>
      <c r="Q49" s="223" t="s">
        <v>411</v>
      </c>
      <c r="R49" s="22">
        <v>2</v>
      </c>
      <c r="S49" s="22"/>
      <c r="T49" s="22">
        <v>3</v>
      </c>
    </row>
    <row r="50" spans="1:20">
      <c r="A50" s="264">
        <v>51</v>
      </c>
      <c r="B50" s="21">
        <v>507</v>
      </c>
      <c r="C50" s="271">
        <v>8126</v>
      </c>
      <c r="D50" s="271" t="s">
        <v>600</v>
      </c>
      <c r="E50" s="23" t="s">
        <v>34</v>
      </c>
      <c r="F50" s="24">
        <v>19900319</v>
      </c>
      <c r="G50" s="16">
        <f t="shared" si="4"/>
        <v>32951</v>
      </c>
      <c r="H50" s="2">
        <f t="shared" si="5"/>
        <v>31</v>
      </c>
      <c r="I50" s="17"/>
      <c r="J50" s="25">
        <v>20140107</v>
      </c>
      <c r="K50" s="16">
        <f t="shared" si="6"/>
        <v>41646</v>
      </c>
      <c r="L50" s="2">
        <f t="shared" si="7"/>
        <v>7</v>
      </c>
      <c r="M50" s="25" t="e">
        <f>VLOOKUP($C50,#REF!:#REF!,2,FALSE)</f>
        <v>#REF!</v>
      </c>
      <c r="N50" s="26"/>
      <c r="O50" s="27">
        <v>0</v>
      </c>
      <c r="P50" s="223">
        <v>60421</v>
      </c>
      <c r="Q50" s="223" t="s">
        <v>411</v>
      </c>
      <c r="R50" s="22">
        <v>2</v>
      </c>
      <c r="S50" s="22"/>
      <c r="T50" s="22">
        <v>3</v>
      </c>
    </row>
    <row r="51" spans="1:20">
      <c r="A51" s="264">
        <v>54</v>
      </c>
      <c r="B51" s="21">
        <v>81</v>
      </c>
      <c r="C51" s="271">
        <v>8205</v>
      </c>
      <c r="D51" s="271" t="s">
        <v>148</v>
      </c>
      <c r="E51" s="23" t="s">
        <v>15</v>
      </c>
      <c r="F51" s="24">
        <v>19610802</v>
      </c>
      <c r="G51" s="16">
        <f t="shared" si="4"/>
        <v>22495</v>
      </c>
      <c r="H51" s="2">
        <f t="shared" si="5"/>
        <v>59</v>
      </c>
      <c r="I51" s="17"/>
      <c r="J51" s="25">
        <v>19850325</v>
      </c>
      <c r="K51" s="16">
        <f t="shared" si="6"/>
        <v>31131</v>
      </c>
      <c r="L51" s="2">
        <f t="shared" si="7"/>
        <v>36</v>
      </c>
      <c r="M51" s="25" t="e">
        <f>VLOOKUP($C51,#REF!:#REF!,2,FALSE)</f>
        <v>#REF!</v>
      </c>
      <c r="N51" s="26"/>
      <c r="O51" s="27" t="s">
        <v>16</v>
      </c>
      <c r="P51" s="223">
        <v>61020</v>
      </c>
      <c r="Q51" s="223" t="s">
        <v>147</v>
      </c>
      <c r="R51" s="22">
        <v>0</v>
      </c>
      <c r="S51" s="271"/>
      <c r="T51" s="22">
        <v>1</v>
      </c>
    </row>
    <row r="52" spans="1:20">
      <c r="A52" s="264">
        <v>55</v>
      </c>
      <c r="B52" s="21">
        <v>533</v>
      </c>
      <c r="C52" s="271">
        <v>8187</v>
      </c>
      <c r="D52" s="271" t="s">
        <v>569</v>
      </c>
      <c r="E52" s="23" t="s">
        <v>678</v>
      </c>
      <c r="F52" s="24">
        <v>19591001</v>
      </c>
      <c r="G52" s="16">
        <f t="shared" si="4"/>
        <v>21824</v>
      </c>
      <c r="H52" s="2">
        <f t="shared" si="5"/>
        <v>61</v>
      </c>
      <c r="I52" s="17"/>
      <c r="J52" s="25">
        <v>19760323</v>
      </c>
      <c r="K52" s="16">
        <f t="shared" si="6"/>
        <v>27842</v>
      </c>
      <c r="L52" s="2">
        <f t="shared" si="7"/>
        <v>45</v>
      </c>
      <c r="M52" s="25" t="e">
        <f>VLOOKUP($C52,#REF!:#REF!,2,FALSE)</f>
        <v>#REF!</v>
      </c>
      <c r="N52" s="26"/>
      <c r="O52" s="27">
        <v>0</v>
      </c>
      <c r="P52" s="223">
        <v>61220</v>
      </c>
      <c r="Q52" s="223" t="s">
        <v>158</v>
      </c>
      <c r="R52" s="22">
        <v>2</v>
      </c>
      <c r="S52" s="22"/>
      <c r="T52" s="22">
        <v>3</v>
      </c>
    </row>
    <row r="53" spans="1:20">
      <c r="A53" s="264">
        <v>56</v>
      </c>
      <c r="B53" s="21">
        <v>64</v>
      </c>
      <c r="C53" s="271">
        <v>8200</v>
      </c>
      <c r="D53" s="271" t="s">
        <v>581</v>
      </c>
      <c r="E53" s="23" t="s">
        <v>15</v>
      </c>
      <c r="F53" s="24">
        <v>19610404</v>
      </c>
      <c r="G53" s="16">
        <f t="shared" si="4"/>
        <v>22375</v>
      </c>
      <c r="H53" s="2">
        <f t="shared" si="5"/>
        <v>60</v>
      </c>
      <c r="I53" s="17"/>
      <c r="J53" s="25">
        <v>19800324</v>
      </c>
      <c r="K53" s="16">
        <f t="shared" si="6"/>
        <v>29304</v>
      </c>
      <c r="L53" s="2">
        <f t="shared" si="7"/>
        <v>41</v>
      </c>
      <c r="M53" s="25" t="e">
        <f>VLOOKUP($C53,#REF!:#REF!,2,FALSE)</f>
        <v>#REF!</v>
      </c>
      <c r="N53" s="26"/>
      <c r="O53" s="27" t="s">
        <v>89</v>
      </c>
      <c r="P53" s="223">
        <v>61220</v>
      </c>
      <c r="Q53" s="223" t="s">
        <v>158</v>
      </c>
      <c r="R53" s="22">
        <v>0</v>
      </c>
      <c r="S53" s="22"/>
      <c r="T53" s="22">
        <v>1</v>
      </c>
    </row>
    <row r="54" spans="1:20">
      <c r="A54" s="264">
        <v>58</v>
      </c>
      <c r="B54" s="37"/>
      <c r="C54" s="42">
        <v>8196</v>
      </c>
      <c r="D54" s="37" t="s">
        <v>577</v>
      </c>
      <c r="E54" s="231" t="s">
        <v>678</v>
      </c>
      <c r="F54" s="310"/>
      <c r="J54" s="310"/>
      <c r="M54" s="25" t="e">
        <f>VLOOKUP($C54,#REF!:#REF!,2,FALSE)</f>
        <v>#REF!</v>
      </c>
      <c r="N54" s="310"/>
      <c r="O54" s="344"/>
      <c r="P54" s="223">
        <v>61320</v>
      </c>
      <c r="Q54" s="223" t="s">
        <v>162</v>
      </c>
      <c r="R54" s="37"/>
      <c r="S54" s="37"/>
      <c r="T54" s="37"/>
    </row>
    <row r="55" spans="1:20">
      <c r="A55" s="264">
        <v>61</v>
      </c>
      <c r="B55" s="21">
        <v>380</v>
      </c>
      <c r="C55" s="271">
        <v>8201</v>
      </c>
      <c r="D55" s="271" t="s">
        <v>582</v>
      </c>
      <c r="E55" s="23" t="s">
        <v>15</v>
      </c>
      <c r="F55" s="24">
        <v>19610502</v>
      </c>
      <c r="G55" s="16">
        <f t="shared" ref="G55:G60" si="8">DATE(INT(F55/10000),INT(MOD(F55,10000)/100),MOD(F55,100))</f>
        <v>22403</v>
      </c>
      <c r="H55" s="2">
        <f t="shared" ref="H55:H60" si="9">DATEDIF(G55,$G$3,"Y")</f>
        <v>60</v>
      </c>
      <c r="I55" s="17"/>
      <c r="J55" s="25">
        <v>19941121</v>
      </c>
      <c r="K55" s="16">
        <f t="shared" ref="K55:K60" si="10">DATE(INT(J55/10000),INT(MOD(J55,10000)/100),MOD(J55,100))</f>
        <v>34659</v>
      </c>
      <c r="L55" s="2">
        <f t="shared" ref="L55:L60" si="11">DATEDIF(K55,$G$3,"Y")</f>
        <v>26</v>
      </c>
      <c r="M55" s="25" t="e">
        <f>VLOOKUP($C55,#REF!:#REF!,2,FALSE)</f>
        <v>#REF!</v>
      </c>
      <c r="N55" s="26"/>
      <c r="O55" s="27" t="s">
        <v>35</v>
      </c>
      <c r="P55" s="223">
        <v>64021</v>
      </c>
      <c r="Q55" s="223" t="s">
        <v>416</v>
      </c>
      <c r="R55" s="22">
        <v>1</v>
      </c>
      <c r="S55" s="22" t="s">
        <v>679</v>
      </c>
      <c r="T55" s="22">
        <v>2</v>
      </c>
    </row>
    <row r="56" spans="1:20">
      <c r="A56" s="264">
        <v>62</v>
      </c>
      <c r="B56" s="21">
        <v>500</v>
      </c>
      <c r="C56" s="271">
        <v>8092</v>
      </c>
      <c r="D56" s="271" t="s">
        <v>598</v>
      </c>
      <c r="E56" s="23" t="s">
        <v>34</v>
      </c>
      <c r="F56" s="24">
        <v>19660728</v>
      </c>
      <c r="G56" s="16">
        <f t="shared" si="8"/>
        <v>24316</v>
      </c>
      <c r="H56" s="2">
        <f t="shared" si="9"/>
        <v>54</v>
      </c>
      <c r="I56" s="17"/>
      <c r="J56" s="25">
        <v>20120221</v>
      </c>
      <c r="K56" s="16">
        <f t="shared" si="10"/>
        <v>40960</v>
      </c>
      <c r="L56" s="2">
        <f t="shared" si="11"/>
        <v>9</v>
      </c>
      <c r="M56" s="25" t="e">
        <f>VLOOKUP($C56,#REF!:#REF!,2,FALSE)</f>
        <v>#REF!</v>
      </c>
      <c r="N56" s="26"/>
      <c r="O56" s="27">
        <v>0</v>
      </c>
      <c r="P56" s="223">
        <v>64021</v>
      </c>
      <c r="Q56" s="223" t="s">
        <v>416</v>
      </c>
      <c r="R56" s="22">
        <v>2</v>
      </c>
      <c r="S56" s="22"/>
      <c r="T56" s="22">
        <v>3</v>
      </c>
    </row>
    <row r="57" spans="1:20">
      <c r="A57" s="264">
        <v>64</v>
      </c>
      <c r="B57" s="21">
        <v>481</v>
      </c>
      <c r="C57" s="271">
        <v>7923</v>
      </c>
      <c r="D57" s="271" t="s">
        <v>537</v>
      </c>
      <c r="E57" s="23" t="s">
        <v>15</v>
      </c>
      <c r="F57" s="24">
        <v>19610103</v>
      </c>
      <c r="G57" s="16">
        <f t="shared" si="8"/>
        <v>22284</v>
      </c>
      <c r="H57" s="2">
        <f t="shared" si="9"/>
        <v>60</v>
      </c>
      <c r="I57" s="17"/>
      <c r="J57" s="25">
        <v>20070201</v>
      </c>
      <c r="K57" s="16">
        <f t="shared" si="10"/>
        <v>39114</v>
      </c>
      <c r="L57" s="2">
        <f t="shared" si="11"/>
        <v>14</v>
      </c>
      <c r="M57" s="25" t="e">
        <f>VLOOKUP($C57,#REF!:#REF!,2,FALSE)</f>
        <v>#REF!</v>
      </c>
      <c r="N57" s="26"/>
      <c r="O57" s="27">
        <v>0</v>
      </c>
      <c r="P57" s="223">
        <v>65021</v>
      </c>
      <c r="Q57" s="223" t="s">
        <v>433</v>
      </c>
      <c r="R57" s="22">
        <v>2</v>
      </c>
      <c r="S57" s="22"/>
      <c r="T57" s="22">
        <v>3</v>
      </c>
    </row>
    <row r="58" spans="1:20">
      <c r="A58" s="264">
        <v>65</v>
      </c>
      <c r="B58" s="21">
        <v>526</v>
      </c>
      <c r="C58" s="271">
        <v>8175</v>
      </c>
      <c r="D58" s="271" t="s">
        <v>565</v>
      </c>
      <c r="E58" s="23" t="s">
        <v>15</v>
      </c>
      <c r="F58" s="24">
        <v>19760819</v>
      </c>
      <c r="G58" s="16">
        <f t="shared" si="8"/>
        <v>27991</v>
      </c>
      <c r="H58" s="2">
        <f t="shared" si="9"/>
        <v>44</v>
      </c>
      <c r="I58" s="17"/>
      <c r="J58" s="25">
        <v>20180601</v>
      </c>
      <c r="K58" s="16">
        <f t="shared" si="10"/>
        <v>43252</v>
      </c>
      <c r="L58" s="2">
        <f t="shared" si="11"/>
        <v>3</v>
      </c>
      <c r="M58" s="25" t="e">
        <f>VLOOKUP($C58,#REF!:#REF!,2,FALSE)</f>
        <v>#REF!</v>
      </c>
      <c r="N58" s="26"/>
      <c r="O58" s="27">
        <v>0</v>
      </c>
      <c r="P58" s="223">
        <v>65021</v>
      </c>
      <c r="Q58" s="223" t="s">
        <v>433</v>
      </c>
      <c r="R58" s="22">
        <v>2</v>
      </c>
      <c r="S58" s="22"/>
      <c r="T58" s="22">
        <v>3</v>
      </c>
    </row>
    <row r="59" spans="1:20">
      <c r="A59" s="264">
        <v>66</v>
      </c>
      <c r="B59" s="21">
        <v>538</v>
      </c>
      <c r="C59" s="271">
        <v>8192</v>
      </c>
      <c r="D59" s="271" t="s">
        <v>573</v>
      </c>
      <c r="E59" s="23" t="s">
        <v>678</v>
      </c>
      <c r="F59" s="24">
        <v>19600225</v>
      </c>
      <c r="G59" s="16">
        <f t="shared" si="8"/>
        <v>21971</v>
      </c>
      <c r="H59" s="2">
        <f t="shared" si="9"/>
        <v>61</v>
      </c>
      <c r="I59" s="17"/>
      <c r="J59" s="25">
        <v>19780313</v>
      </c>
      <c r="K59" s="16">
        <f t="shared" si="10"/>
        <v>28562</v>
      </c>
      <c r="L59" s="2">
        <f t="shared" si="11"/>
        <v>43</v>
      </c>
      <c r="M59" s="25" t="e">
        <f>VLOOKUP($C59,#REF!:#REF!,2,FALSE)</f>
        <v>#REF!</v>
      </c>
      <c r="N59" s="26"/>
      <c r="O59" s="27">
        <v>0</v>
      </c>
      <c r="P59" s="223">
        <v>65021</v>
      </c>
      <c r="Q59" s="223" t="s">
        <v>433</v>
      </c>
      <c r="R59" s="22">
        <v>2</v>
      </c>
      <c r="S59" s="22"/>
      <c r="T59" s="22">
        <v>3</v>
      </c>
    </row>
    <row r="60" spans="1:20">
      <c r="A60" s="264">
        <v>68</v>
      </c>
      <c r="B60" s="37">
        <v>470</v>
      </c>
      <c r="C60" s="38">
        <v>7644</v>
      </c>
      <c r="D60" s="38" t="s">
        <v>585</v>
      </c>
      <c r="E60" s="50" t="s">
        <v>34</v>
      </c>
      <c r="F60" s="19">
        <v>19671022</v>
      </c>
      <c r="G60" s="16">
        <f t="shared" si="8"/>
        <v>24767</v>
      </c>
      <c r="H60" s="2">
        <f t="shared" si="9"/>
        <v>53</v>
      </c>
      <c r="I60" s="17"/>
      <c r="J60" s="19">
        <v>20000216</v>
      </c>
      <c r="K60" s="16">
        <f t="shared" si="10"/>
        <v>36572</v>
      </c>
      <c r="L60" s="2">
        <f t="shared" si="11"/>
        <v>21</v>
      </c>
      <c r="M60" s="25" t="e">
        <f>VLOOKUP($C60,#REF!:#REF!,2,FALSE)</f>
        <v>#REF!</v>
      </c>
      <c r="N60" s="19"/>
      <c r="O60" s="40">
        <v>0</v>
      </c>
      <c r="P60" s="223">
        <v>66021</v>
      </c>
      <c r="Q60" s="223" t="s">
        <v>449</v>
      </c>
      <c r="R60" s="37">
        <v>2</v>
      </c>
      <c r="S60" s="37"/>
      <c r="T60" s="37">
        <v>3</v>
      </c>
    </row>
    <row r="61" spans="1:20">
      <c r="A61" s="264">
        <v>69</v>
      </c>
      <c r="C61" s="42">
        <v>8231</v>
      </c>
      <c r="D61" s="42" t="s">
        <v>899</v>
      </c>
      <c r="E61" s="308"/>
      <c r="P61" s="223">
        <v>66021</v>
      </c>
      <c r="Q61" s="223" t="s">
        <v>449</v>
      </c>
    </row>
    <row r="62" spans="1:20">
      <c r="A62" s="264">
        <v>70</v>
      </c>
      <c r="B62" s="37">
        <v>540</v>
      </c>
      <c r="C62" s="38">
        <v>8194</v>
      </c>
      <c r="D62" s="38" t="s">
        <v>575</v>
      </c>
      <c r="E62" s="309" t="s">
        <v>678</v>
      </c>
      <c r="F62" s="19">
        <v>19600816</v>
      </c>
      <c r="G62" s="16">
        <f t="shared" ref="G62:G75" si="12">DATE(INT(F62/10000),INT(MOD(F62,10000)/100),MOD(F62,100))</f>
        <v>22144</v>
      </c>
      <c r="H62" s="2">
        <f>DATEDIF(G62,$G$3,"Y")</f>
        <v>60</v>
      </c>
      <c r="I62" s="17"/>
      <c r="J62" s="19">
        <v>19770323</v>
      </c>
      <c r="K62" s="16">
        <f t="shared" ref="K62:K75" si="13">DATE(INT(J62/10000),INT(MOD(J62,10000)/100),MOD(J62,100))</f>
        <v>28207</v>
      </c>
      <c r="L62" s="2">
        <f>DATEDIF(K62,$G$3,"Y")</f>
        <v>44</v>
      </c>
      <c r="M62" s="19" t="e">
        <f>VLOOKUP($C62,#REF!:#REF!,2,FALSE)</f>
        <v>#REF!</v>
      </c>
      <c r="N62" s="19"/>
      <c r="O62" s="40">
        <v>0</v>
      </c>
      <c r="P62" s="223">
        <v>67021</v>
      </c>
      <c r="Q62" s="223" t="s">
        <v>466</v>
      </c>
      <c r="R62" s="37">
        <v>2</v>
      </c>
      <c r="S62" s="37"/>
      <c r="T62" s="37">
        <v>3</v>
      </c>
    </row>
    <row r="63" spans="1:20">
      <c r="A63" s="264">
        <v>71</v>
      </c>
      <c r="B63" s="37">
        <v>515</v>
      </c>
      <c r="C63" s="38">
        <v>8154</v>
      </c>
      <c r="D63" s="38" t="s">
        <v>558</v>
      </c>
      <c r="E63" s="309" t="s">
        <v>15</v>
      </c>
      <c r="F63" s="19">
        <v>19550929</v>
      </c>
      <c r="G63" s="16">
        <f t="shared" si="12"/>
        <v>20361</v>
      </c>
      <c r="H63" s="2">
        <f>DATEDIF(G63,$G$3,"Y")</f>
        <v>65</v>
      </c>
      <c r="I63" s="17"/>
      <c r="J63" s="19">
        <v>19720321</v>
      </c>
      <c r="K63" s="16">
        <f t="shared" si="13"/>
        <v>26379</v>
      </c>
      <c r="L63" s="2">
        <f>DATEDIF(K63,$G$3,"Y")</f>
        <v>49</v>
      </c>
      <c r="M63" s="19" t="e">
        <f>VLOOKUP($C63,#REF!:#REF!,2,FALSE)</f>
        <v>#REF!</v>
      </c>
      <c r="N63" s="19"/>
      <c r="O63" s="40">
        <v>0</v>
      </c>
      <c r="P63" s="223">
        <v>67221</v>
      </c>
      <c r="Q63" s="223" t="s">
        <v>476</v>
      </c>
      <c r="R63" s="37">
        <v>2</v>
      </c>
      <c r="S63" s="37"/>
      <c r="T63" s="37">
        <v>3</v>
      </c>
    </row>
    <row r="64" spans="1:20">
      <c r="A64" s="264">
        <v>72</v>
      </c>
      <c r="B64" s="21">
        <v>440</v>
      </c>
      <c r="C64" s="271">
        <v>8206</v>
      </c>
      <c r="D64" s="271" t="s">
        <v>410</v>
      </c>
      <c r="E64" s="23" t="s">
        <v>15</v>
      </c>
      <c r="F64" s="24">
        <v>19610904</v>
      </c>
      <c r="G64" s="16">
        <f t="shared" si="12"/>
        <v>22528</v>
      </c>
      <c r="H64" s="2">
        <f>DATEDIF(G64,参考1男性!$G$4,"Y")</f>
        <v>60</v>
      </c>
      <c r="I64" s="17"/>
      <c r="J64" s="25">
        <v>19770323</v>
      </c>
      <c r="K64" s="16">
        <f t="shared" si="13"/>
        <v>28207</v>
      </c>
      <c r="L64" s="2">
        <f>DATEDIF(K64,参考1男性!$G$4,"Y")</f>
        <v>44</v>
      </c>
      <c r="M64" s="25" t="e">
        <f>VLOOKUP($C64,#REF!:#REF!,2,FALSE)</f>
        <v>#REF!</v>
      </c>
      <c r="N64" s="26"/>
      <c r="O64" s="27" t="s">
        <v>77</v>
      </c>
      <c r="P64" s="223">
        <v>67221</v>
      </c>
      <c r="Q64" s="223" t="s">
        <v>476</v>
      </c>
      <c r="R64" s="22">
        <v>0</v>
      </c>
      <c r="S64" s="306"/>
      <c r="T64" s="22">
        <v>1</v>
      </c>
    </row>
    <row r="65" spans="1:20">
      <c r="A65" s="264">
        <v>73</v>
      </c>
      <c r="B65" s="37">
        <v>441</v>
      </c>
      <c r="C65" s="38">
        <v>8202</v>
      </c>
      <c r="D65" s="38" t="s">
        <v>583</v>
      </c>
      <c r="E65" s="50" t="s">
        <v>15</v>
      </c>
      <c r="F65" s="19">
        <v>19610616</v>
      </c>
      <c r="G65" s="16">
        <f t="shared" si="12"/>
        <v>22448</v>
      </c>
      <c r="H65" s="2">
        <f>DATEDIF(G65,$G$3,"Y")</f>
        <v>60</v>
      </c>
      <c r="I65" s="17"/>
      <c r="J65" s="19">
        <v>19770323</v>
      </c>
      <c r="K65" s="16">
        <f t="shared" si="13"/>
        <v>28207</v>
      </c>
      <c r="L65" s="2">
        <f>DATEDIF(K65,$G$3,"Y")</f>
        <v>44</v>
      </c>
      <c r="M65" s="19" t="e">
        <f>VLOOKUP($C65,#REF!:#REF!,2,FALSE)</f>
        <v>#REF!</v>
      </c>
      <c r="N65" s="19"/>
      <c r="O65" s="40" t="s">
        <v>77</v>
      </c>
      <c r="P65" s="223">
        <v>68021</v>
      </c>
      <c r="Q65" s="223" t="s">
        <v>483</v>
      </c>
      <c r="R65" s="37">
        <v>1</v>
      </c>
      <c r="S65" s="37" t="s">
        <v>679</v>
      </c>
      <c r="T65" s="37">
        <v>2</v>
      </c>
    </row>
    <row r="66" spans="1:20">
      <c r="A66" s="264">
        <v>74</v>
      </c>
      <c r="B66" s="21">
        <v>480</v>
      </c>
      <c r="C66" s="271">
        <v>7907</v>
      </c>
      <c r="D66" s="271" t="s">
        <v>591</v>
      </c>
      <c r="E66" s="23" t="s">
        <v>34</v>
      </c>
      <c r="F66" s="24">
        <v>19680111</v>
      </c>
      <c r="G66" s="16">
        <f t="shared" si="12"/>
        <v>24848</v>
      </c>
      <c r="H66" s="2">
        <f>DATEDIF(G66,$G$3,"Y")</f>
        <v>53</v>
      </c>
      <c r="I66" s="17"/>
      <c r="J66" s="25">
        <v>20060727</v>
      </c>
      <c r="K66" s="16">
        <f t="shared" si="13"/>
        <v>38925</v>
      </c>
      <c r="L66" s="2">
        <f>DATEDIF(K66,$G$3,"Y")</f>
        <v>14</v>
      </c>
      <c r="M66" s="25" t="e">
        <f>VLOOKUP($C66,#REF!:#REF!,2,FALSE)</f>
        <v>#REF!</v>
      </c>
      <c r="N66" s="26"/>
      <c r="O66" s="27">
        <v>0</v>
      </c>
      <c r="P66" s="223">
        <v>69021</v>
      </c>
      <c r="Q66" s="223" t="s">
        <v>489</v>
      </c>
      <c r="R66" s="22">
        <v>2</v>
      </c>
      <c r="S66" s="22"/>
      <c r="T66" s="22">
        <v>3</v>
      </c>
    </row>
    <row r="67" spans="1:20">
      <c r="A67" s="264">
        <v>75</v>
      </c>
      <c r="B67" s="37">
        <v>510</v>
      </c>
      <c r="C67" s="38">
        <v>8140</v>
      </c>
      <c r="D67" s="38" t="s">
        <v>601</v>
      </c>
      <c r="E67" s="50" t="s">
        <v>34</v>
      </c>
      <c r="F67" s="19">
        <v>19651211</v>
      </c>
      <c r="G67" s="16">
        <f t="shared" si="12"/>
        <v>24087</v>
      </c>
      <c r="H67" s="2">
        <f>DATEDIF(G67,$G$3,"Y")</f>
        <v>55</v>
      </c>
      <c r="I67" s="17"/>
      <c r="J67" s="19">
        <v>20140816</v>
      </c>
      <c r="K67" s="16">
        <f t="shared" si="13"/>
        <v>41867</v>
      </c>
      <c r="L67" s="2">
        <f>DATEDIF(K67,$G$3,"Y")</f>
        <v>6</v>
      </c>
      <c r="M67" s="19" t="e">
        <f>VLOOKUP($C67,#REF!:#REF!,2,FALSE)</f>
        <v>#REF!</v>
      </c>
      <c r="N67" s="19"/>
      <c r="O67" s="40">
        <v>0</v>
      </c>
      <c r="P67" s="223">
        <v>69021</v>
      </c>
      <c r="Q67" s="223" t="s">
        <v>489</v>
      </c>
      <c r="R67" s="37">
        <v>2</v>
      </c>
      <c r="S67" s="37"/>
      <c r="T67" s="37">
        <v>3</v>
      </c>
    </row>
    <row r="68" spans="1:20">
      <c r="A68" s="264"/>
      <c r="B68" s="37"/>
      <c r="C68" s="38"/>
      <c r="D68" s="38"/>
      <c r="E68" s="50"/>
      <c r="F68" s="19"/>
      <c r="G68" s="16"/>
      <c r="H68" s="2"/>
      <c r="I68" s="17"/>
      <c r="J68" s="19"/>
      <c r="K68" s="16"/>
      <c r="M68" s="19"/>
      <c r="N68" s="19"/>
      <c r="O68" s="40"/>
      <c r="P68" s="223"/>
      <c r="Q68" s="223"/>
      <c r="R68" s="37">
        <v>2</v>
      </c>
      <c r="S68" s="37"/>
      <c r="T68" s="37">
        <v>3</v>
      </c>
    </row>
    <row r="69" spans="1:20">
      <c r="A69" s="264">
        <v>77</v>
      </c>
      <c r="B69" s="37">
        <v>382</v>
      </c>
      <c r="C69" s="38">
        <v>8212</v>
      </c>
      <c r="D69" s="38" t="s">
        <v>510</v>
      </c>
      <c r="E69" s="50" t="s">
        <v>15</v>
      </c>
      <c r="F69" s="19">
        <v>19621024</v>
      </c>
      <c r="G69" s="16">
        <f t="shared" si="12"/>
        <v>22943</v>
      </c>
      <c r="H69" s="2">
        <f>DATEDIF(G69,参考1男性!$G$4,"Y")</f>
        <v>59</v>
      </c>
      <c r="I69" s="17"/>
      <c r="J69" s="19">
        <v>19810309</v>
      </c>
      <c r="K69" s="16">
        <f t="shared" si="13"/>
        <v>29654</v>
      </c>
      <c r="L69" s="2">
        <f>DATEDIF(K69,参考1男性!$G$4,"Y")</f>
        <v>40</v>
      </c>
      <c r="M69" s="19" t="e">
        <f>VLOOKUP($C69,#REF!:#REF!,2,FALSE)</f>
        <v>#REF!</v>
      </c>
      <c r="N69" s="19"/>
      <c r="O69" s="40" t="s">
        <v>35</v>
      </c>
      <c r="P69" s="223">
        <v>69221</v>
      </c>
      <c r="Q69" s="223" t="s">
        <v>508</v>
      </c>
      <c r="R69" s="37">
        <v>1</v>
      </c>
      <c r="S69" s="37" t="s">
        <v>679</v>
      </c>
      <c r="T69" s="37">
        <v>2</v>
      </c>
    </row>
    <row r="70" spans="1:20">
      <c r="A70" s="264">
        <v>78</v>
      </c>
      <c r="B70" s="37">
        <v>499</v>
      </c>
      <c r="C70" s="38">
        <v>8088</v>
      </c>
      <c r="D70" s="38" t="s">
        <v>548</v>
      </c>
      <c r="E70" s="50" t="s">
        <v>15</v>
      </c>
      <c r="F70" s="19">
        <v>19520306</v>
      </c>
      <c r="G70" s="16">
        <f t="shared" si="12"/>
        <v>19059</v>
      </c>
      <c r="H70" s="2">
        <f t="shared" ref="H70:H74" si="14">DATEDIF(G70,$G$3,"Y")</f>
        <v>69</v>
      </c>
      <c r="I70" s="17"/>
      <c r="J70" s="19">
        <v>19740316</v>
      </c>
      <c r="K70" s="16">
        <f t="shared" si="13"/>
        <v>27104</v>
      </c>
      <c r="L70" s="2">
        <f t="shared" ref="L70:L74" si="15">DATEDIF(K70,$G$3,"Y")</f>
        <v>47</v>
      </c>
      <c r="M70" s="19" t="e">
        <f>VLOOKUP($C70,#REF!:#REF!,2,FALSE)</f>
        <v>#REF!</v>
      </c>
      <c r="N70" s="19"/>
      <c r="O70" s="40">
        <v>0</v>
      </c>
      <c r="P70" s="223">
        <v>80020</v>
      </c>
      <c r="Q70" s="223" t="s">
        <v>172</v>
      </c>
      <c r="R70" s="37">
        <v>2</v>
      </c>
      <c r="S70" s="37"/>
      <c r="T70" s="37">
        <v>3</v>
      </c>
    </row>
    <row r="71" spans="1:20">
      <c r="A71" s="264">
        <v>81</v>
      </c>
      <c r="B71" s="37">
        <v>529</v>
      </c>
      <c r="C71" s="38">
        <v>8181</v>
      </c>
      <c r="D71" s="38" t="s">
        <v>566</v>
      </c>
      <c r="E71" s="50" t="s">
        <v>15</v>
      </c>
      <c r="F71" s="19">
        <v>19590125</v>
      </c>
      <c r="G71" s="16">
        <f t="shared" si="12"/>
        <v>21575</v>
      </c>
      <c r="H71" s="2">
        <f t="shared" si="14"/>
        <v>62</v>
      </c>
      <c r="I71" s="17"/>
      <c r="J71" s="19">
        <v>19830323</v>
      </c>
      <c r="K71" s="16">
        <f t="shared" si="13"/>
        <v>30398</v>
      </c>
      <c r="L71" s="2">
        <f t="shared" si="15"/>
        <v>38</v>
      </c>
      <c r="M71" s="19" t="e">
        <f>VLOOKUP($C71,#REF!:#REF!,2,FALSE)</f>
        <v>#REF!</v>
      </c>
      <c r="N71" s="19"/>
      <c r="O71" s="40">
        <v>0</v>
      </c>
      <c r="P71" s="223">
        <v>80020</v>
      </c>
      <c r="Q71" s="223" t="s">
        <v>172</v>
      </c>
      <c r="R71" s="37">
        <v>2</v>
      </c>
      <c r="S71" s="37"/>
      <c r="T71" s="37">
        <v>3</v>
      </c>
    </row>
    <row r="72" spans="1:20">
      <c r="A72" s="264">
        <v>82</v>
      </c>
      <c r="B72" s="37">
        <v>532</v>
      </c>
      <c r="C72" s="38">
        <v>8185</v>
      </c>
      <c r="D72" s="38" t="s">
        <v>568</v>
      </c>
      <c r="E72" s="50" t="s">
        <v>15</v>
      </c>
      <c r="F72" s="19">
        <v>19531107</v>
      </c>
      <c r="G72" s="16">
        <f t="shared" si="12"/>
        <v>19670</v>
      </c>
      <c r="H72" s="2">
        <f t="shared" si="14"/>
        <v>67</v>
      </c>
      <c r="I72" s="17"/>
      <c r="J72" s="19">
        <v>19790320</v>
      </c>
      <c r="K72" s="16">
        <f t="shared" si="13"/>
        <v>28934</v>
      </c>
      <c r="L72" s="2">
        <f t="shared" si="15"/>
        <v>42</v>
      </c>
      <c r="M72" s="19" t="e">
        <f>VLOOKUP($C72,#REF!:#REF!,2,FALSE)</f>
        <v>#REF!</v>
      </c>
      <c r="N72" s="19"/>
      <c r="O72" s="40">
        <v>0</v>
      </c>
      <c r="P72" s="223">
        <v>80020</v>
      </c>
      <c r="Q72" s="223" t="s">
        <v>172</v>
      </c>
      <c r="R72" s="37">
        <v>2</v>
      </c>
      <c r="S72" s="37"/>
      <c r="T72" s="37">
        <v>3</v>
      </c>
    </row>
    <row r="73" spans="1:20">
      <c r="A73" s="264">
        <v>83</v>
      </c>
      <c r="B73" s="37">
        <v>535</v>
      </c>
      <c r="C73" s="38">
        <v>8189</v>
      </c>
      <c r="D73" s="38" t="s">
        <v>571</v>
      </c>
      <c r="E73" s="50" t="s">
        <v>678</v>
      </c>
      <c r="F73" s="19">
        <v>19591030</v>
      </c>
      <c r="G73" s="16">
        <f t="shared" si="12"/>
        <v>21853</v>
      </c>
      <c r="H73" s="2">
        <f t="shared" si="14"/>
        <v>61</v>
      </c>
      <c r="I73" s="17"/>
      <c r="J73" s="19">
        <v>19770323</v>
      </c>
      <c r="K73" s="16">
        <f t="shared" si="13"/>
        <v>28207</v>
      </c>
      <c r="L73" s="2">
        <f t="shared" si="15"/>
        <v>44</v>
      </c>
      <c r="M73" s="19" t="e">
        <f>VLOOKUP($C73,#REF!:#REF!,2,FALSE)</f>
        <v>#REF!</v>
      </c>
      <c r="N73" s="19"/>
      <c r="O73" s="40">
        <v>0</v>
      </c>
      <c r="P73" s="223">
        <v>80020</v>
      </c>
      <c r="Q73" s="223" t="s">
        <v>172</v>
      </c>
      <c r="R73" s="37">
        <v>2</v>
      </c>
      <c r="S73" s="37"/>
      <c r="T73" s="37">
        <v>3</v>
      </c>
    </row>
    <row r="74" spans="1:20" s="264" customFormat="1">
      <c r="A74" s="264">
        <v>84</v>
      </c>
      <c r="B74" s="21">
        <v>72</v>
      </c>
      <c r="C74" s="271">
        <v>8204</v>
      </c>
      <c r="D74" s="271" t="s">
        <v>171</v>
      </c>
      <c r="E74" s="23" t="s">
        <v>15</v>
      </c>
      <c r="F74" s="24">
        <v>19610710</v>
      </c>
      <c r="G74" s="16">
        <f t="shared" si="12"/>
        <v>22472</v>
      </c>
      <c r="H74" s="2">
        <f t="shared" si="14"/>
        <v>59</v>
      </c>
      <c r="I74" s="17"/>
      <c r="J74" s="25">
        <v>19840326</v>
      </c>
      <c r="K74" s="16">
        <f t="shared" si="13"/>
        <v>30767</v>
      </c>
      <c r="L74" s="2">
        <f t="shared" si="15"/>
        <v>37</v>
      </c>
      <c r="M74" s="25" t="e">
        <f>VLOOKUP($C74,#REF!:#REF!,2,FALSE)</f>
        <v>#REF!</v>
      </c>
      <c r="N74" s="26"/>
      <c r="O74" s="27" t="s">
        <v>16</v>
      </c>
      <c r="P74" s="223">
        <v>80020</v>
      </c>
      <c r="Q74" s="223" t="s">
        <v>172</v>
      </c>
      <c r="R74" s="271">
        <v>0</v>
      </c>
      <c r="S74" s="271"/>
      <c r="T74" s="271">
        <v>1</v>
      </c>
    </row>
    <row r="75" spans="1:20">
      <c r="A75" s="264">
        <v>85</v>
      </c>
      <c r="B75" s="37">
        <v>80</v>
      </c>
      <c r="C75" s="38">
        <v>8208</v>
      </c>
      <c r="D75" s="38" t="s">
        <v>204</v>
      </c>
      <c r="E75" s="50" t="s">
        <v>15</v>
      </c>
      <c r="F75" s="19">
        <v>19611210</v>
      </c>
      <c r="G75" s="16">
        <f t="shared" si="12"/>
        <v>22625</v>
      </c>
      <c r="H75" s="2">
        <f>DATEDIF(G75,参考1男性!$G$4,"Y")</f>
        <v>60</v>
      </c>
      <c r="I75" s="17"/>
      <c r="J75" s="19">
        <v>19850325</v>
      </c>
      <c r="K75" s="16">
        <f t="shared" si="13"/>
        <v>31131</v>
      </c>
      <c r="L75" s="2">
        <f>DATEDIF(K75,参考1男性!$G$4,"Y")</f>
        <v>36</v>
      </c>
      <c r="M75" s="19" t="e">
        <f>VLOOKUP($C75,#REF!:#REF!,2,FALSE)</f>
        <v>#REF!</v>
      </c>
      <c r="N75" s="19"/>
      <c r="O75" s="40" t="s">
        <v>16</v>
      </c>
      <c r="P75" s="223">
        <v>80020</v>
      </c>
      <c r="Q75" s="223" t="s">
        <v>172</v>
      </c>
      <c r="R75" s="37">
        <v>0</v>
      </c>
      <c r="S75" s="37"/>
      <c r="T75" s="37">
        <v>2</v>
      </c>
    </row>
    <row r="76" spans="1:20">
      <c r="A76" s="264">
        <v>86</v>
      </c>
      <c r="C76" s="42">
        <v>8220</v>
      </c>
      <c r="D76" s="42" t="s">
        <v>869</v>
      </c>
      <c r="P76" s="223">
        <v>80020</v>
      </c>
      <c r="Q76" s="223" t="s">
        <v>172</v>
      </c>
    </row>
    <row r="77" spans="1:20">
      <c r="A77" s="264">
        <v>87</v>
      </c>
      <c r="C77" s="271">
        <v>2612</v>
      </c>
      <c r="D77" s="271" t="s">
        <v>86</v>
      </c>
      <c r="E77" s="23" t="s">
        <v>15</v>
      </c>
      <c r="F77" s="24">
        <v>19630414</v>
      </c>
      <c r="G77" s="16">
        <f t="shared" ref="G77" si="16">DATE(INT(F77/10000),INT(MOD(F77,10000)/100),MOD(F77,100))</f>
        <v>23115</v>
      </c>
      <c r="H77" s="2">
        <f t="shared" ref="H77" si="17">DATEDIF(G77,$G$3,"Y")</f>
        <v>58</v>
      </c>
      <c r="I77" s="17"/>
      <c r="J77" s="25">
        <v>19820323</v>
      </c>
      <c r="K77" s="16">
        <f t="shared" ref="K77" si="18">DATE(INT(J77/10000),INT(MOD(J77,10000)/100),MOD(J77,100))</f>
        <v>30033</v>
      </c>
      <c r="L77" s="2">
        <f t="shared" ref="L77" si="19">DATEDIF(K77,$G$3,"Y")</f>
        <v>39</v>
      </c>
      <c r="M77" s="25" t="e">
        <f>VLOOKUP($C77,#REF!:#REF!,2,FALSE)</f>
        <v>#REF!</v>
      </c>
      <c r="N77" s="26"/>
      <c r="O77" s="27" t="s">
        <v>35</v>
      </c>
      <c r="P77" s="44" t="s">
        <v>880</v>
      </c>
      <c r="Q77" s="223" t="s">
        <v>921</v>
      </c>
    </row>
    <row r="78" spans="1:20">
      <c r="A78" s="264">
        <v>89</v>
      </c>
      <c r="C78" s="42">
        <v>8236</v>
      </c>
      <c r="D78" s="42" t="s">
        <v>909</v>
      </c>
      <c r="P78" s="223">
        <v>41021</v>
      </c>
      <c r="Q78" s="223" t="s">
        <v>258</v>
      </c>
    </row>
    <row r="79" spans="1:20">
      <c r="A79" s="264">
        <v>92</v>
      </c>
      <c r="C79" s="42">
        <v>8243</v>
      </c>
      <c r="D79" s="42" t="s">
        <v>913</v>
      </c>
      <c r="P79" s="223">
        <v>64021</v>
      </c>
      <c r="Q79" s="223" t="s">
        <v>416</v>
      </c>
    </row>
    <row r="80" spans="1:20">
      <c r="A80" s="264">
        <v>93</v>
      </c>
      <c r="C80" s="42">
        <v>8244</v>
      </c>
      <c r="D80" s="42" t="s">
        <v>914</v>
      </c>
      <c r="P80" s="223">
        <v>43221</v>
      </c>
      <c r="Q80" s="223" t="s">
        <v>364</v>
      </c>
    </row>
    <row r="81" spans="1:21" s="264" customFormat="1">
      <c r="A81" s="264">
        <v>94</v>
      </c>
      <c r="B81" s="21">
        <v>67</v>
      </c>
      <c r="C81" s="271">
        <v>2611</v>
      </c>
      <c r="D81" s="271" t="s">
        <v>106</v>
      </c>
      <c r="E81" s="23" t="s">
        <v>15</v>
      </c>
      <c r="F81" s="24">
        <v>19630525</v>
      </c>
      <c r="G81" s="16">
        <f t="shared" ref="G81" si="20">DATE(INT(F81/10000),INT(MOD(F81,10000)/100),MOD(F81,100))</f>
        <v>23156</v>
      </c>
      <c r="H81" s="2">
        <f t="shared" ref="H81" si="21">DATEDIF(G81,$G$3,"Y")</f>
        <v>58</v>
      </c>
      <c r="I81" s="17"/>
      <c r="J81" s="25">
        <v>19820326</v>
      </c>
      <c r="K81" s="16">
        <f t="shared" ref="K81" si="22">DATE(INT(J81/10000),INT(MOD(J81,10000)/100),MOD(J81,100))</f>
        <v>30036</v>
      </c>
      <c r="L81" s="2">
        <f t="shared" ref="L81" si="23">DATEDIF(K81,$G$3,"Y")</f>
        <v>39</v>
      </c>
      <c r="M81" s="25" t="e">
        <f>VLOOKUP($C81,#REF!:#REF!,2,FALSE)</f>
        <v>#REF!</v>
      </c>
      <c r="N81" s="26"/>
      <c r="O81" s="27" t="s">
        <v>35</v>
      </c>
      <c r="P81" s="223">
        <v>41220</v>
      </c>
      <c r="Q81" s="223" t="s">
        <v>103</v>
      </c>
      <c r="R81" s="271">
        <v>0</v>
      </c>
      <c r="S81" s="271"/>
      <c r="T81" s="271">
        <v>2</v>
      </c>
      <c r="U81" s="43">
        <v>42</v>
      </c>
    </row>
    <row r="82" spans="1:21">
      <c r="A82" s="264">
        <v>95</v>
      </c>
      <c r="B82" s="21">
        <v>88</v>
      </c>
      <c r="C82" s="271">
        <v>2760</v>
      </c>
      <c r="D82" s="271" t="s">
        <v>179</v>
      </c>
      <c r="E82" s="23" t="s">
        <v>15</v>
      </c>
      <c r="F82" s="24">
        <v>19630518</v>
      </c>
      <c r="G82" s="16">
        <f>DATE(INT(F82/10000),INT(MOD(F82,10000)/100),MOD(F82,100))</f>
        <v>23149</v>
      </c>
      <c r="H82" s="2">
        <f>DATEDIF(G82,参考1男性!$G$4,"Y")</f>
        <v>58</v>
      </c>
      <c r="I82" s="17"/>
      <c r="J82" s="25">
        <v>19860326</v>
      </c>
      <c r="K82" s="16">
        <f>DATE(INT(J82/10000),INT(MOD(J82,10000)/100),MOD(J82,100))</f>
        <v>31497</v>
      </c>
      <c r="L82" s="2">
        <f>DATEDIF(K82,参考1男性!$G$4,"Y")</f>
        <v>35</v>
      </c>
      <c r="M82" s="25" t="e">
        <f>VLOOKUP($C82,#REF!:#REF!,2,FALSE)</f>
        <v>#REF!</v>
      </c>
      <c r="N82" s="26"/>
      <c r="O82" s="27" t="s">
        <v>16</v>
      </c>
      <c r="P82" s="223">
        <v>80020</v>
      </c>
      <c r="Q82" s="223" t="s">
        <v>172</v>
      </c>
      <c r="R82" s="22">
        <v>0</v>
      </c>
      <c r="S82" s="22"/>
      <c r="T82" s="22">
        <v>1</v>
      </c>
    </row>
    <row r="83" spans="1:21">
      <c r="C83" s="42">
        <v>8247</v>
      </c>
      <c r="D83" s="42" t="s">
        <v>928</v>
      </c>
      <c r="P83" s="223">
        <v>42221</v>
      </c>
      <c r="Q83" s="223" t="s">
        <v>318</v>
      </c>
    </row>
    <row r="84" spans="1:21" s="264" customFormat="1">
      <c r="A84" s="264">
        <v>114</v>
      </c>
      <c r="B84" s="21">
        <v>117</v>
      </c>
      <c r="C84" s="271">
        <v>2940</v>
      </c>
      <c r="D84" s="271" t="s">
        <v>802</v>
      </c>
      <c r="E84" s="23" t="s">
        <v>15</v>
      </c>
      <c r="F84" s="24">
        <v>19740515</v>
      </c>
      <c r="G84" s="16">
        <f t="shared" ref="G84" si="24">DATE(INT(F84/10000),INT(MOD(F84,10000)/100),MOD(F84,100))</f>
        <v>27164</v>
      </c>
      <c r="H84" s="2" t="e">
        <f t="shared" ref="H84" si="25">DATEDIF(G84,$G$4,"Y")</f>
        <v>#NUM!</v>
      </c>
      <c r="I84" s="17"/>
      <c r="J84" s="25">
        <v>19930322</v>
      </c>
      <c r="K84" s="16">
        <f t="shared" ref="K84" si="26">DATE(INT(J84/10000),INT(MOD(J84,10000)/100),MOD(J84,100))</f>
        <v>34050</v>
      </c>
      <c r="L84" s="2" t="e">
        <f t="shared" ref="L84" si="27">DATEDIF(K84,$G$4,"Y")</f>
        <v>#NUM!</v>
      </c>
      <c r="M84" s="25" t="e">
        <f>VLOOKUP($C84,#REF!:#REF!,2,FALSE)</f>
        <v>#REF!</v>
      </c>
      <c r="N84" s="26"/>
      <c r="O84" s="27" t="s">
        <v>35</v>
      </c>
      <c r="P84" s="223">
        <v>43021</v>
      </c>
      <c r="Q84" s="223" t="s">
        <v>349</v>
      </c>
      <c r="R84" s="271">
        <v>1</v>
      </c>
      <c r="S84" s="271" t="s">
        <v>70</v>
      </c>
      <c r="T84" s="271">
        <v>2</v>
      </c>
      <c r="U84" s="264">
        <v>103</v>
      </c>
    </row>
    <row r="85" spans="1:21">
      <c r="C85" s="42">
        <v>8248</v>
      </c>
      <c r="D85" s="42" t="s">
        <v>931</v>
      </c>
      <c r="P85" s="223">
        <v>67221</v>
      </c>
      <c r="Q85" s="223" t="s">
        <v>476</v>
      </c>
    </row>
    <row r="86" spans="1:21">
      <c r="C86" s="42">
        <v>8249</v>
      </c>
      <c r="D86" s="42" t="s">
        <v>932</v>
      </c>
      <c r="P86" s="223">
        <v>43221</v>
      </c>
      <c r="Q86" s="223" t="s">
        <v>364</v>
      </c>
    </row>
    <row r="87" spans="1:21">
      <c r="C87" s="42">
        <v>8250</v>
      </c>
      <c r="D87" s="42" t="s">
        <v>936</v>
      </c>
      <c r="P87" s="44" t="s">
        <v>937</v>
      </c>
    </row>
    <row r="88" spans="1:21">
      <c r="C88" s="42">
        <v>8251</v>
      </c>
      <c r="D88" s="42" t="s">
        <v>946</v>
      </c>
      <c r="P88" s="44" t="s">
        <v>947</v>
      </c>
    </row>
    <row r="89" spans="1:21">
      <c r="C89" s="42">
        <v>8252</v>
      </c>
      <c r="D89" s="42" t="s">
        <v>950</v>
      </c>
      <c r="P89" s="223">
        <v>43221</v>
      </c>
      <c r="Q89" s="223" t="s">
        <v>364</v>
      </c>
    </row>
    <row r="90" spans="1:21">
      <c r="C90" s="42">
        <v>8253</v>
      </c>
      <c r="D90" s="42" t="s">
        <v>951</v>
      </c>
      <c r="P90" s="223">
        <v>65021</v>
      </c>
      <c r="Q90" s="223" t="s">
        <v>433</v>
      </c>
    </row>
    <row r="91" spans="1:21">
      <c r="C91" s="271">
        <v>2678</v>
      </c>
      <c r="D91" s="271" t="s">
        <v>718</v>
      </c>
      <c r="E91" s="23" t="s">
        <v>15</v>
      </c>
      <c r="F91" s="24"/>
      <c r="G91" s="16"/>
      <c r="H91" s="2"/>
      <c r="I91" s="17"/>
      <c r="J91" s="25"/>
      <c r="K91" s="16"/>
      <c r="M91" s="25" t="e">
        <f>VLOOKUP($C91,#REF!:#REF!,2,FALSE)</f>
        <v>#REF!</v>
      </c>
      <c r="N91" s="26"/>
      <c r="O91" s="27"/>
      <c r="P91" s="223">
        <f>VLOOKUP($C91,従業員情報!$A$2:'従業員情報'!$AM$2000,5,FALSE)</f>
        <v>34020</v>
      </c>
      <c r="Q91" s="223" t="str">
        <f>VLOOKUP($C91,従業員情報!$A$2:'従業員情報'!$AM$2000,6,FALSE)</f>
        <v>生産支援室</v>
      </c>
    </row>
    <row r="92" spans="1:21">
      <c r="A92">
        <v>89</v>
      </c>
      <c r="B92" s="21">
        <v>89</v>
      </c>
      <c r="C92" s="22">
        <v>2761</v>
      </c>
      <c r="D92" s="22" t="s">
        <v>184</v>
      </c>
      <c r="E92" s="23" t="s">
        <v>15</v>
      </c>
      <c r="F92" s="24">
        <v>19640122</v>
      </c>
      <c r="G92" s="16">
        <f>DATE(INT(F92/10000),INT(MOD(F92,10000)/100),MOD(F92,100))</f>
        <v>23398</v>
      </c>
      <c r="H92" s="2">
        <f>DATEDIF(G92,参考1男性!$G$4,"Y")</f>
        <v>58</v>
      </c>
      <c r="I92" s="17"/>
      <c r="J92" s="25">
        <v>19860326</v>
      </c>
      <c r="K92" s="16">
        <f>DATE(INT(J92/10000),INT(MOD(J92,10000)/100),MOD(J92,100))</f>
        <v>31497</v>
      </c>
      <c r="L92" s="2">
        <f>DATEDIF(K92,参考1男性!$G$4,"Y")</f>
        <v>35</v>
      </c>
      <c r="M92" s="25" t="e">
        <f>VLOOKUP($C92,#REF!:#REF!,2,FALSE)</f>
        <v>#REF!</v>
      </c>
      <c r="N92" s="26"/>
      <c r="O92" s="27" t="s">
        <v>16</v>
      </c>
      <c r="P92" s="223">
        <v>80020</v>
      </c>
      <c r="Q92" s="223" t="str">
        <f>VLOOKUP($C92,従業員情報!$A$2:'従業員情報'!$AM$2000,6,FALSE)</f>
        <v>ＮＥＬ</v>
      </c>
      <c r="R92" s="22">
        <v>0</v>
      </c>
      <c r="S92" s="22"/>
      <c r="T92" s="22">
        <v>1</v>
      </c>
      <c r="U92" s="264">
        <v>333</v>
      </c>
    </row>
    <row r="93" spans="1:21">
      <c r="D93" s="42" t="s">
        <v>1624</v>
      </c>
      <c r="P93" s="44" t="s">
        <v>1627</v>
      </c>
    </row>
    <row r="94" spans="1:21">
      <c r="D94" s="42" t="s">
        <v>1633</v>
      </c>
      <c r="P94" s="44" t="s">
        <v>1634</v>
      </c>
    </row>
    <row r="95" spans="1:21">
      <c r="C95" s="43"/>
      <c r="D95" s="42"/>
    </row>
    <row r="96" spans="1:21">
      <c r="C96" s="43">
        <v>8257</v>
      </c>
      <c r="D96" s="42" t="s">
        <v>1641</v>
      </c>
      <c r="P96" s="44" t="s">
        <v>1642</v>
      </c>
    </row>
    <row r="97" spans="1:21">
      <c r="C97" s="43">
        <v>8262</v>
      </c>
      <c r="D97" s="42" t="s">
        <v>1643</v>
      </c>
      <c r="P97" s="44" t="s">
        <v>1644</v>
      </c>
    </row>
    <row r="98" spans="1:21">
      <c r="C98" s="43">
        <v>8263</v>
      </c>
      <c r="D98" s="42" t="s">
        <v>1645</v>
      </c>
      <c r="P98" s="44" t="s">
        <v>1658</v>
      </c>
    </row>
    <row r="99" spans="1:21">
      <c r="C99" s="43">
        <v>8264</v>
      </c>
      <c r="D99" s="42" t="s">
        <v>1646</v>
      </c>
      <c r="P99" s="44" t="s">
        <v>1659</v>
      </c>
    </row>
    <row r="100" spans="1:21">
      <c r="C100" s="43">
        <v>8267</v>
      </c>
      <c r="D100" s="42" t="s">
        <v>1669</v>
      </c>
      <c r="P100" s="44" t="s">
        <v>1670</v>
      </c>
    </row>
    <row r="101" spans="1:21">
      <c r="C101" s="43">
        <v>8268</v>
      </c>
      <c r="D101" s="42" t="s">
        <v>1675</v>
      </c>
      <c r="P101" s="44" t="s">
        <v>1674</v>
      </c>
    </row>
    <row r="102" spans="1:21" s="420" customFormat="1">
      <c r="A102" s="420">
        <v>83</v>
      </c>
      <c r="B102" s="421">
        <v>83</v>
      </c>
      <c r="C102" s="285">
        <v>2722</v>
      </c>
      <c r="D102" s="285" t="s">
        <v>453</v>
      </c>
      <c r="E102" s="422" t="s">
        <v>15</v>
      </c>
      <c r="F102" s="423">
        <v>19640503</v>
      </c>
      <c r="G102" s="424">
        <f>DATE(INT(F102/10000),INT(MOD(F102,10000)/100),MOD(F102,100))</f>
        <v>23500</v>
      </c>
      <c r="H102" s="75">
        <f>DATEDIF(G102,参考1男性!$G$4,"Y")</f>
        <v>57</v>
      </c>
      <c r="I102" s="17"/>
      <c r="J102" s="157">
        <v>19850325</v>
      </c>
      <c r="K102" s="424">
        <f>DATE(INT(J102/10000),INT(MOD(J102,10000)/100),MOD(J102,100))</f>
        <v>31131</v>
      </c>
      <c r="L102" s="75">
        <f>DATEDIF(K102,参考1男性!$G$4,"Y")</f>
        <v>36</v>
      </c>
      <c r="M102" s="157" t="e">
        <f>VLOOKUP($C102,#REF!:#REF!,2,FALSE)</f>
        <v>#REF!</v>
      </c>
      <c r="N102" s="425"/>
      <c r="O102" s="29" t="s">
        <v>19</v>
      </c>
      <c r="P102" s="426">
        <v>66021</v>
      </c>
      <c r="Q102" s="426" t="str">
        <f>VLOOKUP($C102,従業員情報!$A$2:'従業員情報'!$AM$2000,6,FALSE)</f>
        <v>羽生工場ＶＰ－２</v>
      </c>
      <c r="R102" s="285">
        <v>1</v>
      </c>
      <c r="S102" s="285" t="s">
        <v>679</v>
      </c>
      <c r="T102" s="285">
        <v>2</v>
      </c>
      <c r="U102" s="420">
        <v>277</v>
      </c>
    </row>
    <row r="103" spans="1:21">
      <c r="D103" s="42" t="s">
        <v>1683</v>
      </c>
      <c r="P103" s="44" t="s">
        <v>1684</v>
      </c>
    </row>
    <row r="104" spans="1:21">
      <c r="A104">
        <v>369</v>
      </c>
      <c r="B104">
        <v>445</v>
      </c>
      <c r="C104" s="264">
        <v>5024</v>
      </c>
      <c r="D104" s="264" t="s">
        <v>468</v>
      </c>
      <c r="E104" s="264" t="s">
        <v>15</v>
      </c>
      <c r="F104" s="2">
        <v>19640628</v>
      </c>
      <c r="G104" s="3">
        <v>23556</v>
      </c>
      <c r="H104" s="3">
        <v>57</v>
      </c>
      <c r="J104" s="2">
        <v>19810325</v>
      </c>
      <c r="K104" s="2">
        <v>29670</v>
      </c>
      <c r="L104" s="2">
        <v>40</v>
      </c>
      <c r="M104" s="2">
        <v>419</v>
      </c>
      <c r="O104" s="342" t="s">
        <v>105</v>
      </c>
      <c r="P104" s="44" t="s">
        <v>1686</v>
      </c>
      <c r="Q104" s="264" t="s">
        <v>466</v>
      </c>
      <c r="R104" s="44">
        <v>1</v>
      </c>
      <c r="S104" t="s">
        <v>1685</v>
      </c>
      <c r="T104">
        <v>2</v>
      </c>
      <c r="U104">
        <v>288</v>
      </c>
    </row>
    <row r="105" spans="1:21">
      <c r="C105" s="43">
        <v>8271</v>
      </c>
      <c r="D105" s="43" t="s">
        <v>1907</v>
      </c>
      <c r="P105" s="44" t="s">
        <v>1908</v>
      </c>
      <c r="Q105" s="264" t="s">
        <v>158</v>
      </c>
    </row>
  </sheetData>
  <sortState ref="A5:U92">
    <sortCondition ref="P5:P92"/>
  </sortState>
  <mergeCells count="1">
    <mergeCell ref="D2:F2"/>
  </mergeCells>
  <phoneticPr fontId="2"/>
  <pageMargins left="0.7" right="0.7" top="0.75" bottom="0.75" header="0.3" footer="0.3"/>
  <pageSetup paperSize="8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58"/>
  <sheetViews>
    <sheetView tabSelected="1" topLeftCell="C40" workbookViewId="0">
      <selection activeCell="H23" sqref="H23"/>
    </sheetView>
  </sheetViews>
  <sheetFormatPr defaultRowHeight="18"/>
  <cols>
    <col min="2" max="2" width="5.59765625" customWidth="1"/>
    <col min="4" max="4" width="14.19921875" customWidth="1"/>
    <col min="5" max="5" width="4.3984375" customWidth="1"/>
    <col min="6" max="6" width="9.3984375" style="2" customWidth="1"/>
    <col min="7" max="7" width="11.69921875" style="3" customWidth="1"/>
    <col min="8" max="9" width="9.3984375" style="3" customWidth="1"/>
    <col min="10" max="13" width="10.69921875" style="2" customWidth="1"/>
    <col min="14" max="14" width="8.5" style="2" customWidth="1"/>
    <col min="15" max="15" width="4.19921875" style="66" hidden="1" customWidth="1"/>
    <col min="16" max="16" width="8" style="67" customWidth="1"/>
    <col min="17" max="17" width="18.59765625" customWidth="1"/>
    <col min="18" max="19" width="4.09765625" customWidth="1"/>
    <col min="20" max="20" width="4.5" customWidth="1"/>
  </cols>
  <sheetData>
    <row r="1" spans="1:20">
      <c r="D1" s="66"/>
    </row>
    <row r="2" spans="1:20" ht="18.75" customHeight="1" thickBot="1">
      <c r="D2" s="566" t="s">
        <v>0</v>
      </c>
      <c r="E2" s="567"/>
      <c r="F2" s="568"/>
      <c r="G2" s="4"/>
      <c r="H2" s="4"/>
      <c r="I2" s="4"/>
      <c r="J2" s="5"/>
      <c r="K2" s="5"/>
      <c r="L2" s="5"/>
      <c r="M2" s="5"/>
      <c r="N2" s="5"/>
    </row>
    <row r="3" spans="1:20" ht="18.75" customHeight="1">
      <c r="B3" s="6"/>
      <c r="C3" s="552" t="s">
        <v>1</v>
      </c>
      <c r="D3" s="552" t="s">
        <v>2</v>
      </c>
      <c r="E3" s="554" t="s">
        <v>3</v>
      </c>
      <c r="F3" s="556" t="s">
        <v>4</v>
      </c>
      <c r="G3" s="7"/>
      <c r="H3" s="7"/>
      <c r="I3" s="7"/>
      <c r="J3" s="558" t="s">
        <v>5</v>
      </c>
      <c r="K3" s="8"/>
      <c r="L3" s="8"/>
      <c r="M3" s="8"/>
      <c r="N3" s="8"/>
      <c r="O3" s="560" t="s">
        <v>6</v>
      </c>
      <c r="P3" s="68" t="s">
        <v>7</v>
      </c>
      <c r="Q3" s="62" t="s">
        <v>7</v>
      </c>
      <c r="R3" s="562" t="s">
        <v>8</v>
      </c>
      <c r="S3" s="562" t="s">
        <v>8</v>
      </c>
      <c r="T3" s="564" t="s">
        <v>9</v>
      </c>
    </row>
    <row r="4" spans="1:20" ht="18.75" customHeight="1" thickBot="1">
      <c r="B4" s="9"/>
      <c r="C4" s="553"/>
      <c r="D4" s="553"/>
      <c r="E4" s="555"/>
      <c r="F4" s="557"/>
      <c r="G4" s="10">
        <v>44470</v>
      </c>
      <c r="H4" s="7"/>
      <c r="I4" s="7"/>
      <c r="J4" s="559"/>
      <c r="K4" s="11"/>
      <c r="L4" s="8"/>
      <c r="M4" s="8"/>
      <c r="N4" s="8"/>
      <c r="O4" s="561"/>
      <c r="P4" s="69" t="s">
        <v>10</v>
      </c>
      <c r="Q4" s="63" t="s">
        <v>11</v>
      </c>
      <c r="R4" s="563"/>
      <c r="S4" s="563"/>
      <c r="T4" s="565"/>
    </row>
    <row r="5" spans="1:20" ht="18.75" customHeight="1">
      <c r="A5">
        <v>1</v>
      </c>
      <c r="B5" s="12">
        <v>271</v>
      </c>
      <c r="C5" s="13">
        <v>3375</v>
      </c>
      <c r="D5" s="13" t="s">
        <v>33</v>
      </c>
      <c r="E5" s="14" t="s">
        <v>34</v>
      </c>
      <c r="F5" s="15">
        <v>19931205</v>
      </c>
      <c r="G5" s="16">
        <f t="shared" ref="G5:G11" si="0">DATE(INT(F5/10000),INT(MOD(F5,10000)/100),MOD(F5,100))</f>
        <v>34308</v>
      </c>
      <c r="H5" s="2">
        <f t="shared" ref="H5:H11" si="1">DATEDIF(G5,$G$4,"Y")</f>
        <v>27</v>
      </c>
      <c r="I5" s="17"/>
      <c r="J5" s="18">
        <v>20120321</v>
      </c>
      <c r="K5" s="16">
        <f t="shared" ref="K5:K11" si="2">DATE(INT(J5/10000),INT(MOD(J5,10000)/100),MOD(J5,100))</f>
        <v>40989</v>
      </c>
      <c r="L5" s="2">
        <f t="shared" ref="L5:L11" si="3">DATEDIF(K5,$G$4,"Y")</f>
        <v>9</v>
      </c>
      <c r="M5" s="25" t="e">
        <f>VLOOKUP($C5,#REF!:#REF!,2,FALSE)</f>
        <v>#REF!</v>
      </c>
      <c r="N5" s="19"/>
      <c r="O5" s="20" t="s">
        <v>35</v>
      </c>
      <c r="P5" s="223">
        <f>VLOOKUP($C5,従業員情報!$A$2:'従業員情報'!$AM$2000,5,FALSE)</f>
        <v>1000</v>
      </c>
      <c r="Q5" s="223" t="str">
        <f>VLOOKUP($C5,従業員情報!$A$2:'従業員情報'!$AM$2000,6,FALSE)</f>
        <v>人事部</v>
      </c>
      <c r="R5" s="13">
        <v>0</v>
      </c>
      <c r="S5" s="13"/>
      <c r="T5" s="13">
        <v>2</v>
      </c>
    </row>
    <row r="6" spans="1:20">
      <c r="A6">
        <v>3</v>
      </c>
      <c r="B6" s="21">
        <v>130</v>
      </c>
      <c r="C6" s="22">
        <v>3002</v>
      </c>
      <c r="D6" s="22" t="s">
        <v>36</v>
      </c>
      <c r="E6" s="23" t="s">
        <v>34</v>
      </c>
      <c r="F6" s="24">
        <v>19760123</v>
      </c>
      <c r="G6" s="16">
        <f t="shared" si="0"/>
        <v>27782</v>
      </c>
      <c r="H6" s="2">
        <f t="shared" si="1"/>
        <v>45</v>
      </c>
      <c r="I6" s="17"/>
      <c r="J6" s="25">
        <v>19940322</v>
      </c>
      <c r="K6" s="16">
        <f t="shared" si="2"/>
        <v>34415</v>
      </c>
      <c r="L6" s="2">
        <f t="shared" si="3"/>
        <v>27</v>
      </c>
      <c r="M6" s="25" t="e">
        <f>VLOOKUP($C6,#REF!:#REF!,2,FALSE)</f>
        <v>#REF!</v>
      </c>
      <c r="N6" s="26"/>
      <c r="O6" s="27" t="s">
        <v>35</v>
      </c>
      <c r="P6" s="223">
        <f>VLOOKUP($C6,従業員情報!$A$2:'従業員情報'!$AM$2000,5,FALSE)</f>
        <v>1100</v>
      </c>
      <c r="Q6" s="223" t="str">
        <f>VLOOKUP($C6,従業員情報!$A$2:'従業員情報'!$AM$2000,6,FALSE)</f>
        <v>人事部羽生</v>
      </c>
      <c r="R6" s="22">
        <v>0</v>
      </c>
      <c r="S6" s="22"/>
      <c r="T6" s="22">
        <v>2</v>
      </c>
    </row>
    <row r="7" spans="1:20">
      <c r="A7">
        <v>4</v>
      </c>
      <c r="B7" s="21">
        <v>150</v>
      </c>
      <c r="C7" s="22">
        <v>3062</v>
      </c>
      <c r="D7" s="22" t="s">
        <v>37</v>
      </c>
      <c r="E7" s="23" t="s">
        <v>34</v>
      </c>
      <c r="F7" s="24">
        <v>19750302</v>
      </c>
      <c r="G7" s="16">
        <f t="shared" si="0"/>
        <v>27455</v>
      </c>
      <c r="H7" s="2">
        <f t="shared" si="1"/>
        <v>46</v>
      </c>
      <c r="I7" s="17"/>
      <c r="J7" s="25">
        <v>19950322</v>
      </c>
      <c r="K7" s="16">
        <f t="shared" si="2"/>
        <v>34780</v>
      </c>
      <c r="L7" s="2">
        <f t="shared" si="3"/>
        <v>26</v>
      </c>
      <c r="M7" s="25" t="e">
        <f>VLOOKUP($C7,#REF!:#REF!,2,FALSE)</f>
        <v>#REF!</v>
      </c>
      <c r="N7" s="26"/>
      <c r="O7" s="27" t="s">
        <v>19</v>
      </c>
      <c r="P7" s="223">
        <f>VLOOKUP($C7,従業員情報!$A$2:'従業員情報'!$AM$2000,5,FALSE)</f>
        <v>3000</v>
      </c>
      <c r="Q7" s="223" t="str">
        <f>VLOOKUP($C7,従業員情報!$A$2:'従業員情報'!$AM$2000,6,FALSE)</f>
        <v>経営管理部</v>
      </c>
      <c r="R7" s="22">
        <v>0</v>
      </c>
      <c r="S7" s="22"/>
      <c r="T7" s="22">
        <v>2</v>
      </c>
    </row>
    <row r="8" spans="1:20">
      <c r="A8">
        <v>5</v>
      </c>
      <c r="B8" s="21">
        <v>280</v>
      </c>
      <c r="C8" s="22">
        <v>3392</v>
      </c>
      <c r="D8" s="22" t="s">
        <v>38</v>
      </c>
      <c r="E8" s="23" t="s">
        <v>34</v>
      </c>
      <c r="F8" s="24">
        <v>19910308</v>
      </c>
      <c r="G8" s="16">
        <f t="shared" si="0"/>
        <v>33305</v>
      </c>
      <c r="H8" s="2">
        <f t="shared" si="1"/>
        <v>30</v>
      </c>
      <c r="I8" s="17"/>
      <c r="J8" s="25">
        <v>20130321</v>
      </c>
      <c r="K8" s="16">
        <f t="shared" si="2"/>
        <v>41354</v>
      </c>
      <c r="L8" s="2">
        <f t="shared" si="3"/>
        <v>8</v>
      </c>
      <c r="M8" s="25" t="e">
        <f>VLOOKUP($C8,#REF!:#REF!,2,FALSE)</f>
        <v>#REF!</v>
      </c>
      <c r="N8" s="19"/>
      <c r="O8" s="27" t="s">
        <v>16</v>
      </c>
      <c r="P8" s="223">
        <f>VLOOKUP($C8,従業員情報!$A$2:'従業員情報'!$AM$2000,5,FALSE)</f>
        <v>3000</v>
      </c>
      <c r="Q8" s="223" t="str">
        <f>VLOOKUP($C8,従業員情報!$A$2:'従業員情報'!$AM$2000,6,FALSE)</f>
        <v>経営管理部</v>
      </c>
      <c r="R8" s="22">
        <v>0</v>
      </c>
      <c r="S8" s="22"/>
      <c r="T8" s="22">
        <v>2</v>
      </c>
    </row>
    <row r="9" spans="1:20">
      <c r="A9">
        <v>6</v>
      </c>
      <c r="B9" s="21">
        <v>62</v>
      </c>
      <c r="C9" s="22">
        <v>1410</v>
      </c>
      <c r="D9" s="22" t="s">
        <v>41</v>
      </c>
      <c r="E9" s="23" t="s">
        <v>677</v>
      </c>
      <c r="F9" s="24">
        <v>19941107</v>
      </c>
      <c r="G9" s="16">
        <f t="shared" si="0"/>
        <v>34645</v>
      </c>
      <c r="H9" s="2">
        <f t="shared" si="1"/>
        <v>26</v>
      </c>
      <c r="I9" s="17"/>
      <c r="J9" s="25">
        <v>20200922</v>
      </c>
      <c r="K9" s="16">
        <f t="shared" si="2"/>
        <v>44096</v>
      </c>
      <c r="L9" s="2">
        <f t="shared" si="3"/>
        <v>1</v>
      </c>
      <c r="M9" s="25" t="e">
        <f>VLOOKUP($C9,#REF!:#REF!,2,FALSE)</f>
        <v>#REF!</v>
      </c>
      <c r="N9" s="26"/>
      <c r="O9" s="29">
        <v>8</v>
      </c>
      <c r="P9" s="223">
        <f>VLOOKUP($C9,従業員情報!$A$2:'従業員情報'!$AM$2000,5,FALSE)</f>
        <v>10000</v>
      </c>
      <c r="Q9" s="223" t="str">
        <f>VLOOKUP($C9,従業員情報!$A$2:'従業員情報'!$AM$2000,6,FALSE)</f>
        <v>営業部</v>
      </c>
      <c r="R9" s="22">
        <v>0</v>
      </c>
      <c r="S9" s="22"/>
      <c r="T9" s="22">
        <v>2</v>
      </c>
    </row>
    <row r="10" spans="1:20">
      <c r="A10">
        <v>7</v>
      </c>
      <c r="B10" s="21">
        <v>229</v>
      </c>
      <c r="C10" s="22">
        <v>3297</v>
      </c>
      <c r="D10" s="22" t="s">
        <v>40</v>
      </c>
      <c r="E10" s="23" t="s">
        <v>34</v>
      </c>
      <c r="F10" s="24">
        <v>19900313</v>
      </c>
      <c r="G10" s="16">
        <f t="shared" si="0"/>
        <v>32945</v>
      </c>
      <c r="H10" s="2">
        <f t="shared" si="1"/>
        <v>31</v>
      </c>
      <c r="I10" s="17"/>
      <c r="J10" s="25">
        <v>20080321</v>
      </c>
      <c r="K10" s="16">
        <f t="shared" si="2"/>
        <v>39528</v>
      </c>
      <c r="L10" s="2">
        <f t="shared" si="3"/>
        <v>13</v>
      </c>
      <c r="M10" s="25" t="e">
        <f>VLOOKUP($C10,#REF!:#REF!,2,FALSE)</f>
        <v>#REF!</v>
      </c>
      <c r="N10" s="26"/>
      <c r="O10" s="27" t="s">
        <v>35</v>
      </c>
      <c r="P10" s="223">
        <f>VLOOKUP($C10,従業員情報!$A$2:'従業員情報'!$AM$2000,5,FALSE)</f>
        <v>10000</v>
      </c>
      <c r="Q10" s="223" t="str">
        <f>VLOOKUP($C10,従業員情報!$A$2:'従業員情報'!$AM$2000,6,FALSE)</f>
        <v>営業部</v>
      </c>
      <c r="R10" s="22">
        <v>0</v>
      </c>
      <c r="S10" s="22"/>
      <c r="T10" s="22">
        <v>2</v>
      </c>
    </row>
    <row r="11" spans="1:20">
      <c r="A11">
        <v>8</v>
      </c>
      <c r="B11" s="21">
        <v>112</v>
      </c>
      <c r="C11" s="22">
        <v>2912</v>
      </c>
      <c r="D11" s="22" t="s">
        <v>39</v>
      </c>
      <c r="E11" s="23" t="s">
        <v>34</v>
      </c>
      <c r="F11" s="24">
        <v>19731124</v>
      </c>
      <c r="G11" s="16">
        <f t="shared" si="0"/>
        <v>26992</v>
      </c>
      <c r="H11" s="2">
        <f t="shared" si="1"/>
        <v>47</v>
      </c>
      <c r="I11" s="17"/>
      <c r="J11" s="25">
        <v>19920323</v>
      </c>
      <c r="K11" s="16">
        <f t="shared" si="2"/>
        <v>33686</v>
      </c>
      <c r="L11" s="2">
        <f t="shared" si="3"/>
        <v>29</v>
      </c>
      <c r="M11" s="25" t="e">
        <f>VLOOKUP($C11,#REF!:#REF!,2,FALSE)</f>
        <v>#REF!</v>
      </c>
      <c r="N11" s="26"/>
      <c r="O11" s="27" t="s">
        <v>35</v>
      </c>
      <c r="P11" s="223">
        <f>VLOOKUP($C11,従業員情報!$A$2:'従業員情報'!$AM$2000,5,FALSE)</f>
        <v>10000</v>
      </c>
      <c r="Q11" s="223" t="str">
        <f>VLOOKUP($C11,従業員情報!$A$2:'従業員情報'!$AM$2000,6,FALSE)</f>
        <v>営業部</v>
      </c>
      <c r="R11" s="22">
        <v>0</v>
      </c>
      <c r="S11" s="22"/>
      <c r="T11" s="22">
        <v>2</v>
      </c>
    </row>
    <row r="12" spans="1:20">
      <c r="A12">
        <v>44</v>
      </c>
      <c r="B12" s="21"/>
      <c r="C12" s="22">
        <v>3530</v>
      </c>
      <c r="D12" s="22" t="s">
        <v>722</v>
      </c>
      <c r="E12" s="23"/>
      <c r="F12" s="24"/>
      <c r="G12" s="16"/>
      <c r="H12" s="2"/>
      <c r="I12" s="17"/>
      <c r="J12" s="25"/>
      <c r="K12" s="16"/>
      <c r="M12" s="25" t="e">
        <f>VLOOKUP($C12,#REF!:#REF!,2,FALSE)</f>
        <v>#REF!</v>
      </c>
      <c r="N12" s="19"/>
      <c r="O12" s="27"/>
      <c r="P12" s="223">
        <f>VLOOKUP($C12,従業員情報!$A$2:'従業員情報'!$AM$2000,5,FALSE)</f>
        <v>10000</v>
      </c>
      <c r="Q12" s="223" t="str">
        <f>VLOOKUP($C12,従業員情報!$A$2:'従業員情報'!$AM$2000,6,FALSE)</f>
        <v>営業部</v>
      </c>
      <c r="R12" s="22"/>
      <c r="S12" s="22"/>
      <c r="T12" s="22"/>
    </row>
    <row r="13" spans="1:20">
      <c r="A13">
        <v>9</v>
      </c>
      <c r="B13" s="21">
        <v>19</v>
      </c>
      <c r="C13" s="22">
        <v>1343</v>
      </c>
      <c r="D13" s="22" t="s">
        <v>230</v>
      </c>
      <c r="E13" s="23" t="s">
        <v>34</v>
      </c>
      <c r="F13" s="24">
        <v>19660702</v>
      </c>
      <c r="G13" s="16">
        <f t="shared" ref="G13:G25" si="4">DATE(INT(F13/10000),INT(MOD(F13,10000)/100),MOD(F13,100))</f>
        <v>24290</v>
      </c>
      <c r="H13" s="2">
        <f t="shared" ref="H13:H25" si="5">DATEDIF(G13,$G$4,"Y")</f>
        <v>55</v>
      </c>
      <c r="I13" s="17"/>
      <c r="J13" s="25">
        <v>19990818</v>
      </c>
      <c r="K13" s="16">
        <f t="shared" ref="K13:K25" si="6">DATE(INT(J13/10000),INT(MOD(J13,10000)/100),MOD(J13,100))</f>
        <v>36390</v>
      </c>
      <c r="L13" s="2">
        <f t="shared" ref="L13:L25" si="7">DATEDIF(K13,$G$4,"Y")</f>
        <v>22</v>
      </c>
      <c r="M13" s="25" t="e">
        <f>VLOOKUP($C13,#REF!:#REF!,2,FALSE)</f>
        <v>#REF!</v>
      </c>
      <c r="N13" s="26"/>
      <c r="O13" s="27" t="s">
        <v>19</v>
      </c>
      <c r="P13" s="223">
        <f>VLOOKUP($C13,従業員情報!$A$2:'従業員情報'!$AM$2000,5,FALSE)</f>
        <v>20000</v>
      </c>
      <c r="Q13" s="223" t="str">
        <f>VLOOKUP($C13,従業員情報!$A$2:'従業員情報'!$AM$2000,6,FALSE)</f>
        <v>生産管理部製品管理課</v>
      </c>
      <c r="R13" s="22">
        <v>0</v>
      </c>
      <c r="S13" s="22"/>
      <c r="T13" s="22">
        <v>1</v>
      </c>
    </row>
    <row r="14" spans="1:20">
      <c r="B14" s="21"/>
      <c r="C14" s="22"/>
      <c r="D14" s="22"/>
      <c r="E14" s="23"/>
      <c r="F14" s="24"/>
      <c r="G14" s="16"/>
      <c r="H14" s="2"/>
      <c r="I14" s="17"/>
      <c r="J14" s="25"/>
      <c r="K14" s="16"/>
      <c r="M14" s="25"/>
      <c r="N14" s="26"/>
      <c r="O14" s="27"/>
      <c r="P14" s="223"/>
      <c r="Q14" s="223"/>
      <c r="R14" s="22"/>
      <c r="S14" s="22"/>
      <c r="T14" s="22"/>
    </row>
    <row r="15" spans="1:20">
      <c r="A15">
        <v>11</v>
      </c>
      <c r="B15" s="21">
        <v>172</v>
      </c>
      <c r="C15" s="22">
        <v>3161</v>
      </c>
      <c r="D15" s="22" t="s">
        <v>232</v>
      </c>
      <c r="E15" s="23" t="s">
        <v>34</v>
      </c>
      <c r="F15" s="24">
        <v>19791010</v>
      </c>
      <c r="G15" s="16">
        <f t="shared" si="4"/>
        <v>29138</v>
      </c>
      <c r="H15" s="2">
        <f t="shared" si="5"/>
        <v>41</v>
      </c>
      <c r="I15" s="17"/>
      <c r="J15" s="25">
        <v>20000321</v>
      </c>
      <c r="K15" s="16">
        <f t="shared" si="6"/>
        <v>36606</v>
      </c>
      <c r="L15" s="2">
        <f t="shared" si="7"/>
        <v>21</v>
      </c>
      <c r="M15" s="25" t="e">
        <f>VLOOKUP($C15,#REF!:#REF!,2,FALSE)</f>
        <v>#REF!</v>
      </c>
      <c r="N15" s="26"/>
      <c r="O15" s="27" t="s">
        <v>19</v>
      </c>
      <c r="P15" s="223">
        <f>VLOOKUP($C15,従業員情報!$A$2:'従業員情報'!$AM$2000,5,FALSE)</f>
        <v>22000</v>
      </c>
      <c r="Q15" s="223" t="str">
        <f>VLOOKUP($C15,従業員情報!$A$2:'従業員情報'!$AM$2000,6,FALSE)</f>
        <v>生産管理部ＩＴ管理課</v>
      </c>
      <c r="R15" s="22">
        <v>0</v>
      </c>
      <c r="S15" s="22"/>
      <c r="T15" s="22">
        <v>2</v>
      </c>
    </row>
    <row r="16" spans="1:20">
      <c r="A16">
        <v>12</v>
      </c>
      <c r="B16" s="21">
        <v>94</v>
      </c>
      <c r="C16" s="22">
        <v>2785</v>
      </c>
      <c r="D16" s="22" t="s">
        <v>231</v>
      </c>
      <c r="E16" s="23" t="s">
        <v>34</v>
      </c>
      <c r="F16" s="24">
        <v>19671216</v>
      </c>
      <c r="G16" s="16">
        <f t="shared" si="4"/>
        <v>24822</v>
      </c>
      <c r="H16" s="2">
        <f t="shared" si="5"/>
        <v>53</v>
      </c>
      <c r="I16" s="17"/>
      <c r="J16" s="25">
        <v>19860324</v>
      </c>
      <c r="K16" s="16">
        <f t="shared" si="6"/>
        <v>31495</v>
      </c>
      <c r="L16" s="2">
        <f t="shared" si="7"/>
        <v>35</v>
      </c>
      <c r="M16" s="25" t="e">
        <f>VLOOKUP($C16,#REF!:#REF!,2,FALSE)</f>
        <v>#REF!</v>
      </c>
      <c r="N16" s="26"/>
      <c r="O16" s="27" t="s">
        <v>35</v>
      </c>
      <c r="P16" s="223">
        <f>VLOOKUP($C16,従業員情報!$A$2:'従業員情報'!$AM$2000,5,FALSE)</f>
        <v>22000</v>
      </c>
      <c r="Q16" s="223" t="str">
        <f>VLOOKUP($C16,従業員情報!$A$2:'従業員情報'!$AM$2000,6,FALSE)</f>
        <v>生産管理部ＩＴ管理課</v>
      </c>
      <c r="R16" s="22">
        <v>0</v>
      </c>
      <c r="S16" s="22"/>
      <c r="T16" s="22">
        <v>2</v>
      </c>
    </row>
    <row r="17" spans="1:20">
      <c r="A17">
        <v>13</v>
      </c>
      <c r="B17" s="21">
        <v>177</v>
      </c>
      <c r="C17" s="22">
        <v>3174</v>
      </c>
      <c r="D17" s="22" t="s">
        <v>233</v>
      </c>
      <c r="E17" s="23" t="s">
        <v>34</v>
      </c>
      <c r="F17" s="24">
        <v>19821203</v>
      </c>
      <c r="G17" s="16">
        <f t="shared" si="4"/>
        <v>30288</v>
      </c>
      <c r="H17" s="2">
        <f t="shared" si="5"/>
        <v>38</v>
      </c>
      <c r="I17" s="17"/>
      <c r="J17" s="25">
        <v>20010321</v>
      </c>
      <c r="K17" s="16">
        <f t="shared" si="6"/>
        <v>36971</v>
      </c>
      <c r="L17" s="2">
        <f t="shared" si="7"/>
        <v>20</v>
      </c>
      <c r="M17" s="25" t="e">
        <f>VLOOKUP($C17,#REF!:#REF!,2,FALSE)</f>
        <v>#REF!</v>
      </c>
      <c r="N17" s="26"/>
      <c r="O17" s="27" t="s">
        <v>35</v>
      </c>
      <c r="P17" s="223">
        <f>VLOOKUP($C17,従業員情報!$A$2:'従業員情報'!$AM$2000,5,FALSE)</f>
        <v>34000</v>
      </c>
      <c r="Q17" s="223" t="str">
        <f>VLOOKUP($C17,従業員情報!$A$2:'従業員情報'!$AM$2000,6,FALSE)</f>
        <v>生産支援室</v>
      </c>
      <c r="R17" s="22">
        <v>0</v>
      </c>
      <c r="S17" s="22"/>
      <c r="T17" s="22">
        <v>2</v>
      </c>
    </row>
    <row r="18" spans="1:20">
      <c r="A18">
        <v>14</v>
      </c>
      <c r="B18" s="37">
        <v>331</v>
      </c>
      <c r="C18" s="37">
        <v>3475</v>
      </c>
      <c r="D18" s="37" t="s">
        <v>234</v>
      </c>
      <c r="E18" s="50" t="s">
        <v>34</v>
      </c>
      <c r="F18" s="19">
        <v>19981006</v>
      </c>
      <c r="G18" s="16">
        <f t="shared" si="4"/>
        <v>36074</v>
      </c>
      <c r="H18" s="2">
        <f t="shared" si="5"/>
        <v>22</v>
      </c>
      <c r="I18" s="17"/>
      <c r="J18" s="19">
        <v>20170403</v>
      </c>
      <c r="K18" s="16">
        <f t="shared" si="6"/>
        <v>42828</v>
      </c>
      <c r="L18" s="2">
        <f t="shared" si="7"/>
        <v>4</v>
      </c>
      <c r="M18" s="25" t="e">
        <f>VLOOKUP($C18,#REF!:#REF!,2,FALSE)</f>
        <v>#REF!</v>
      </c>
      <c r="N18" s="19"/>
      <c r="O18" s="40">
        <v>6</v>
      </c>
      <c r="P18" s="223">
        <f>VLOOKUP($C18,従業員情報!$A$2:'従業員情報'!$AM$2000,5,FALSE)</f>
        <v>31000</v>
      </c>
      <c r="Q18" s="223" t="str">
        <f>VLOOKUP($C18,従業員情報!$A$2:'従業員情報'!$AM$2000,6,FALSE)</f>
        <v>生産技術部２課工機係</v>
      </c>
      <c r="R18" s="37">
        <v>0</v>
      </c>
      <c r="S18" s="37"/>
      <c r="T18" s="37">
        <v>2</v>
      </c>
    </row>
    <row r="19" spans="1:20">
      <c r="A19">
        <v>15</v>
      </c>
      <c r="B19" s="21">
        <v>154</v>
      </c>
      <c r="C19" s="271">
        <v>3093</v>
      </c>
      <c r="D19" s="271" t="s">
        <v>235</v>
      </c>
      <c r="E19" s="23" t="s">
        <v>34</v>
      </c>
      <c r="F19" s="24">
        <v>19750430</v>
      </c>
      <c r="G19" s="16">
        <f t="shared" si="4"/>
        <v>27514</v>
      </c>
      <c r="H19" s="2">
        <f t="shared" si="5"/>
        <v>46</v>
      </c>
      <c r="I19" s="17"/>
      <c r="J19" s="25">
        <v>19960321</v>
      </c>
      <c r="K19" s="16">
        <f t="shared" si="6"/>
        <v>35145</v>
      </c>
      <c r="L19" s="2">
        <f t="shared" si="7"/>
        <v>25</v>
      </c>
      <c r="M19" s="25" t="e">
        <f>VLOOKUP($C19,#REF!:#REF!,2,FALSE)</f>
        <v>#REF!</v>
      </c>
      <c r="N19" s="26"/>
      <c r="O19" s="27" t="s">
        <v>19</v>
      </c>
      <c r="P19" s="223">
        <f>VLOOKUP($C19,従業員情報!$A$2:'従業員情報'!$AM$2000,5,FALSE)</f>
        <v>40000</v>
      </c>
      <c r="Q19" s="223" t="str">
        <f>VLOOKUP($C19,従業員情報!$A$2:'従業員情報'!$AM$2000,6,FALSE)</f>
        <v>本社工場工場管理課</v>
      </c>
      <c r="R19" s="271">
        <v>0</v>
      </c>
      <c r="S19" s="271"/>
      <c r="T19" s="271">
        <v>2</v>
      </c>
    </row>
    <row r="20" spans="1:20">
      <c r="A20">
        <v>16</v>
      </c>
      <c r="B20" s="21">
        <v>356</v>
      </c>
      <c r="C20" s="22">
        <v>3505</v>
      </c>
      <c r="D20" s="22" t="s">
        <v>513</v>
      </c>
      <c r="E20" s="23" t="s">
        <v>34</v>
      </c>
      <c r="F20" s="24">
        <v>20000510</v>
      </c>
      <c r="G20" s="16">
        <f t="shared" si="4"/>
        <v>36656</v>
      </c>
      <c r="H20" s="2">
        <f t="shared" si="5"/>
        <v>21</v>
      </c>
      <c r="I20" s="17"/>
      <c r="J20" s="25">
        <v>20190401</v>
      </c>
      <c r="K20" s="16">
        <f t="shared" si="6"/>
        <v>43556</v>
      </c>
      <c r="L20" s="2">
        <f t="shared" si="7"/>
        <v>2</v>
      </c>
      <c r="M20" s="25" t="e">
        <f>VLOOKUP($C20,#REF!:#REF!,2,FALSE)</f>
        <v>#REF!</v>
      </c>
      <c r="N20" s="26"/>
      <c r="O20" s="27">
        <v>6</v>
      </c>
      <c r="P20" s="223">
        <f>VLOOKUP($C20,従業員情報!$A$2:'従業員情報'!$AM$2000,5,FALSE)</f>
        <v>42111</v>
      </c>
      <c r="Q20" s="223" t="str">
        <f>VLOOKUP($C20,従業員情報!$A$2:'従業員情報'!$AM$2000,6,FALSE)</f>
        <v>本社工場組立第１</v>
      </c>
      <c r="R20" s="22">
        <v>1</v>
      </c>
      <c r="S20" s="22" t="s">
        <v>679</v>
      </c>
      <c r="T20" s="22">
        <v>2</v>
      </c>
    </row>
    <row r="21" spans="1:20">
      <c r="A21">
        <v>17</v>
      </c>
      <c r="B21" s="21">
        <v>162</v>
      </c>
      <c r="C21" s="22">
        <v>3117</v>
      </c>
      <c r="D21" s="22" t="s">
        <v>515</v>
      </c>
      <c r="E21" s="23" t="s">
        <v>34</v>
      </c>
      <c r="F21" s="24">
        <v>19780329</v>
      </c>
      <c r="G21" s="16">
        <f t="shared" si="4"/>
        <v>28578</v>
      </c>
      <c r="H21" s="2">
        <f t="shared" si="5"/>
        <v>43</v>
      </c>
      <c r="I21" s="17"/>
      <c r="J21" s="25">
        <v>19960321</v>
      </c>
      <c r="K21" s="16">
        <f t="shared" si="6"/>
        <v>35145</v>
      </c>
      <c r="L21" s="2">
        <f t="shared" si="7"/>
        <v>25</v>
      </c>
      <c r="M21" s="25" t="e">
        <f>VLOOKUP($C21,#REF!:#REF!,2,FALSE)</f>
        <v>#REF!</v>
      </c>
      <c r="N21" s="26"/>
      <c r="O21" s="27" t="s">
        <v>35</v>
      </c>
      <c r="P21" s="223">
        <f>VLOOKUP($C21,従業員情報!$A$2:'従業員情報'!$AM$2000,5,FALSE)</f>
        <v>43211</v>
      </c>
      <c r="Q21" s="223" t="str">
        <f>VLOOKUP($C21,従業員情報!$A$2:'従業員情報'!$AM$2000,6,FALSE)</f>
        <v>本社工場ＢＶ</v>
      </c>
      <c r="R21" s="22">
        <v>1</v>
      </c>
      <c r="S21" s="22" t="s">
        <v>679</v>
      </c>
      <c r="T21" s="22">
        <v>2</v>
      </c>
    </row>
    <row r="22" spans="1:20">
      <c r="A22">
        <v>18</v>
      </c>
      <c r="B22" s="21">
        <v>394</v>
      </c>
      <c r="C22" s="22">
        <v>3890</v>
      </c>
      <c r="D22" s="22" t="s">
        <v>514</v>
      </c>
      <c r="E22" s="23" t="s">
        <v>34</v>
      </c>
      <c r="F22" s="24">
        <v>19740910</v>
      </c>
      <c r="G22" s="16">
        <f t="shared" si="4"/>
        <v>27282</v>
      </c>
      <c r="H22" s="2">
        <f t="shared" si="5"/>
        <v>47</v>
      </c>
      <c r="I22" s="17"/>
      <c r="J22" s="25">
        <v>19941021</v>
      </c>
      <c r="K22" s="16">
        <f t="shared" si="6"/>
        <v>34628</v>
      </c>
      <c r="L22" s="2">
        <f t="shared" si="7"/>
        <v>26</v>
      </c>
      <c r="M22" s="25" t="e">
        <f>VLOOKUP($C22,#REF!:#REF!,2,FALSE)</f>
        <v>#REF!</v>
      </c>
      <c r="N22" s="26"/>
      <c r="O22" s="27" t="s">
        <v>35</v>
      </c>
      <c r="P22" s="223">
        <f>VLOOKUP($C22,従業員情報!$A$2:'従業員情報'!$AM$2000,5,FALSE)</f>
        <v>43211</v>
      </c>
      <c r="Q22" s="223" t="str">
        <f>VLOOKUP($C22,従業員情報!$A$2:'従業員情報'!$AM$2000,6,FALSE)</f>
        <v>本社工場ＢＶ</v>
      </c>
      <c r="R22" s="22">
        <v>1</v>
      </c>
      <c r="S22" s="22" t="s">
        <v>679</v>
      </c>
      <c r="T22" s="22">
        <v>2</v>
      </c>
    </row>
    <row r="23" spans="1:20">
      <c r="A23">
        <v>19</v>
      </c>
      <c r="B23" s="21">
        <v>230</v>
      </c>
      <c r="C23" s="22">
        <v>3301</v>
      </c>
      <c r="D23" s="22" t="s">
        <v>517</v>
      </c>
      <c r="E23" s="23" t="s">
        <v>34</v>
      </c>
      <c r="F23" s="24">
        <v>19890908</v>
      </c>
      <c r="G23" s="16">
        <f t="shared" si="4"/>
        <v>32759</v>
      </c>
      <c r="H23" s="2"/>
      <c r="I23" s="17"/>
      <c r="J23" s="25">
        <v>20080321</v>
      </c>
      <c r="K23" s="16">
        <f t="shared" si="6"/>
        <v>39528</v>
      </c>
      <c r="L23" s="2">
        <f t="shared" si="7"/>
        <v>13</v>
      </c>
      <c r="M23" s="25" t="e">
        <f>VLOOKUP($C23,#REF!:#REF!,2,FALSE)</f>
        <v>#REF!</v>
      </c>
      <c r="N23" s="26"/>
      <c r="O23" s="27" t="s">
        <v>35</v>
      </c>
      <c r="P23" s="223">
        <f>VLOOKUP($C23,従業員情報!$A$2:'従業員情報'!$AM$2000,5,FALSE)</f>
        <v>43211</v>
      </c>
      <c r="Q23" s="223" t="str">
        <f>VLOOKUP($C23,従業員情報!$A$2:'従業員情報'!$AM$2000,6,FALSE)</f>
        <v>本社工場ＢＶ</v>
      </c>
      <c r="R23" s="22">
        <v>1</v>
      </c>
      <c r="S23" s="22" t="s">
        <v>679</v>
      </c>
      <c r="T23" s="22">
        <v>2</v>
      </c>
    </row>
    <row r="24" spans="1:20">
      <c r="A24">
        <v>20</v>
      </c>
      <c r="B24" s="21">
        <v>396</v>
      </c>
      <c r="C24" s="22">
        <v>3892</v>
      </c>
      <c r="D24" s="22" t="s">
        <v>516</v>
      </c>
      <c r="E24" s="23" t="s">
        <v>34</v>
      </c>
      <c r="F24" s="24">
        <v>19820817</v>
      </c>
      <c r="G24" s="16">
        <f t="shared" si="4"/>
        <v>30180</v>
      </c>
      <c r="H24" s="2">
        <f t="shared" si="5"/>
        <v>39</v>
      </c>
      <c r="I24" s="17"/>
      <c r="J24" s="25">
        <v>20010321</v>
      </c>
      <c r="K24" s="16">
        <f t="shared" si="6"/>
        <v>36971</v>
      </c>
      <c r="L24" s="2">
        <f t="shared" si="7"/>
        <v>20</v>
      </c>
      <c r="M24" s="25" t="e">
        <f>VLOOKUP($C24,#REF!:#REF!,2,FALSE)</f>
        <v>#REF!</v>
      </c>
      <c r="N24" s="26"/>
      <c r="O24" s="27" t="s">
        <v>35</v>
      </c>
      <c r="P24" s="223">
        <f>VLOOKUP($C24,従業員情報!$A$2:'従業員情報'!$AM$2000,5,FALSE)</f>
        <v>43211</v>
      </c>
      <c r="Q24" s="223" t="str">
        <f>VLOOKUP($C24,従業員情報!$A$2:'従業員情報'!$AM$2000,6,FALSE)</f>
        <v>本社工場ＢＶ</v>
      </c>
      <c r="R24" s="22">
        <v>1</v>
      </c>
      <c r="S24" s="22" t="s">
        <v>679</v>
      </c>
      <c r="T24" s="22">
        <v>2</v>
      </c>
    </row>
    <row r="25" spans="1:20">
      <c r="A25">
        <v>21</v>
      </c>
      <c r="B25" s="21">
        <v>241</v>
      </c>
      <c r="C25" s="22">
        <v>3325</v>
      </c>
      <c r="D25" s="22" t="s">
        <v>518</v>
      </c>
      <c r="E25" s="23" t="s">
        <v>34</v>
      </c>
      <c r="F25" s="24">
        <v>19910722</v>
      </c>
      <c r="G25" s="16">
        <f t="shared" si="4"/>
        <v>33441</v>
      </c>
      <c r="H25" s="2">
        <f t="shared" si="5"/>
        <v>30</v>
      </c>
      <c r="I25" s="17"/>
      <c r="J25" s="25">
        <v>20100321</v>
      </c>
      <c r="K25" s="16">
        <f t="shared" si="6"/>
        <v>40258</v>
      </c>
      <c r="L25" s="2">
        <f t="shared" si="7"/>
        <v>11</v>
      </c>
      <c r="M25" s="25" t="e">
        <f>VLOOKUP($C25,#REF!:#REF!,2,FALSE)</f>
        <v>#REF!</v>
      </c>
      <c r="N25" s="26"/>
      <c r="O25" s="27" t="s">
        <v>35</v>
      </c>
      <c r="P25" s="223">
        <f>VLOOKUP($C25,従業員情報!$A$2:'従業員情報'!$AM$2000,5,FALSE)</f>
        <v>43211</v>
      </c>
      <c r="Q25" s="223" t="str">
        <f>VLOOKUP($C25,従業員情報!$A$2:'従業員情報'!$AM$2000,6,FALSE)</f>
        <v>本社工場ＢＶ</v>
      </c>
      <c r="R25" s="22">
        <v>1</v>
      </c>
      <c r="S25" s="22" t="s">
        <v>679</v>
      </c>
      <c r="T25" s="22">
        <v>2</v>
      </c>
    </row>
    <row r="26" spans="1:20">
      <c r="B26" s="21"/>
      <c r="C26" s="32">
        <v>3538</v>
      </c>
      <c r="D26" s="32" t="s">
        <v>891</v>
      </c>
      <c r="E26" s="271"/>
      <c r="F26" s="34"/>
      <c r="J26" s="30"/>
      <c r="M26" s="30"/>
      <c r="N26" s="35"/>
      <c r="O26" s="307"/>
      <c r="P26" s="223">
        <f>VLOOKUP($C26,従業員情報!$A$2:'従業員情報'!$AM$2000,5,FALSE)</f>
        <v>21000</v>
      </c>
      <c r="Q26" s="223" t="str">
        <f>VLOOKUP($C26,従業員情報!$A$2:'従業員情報'!$AM$2000,6,FALSE)</f>
        <v>生産管理部調達課</v>
      </c>
      <c r="R26" s="271"/>
      <c r="S26" s="271"/>
      <c r="T26" s="271"/>
    </row>
    <row r="27" spans="1:20">
      <c r="B27" s="21"/>
      <c r="C27" s="32">
        <v>3543</v>
      </c>
      <c r="D27" s="32" t="s">
        <v>896</v>
      </c>
      <c r="E27" s="271"/>
      <c r="F27" s="34"/>
      <c r="J27" s="30"/>
      <c r="M27" s="30"/>
      <c r="N27" s="35"/>
      <c r="O27" s="307"/>
      <c r="P27" s="223">
        <f>VLOOKUP($C27,従業員情報!$A$2:'従業員情報'!$AM$2000,5,FALSE)</f>
        <v>43211</v>
      </c>
      <c r="Q27" s="223" t="str">
        <f>VLOOKUP($C27,従業員情報!$A$2:'従業員情報'!$AM$2000,6,FALSE)</f>
        <v>本社工場ＢＶ</v>
      </c>
      <c r="R27" s="271"/>
      <c r="S27" s="271"/>
      <c r="T27" s="271"/>
    </row>
    <row r="28" spans="1:20">
      <c r="A28">
        <v>22</v>
      </c>
      <c r="B28" s="21">
        <v>43</v>
      </c>
      <c r="C28" s="22">
        <v>1387</v>
      </c>
      <c r="D28" s="22" t="s">
        <v>236</v>
      </c>
      <c r="E28" s="23" t="s">
        <v>34</v>
      </c>
      <c r="F28" s="24">
        <v>19851216</v>
      </c>
      <c r="G28" s="16">
        <f>DATE(INT(F28/10000),INT(MOD(F28,10000)/100),MOD(F28,100))</f>
        <v>31397</v>
      </c>
      <c r="H28" s="2">
        <f>DATEDIF(G28,$G$4,"Y")</f>
        <v>35</v>
      </c>
      <c r="I28" s="17"/>
      <c r="J28" s="25">
        <v>20140506</v>
      </c>
      <c r="K28" s="16">
        <f>DATE(INT(J28/10000),INT(MOD(J28,10000)/100),MOD(J28,100))</f>
        <v>41765</v>
      </c>
      <c r="L28" s="2">
        <f>DATEDIF(K28,$G$4,"Y")</f>
        <v>7</v>
      </c>
      <c r="M28" s="25" t="e">
        <f>VLOOKUP($C28,#REF!:#REF!,2,FALSE)</f>
        <v>#REF!</v>
      </c>
      <c r="N28" s="26"/>
      <c r="O28" s="27" t="s">
        <v>35</v>
      </c>
      <c r="P28" s="223">
        <f>VLOOKUP($C28,従業員情報!$A$2:'従業員情報'!$AM$2000,5,FALSE)</f>
        <v>44200</v>
      </c>
      <c r="Q28" s="223" t="str">
        <f>VLOOKUP($C28,従業員情報!$A$2:'従業員情報'!$AM$2000,6,FALSE)</f>
        <v>川越第二工場管理</v>
      </c>
      <c r="R28" s="22">
        <v>0</v>
      </c>
      <c r="S28" s="22"/>
      <c r="T28" s="22">
        <v>2</v>
      </c>
    </row>
    <row r="29" spans="1:20">
      <c r="A29">
        <v>50</v>
      </c>
      <c r="B29" s="21"/>
      <c r="C29" s="32">
        <v>1426</v>
      </c>
      <c r="D29" s="32" t="s">
        <v>795</v>
      </c>
      <c r="E29" s="33" t="s">
        <v>796</v>
      </c>
      <c r="F29" s="323">
        <v>19800413</v>
      </c>
      <c r="G29" s="3">
        <f>DATE(INT(F29/10000),INT(MOD(F29,10000)/100),MOD(F29,100))</f>
        <v>29324</v>
      </c>
      <c r="H29" s="3">
        <f>DATEDIF(G29,$G$4,"Y")</f>
        <v>41</v>
      </c>
      <c r="J29" s="325">
        <v>20220516</v>
      </c>
      <c r="K29" s="16">
        <f>DATE(INT(J29/10000),INT(MOD(J29,10000)/100),MOD(J29,100))</f>
        <v>44697</v>
      </c>
      <c r="L29" s="2" t="e">
        <f>DATEDIF(K29,$G$4,"Y")</f>
        <v>#NUM!</v>
      </c>
      <c r="M29" s="25" t="e">
        <f>VLOOKUP($C29,#REF!:#REF!,2,FALSE)</f>
        <v>#REF!</v>
      </c>
      <c r="N29" s="35"/>
      <c r="O29" s="307"/>
      <c r="P29" s="223">
        <f>VLOOKUP($C29,従業員情報!$A$2:'従業員情報'!$AM$2000,5,FALSE)</f>
        <v>44200</v>
      </c>
      <c r="Q29" s="223" t="str">
        <f>VLOOKUP($C29,従業員情報!$A$2:'従業員情報'!$AM$2000,6,FALSE)</f>
        <v>川越第二工場管理</v>
      </c>
      <c r="R29" s="271"/>
      <c r="S29" s="271"/>
      <c r="T29" s="271"/>
    </row>
    <row r="30" spans="1:20">
      <c r="A30">
        <v>24</v>
      </c>
      <c r="B30" s="21">
        <v>348</v>
      </c>
      <c r="C30" s="22">
        <v>3496</v>
      </c>
      <c r="D30" s="22" t="s">
        <v>239</v>
      </c>
      <c r="E30" s="23" t="s">
        <v>34</v>
      </c>
      <c r="F30" s="24">
        <v>19990512</v>
      </c>
      <c r="G30" s="16">
        <f>DATE(INT(F30/10000),INT(MOD(F30,10000)/100),MOD(F30,100))</f>
        <v>36292</v>
      </c>
      <c r="H30" s="2">
        <f>DATEDIF(G30,$G$4,"Y")</f>
        <v>22</v>
      </c>
      <c r="I30" s="17"/>
      <c r="J30" s="25">
        <v>20180402</v>
      </c>
      <c r="K30" s="16">
        <f>DATE(INT(J30/10000),INT(MOD(J30,10000)/100),MOD(J30,100))</f>
        <v>43192</v>
      </c>
      <c r="L30" s="2">
        <f>DATEDIF(K30,$G$4,"Y")</f>
        <v>3</v>
      </c>
      <c r="M30" s="25" t="e">
        <f>VLOOKUP($C30,#REF!:#REF!,2,FALSE)</f>
        <v>#REF!</v>
      </c>
      <c r="N30" s="26"/>
      <c r="O30" s="27">
        <v>6</v>
      </c>
      <c r="P30" s="223">
        <f>VLOOKUP($C30,従業員情報!$A$2:'従業員情報'!$AM$2000,5,FALSE)</f>
        <v>50000</v>
      </c>
      <c r="Q30" s="223" t="str">
        <f>VLOOKUP($C30,従業員情報!$A$2:'従業員情報'!$AM$2000,6,FALSE)</f>
        <v>品質保証部検査課</v>
      </c>
      <c r="R30" s="22">
        <v>0</v>
      </c>
      <c r="S30" s="22"/>
      <c r="T30" s="22">
        <v>2</v>
      </c>
    </row>
    <row r="31" spans="1:20">
      <c r="A31">
        <v>43</v>
      </c>
      <c r="B31" s="21"/>
      <c r="C31" s="22">
        <v>3529</v>
      </c>
      <c r="D31" s="22" t="s">
        <v>721</v>
      </c>
      <c r="E31" s="23"/>
      <c r="F31" s="24"/>
      <c r="G31" s="16"/>
      <c r="H31" s="2"/>
      <c r="I31" s="17"/>
      <c r="J31" s="25"/>
      <c r="K31" s="16"/>
      <c r="M31" s="25" t="e">
        <f>VLOOKUP($C31,#REF!:#REF!,2,FALSE)</f>
        <v>#REF!</v>
      </c>
      <c r="N31" s="26"/>
      <c r="O31" s="27"/>
      <c r="P31" s="223">
        <f>VLOOKUP($C31,従業員情報!$A$2:'従業員情報'!$AM$2000,5,FALSE)</f>
        <v>50000</v>
      </c>
      <c r="Q31" s="223" t="str">
        <f>VLOOKUP($C31,従業員情報!$A$2:'従業員情報'!$AM$2000,6,FALSE)</f>
        <v>品質保証部検査課</v>
      </c>
      <c r="R31" s="22"/>
      <c r="S31" s="22"/>
      <c r="T31" s="22"/>
    </row>
    <row r="32" spans="1:20">
      <c r="A32">
        <v>25</v>
      </c>
      <c r="B32" s="21">
        <v>319</v>
      </c>
      <c r="C32" s="22">
        <v>3455</v>
      </c>
      <c r="D32" s="22" t="s">
        <v>240</v>
      </c>
      <c r="E32" s="23" t="s">
        <v>34</v>
      </c>
      <c r="F32" s="24">
        <v>19940120</v>
      </c>
      <c r="G32" s="16">
        <f t="shared" ref="G32:G54" si="8">DATE(INT(F32/10000),INT(MOD(F32,10000)/100),MOD(F32,100))</f>
        <v>34354</v>
      </c>
      <c r="H32" s="2">
        <f t="shared" ref="H32:H54" si="9">DATEDIF(G32,$G$4,"Y")</f>
        <v>27</v>
      </c>
      <c r="I32" s="17"/>
      <c r="J32" s="25">
        <v>20160401</v>
      </c>
      <c r="K32" s="16">
        <f t="shared" ref="K32:K54" si="10">DATE(INT(J32/10000),INT(MOD(J32,10000)/100),MOD(J32,100))</f>
        <v>42461</v>
      </c>
      <c r="L32" s="2">
        <f t="shared" ref="L32:L54" si="11">DATEDIF(K32,$G$4,"Y")</f>
        <v>5</v>
      </c>
      <c r="M32" s="25" t="e">
        <f>VLOOKUP($C32,#REF!:#REF!,2,FALSE)</f>
        <v>#REF!</v>
      </c>
      <c r="N32" s="26"/>
      <c r="O32" s="27" t="s">
        <v>16</v>
      </c>
      <c r="P32" s="223">
        <f>VLOOKUP($C32,従業員情報!$A$2:'従業員情報'!$AM$2000,5,FALSE)</f>
        <v>60000</v>
      </c>
      <c r="Q32" s="223" t="str">
        <f>VLOOKUP($C32,従業員情報!$A$2:'従業員情報'!$AM$2000,6,FALSE)</f>
        <v>生産管理部製品管理課(羽生)</v>
      </c>
      <c r="R32" s="22">
        <v>0</v>
      </c>
      <c r="S32" s="22"/>
      <c r="T32" s="22">
        <v>2</v>
      </c>
    </row>
    <row r="33" spans="1:20">
      <c r="A33">
        <v>26</v>
      </c>
      <c r="B33" s="21">
        <v>151</v>
      </c>
      <c r="C33" s="22">
        <v>3067</v>
      </c>
      <c r="D33" s="22" t="s">
        <v>251</v>
      </c>
      <c r="E33" s="23" t="s">
        <v>34</v>
      </c>
      <c r="F33" s="24">
        <v>19740821</v>
      </c>
      <c r="G33" s="16">
        <f t="shared" si="8"/>
        <v>27262</v>
      </c>
      <c r="H33" s="2">
        <f t="shared" si="9"/>
        <v>47</v>
      </c>
      <c r="I33" s="17"/>
      <c r="J33" s="25">
        <v>19950322</v>
      </c>
      <c r="K33" s="16">
        <f t="shared" si="10"/>
        <v>34780</v>
      </c>
      <c r="L33" s="2">
        <f t="shared" si="11"/>
        <v>26</v>
      </c>
      <c r="M33" s="25" t="e">
        <f>VLOOKUP($C33,#REF!:#REF!,2,FALSE)</f>
        <v>#REF!</v>
      </c>
      <c r="N33" s="26"/>
      <c r="O33" s="27" t="s">
        <v>19</v>
      </c>
      <c r="P33" s="223">
        <f>VLOOKUP($C33,従業員情報!$A$2:'従業員情報'!$AM$2000,5,FALSE)</f>
        <v>60000</v>
      </c>
      <c r="Q33" s="223" t="str">
        <f>VLOOKUP($C33,従業員情報!$A$2:'従業員情報'!$AM$2000,6,FALSE)</f>
        <v>生産管理部製品管理課(羽生)</v>
      </c>
      <c r="R33" s="22">
        <v>0</v>
      </c>
      <c r="S33" s="22"/>
      <c r="T33" s="22">
        <v>2</v>
      </c>
    </row>
    <row r="34" spans="1:20">
      <c r="A34">
        <v>27</v>
      </c>
      <c r="B34" s="21">
        <v>219</v>
      </c>
      <c r="C34" s="22">
        <v>3268</v>
      </c>
      <c r="D34" s="22" t="s">
        <v>252</v>
      </c>
      <c r="E34" s="23" t="s">
        <v>34</v>
      </c>
      <c r="F34" s="24">
        <v>19880517</v>
      </c>
      <c r="G34" s="16">
        <f t="shared" si="8"/>
        <v>32280</v>
      </c>
      <c r="H34" s="2">
        <f t="shared" si="9"/>
        <v>33</v>
      </c>
      <c r="I34" s="17"/>
      <c r="J34" s="25">
        <v>20070321</v>
      </c>
      <c r="K34" s="16">
        <f t="shared" si="10"/>
        <v>39162</v>
      </c>
      <c r="L34" s="2">
        <f t="shared" si="11"/>
        <v>14</v>
      </c>
      <c r="M34" s="25" t="e">
        <f>VLOOKUP($C34,#REF!:#REF!,2,FALSE)</f>
        <v>#REF!</v>
      </c>
      <c r="N34" s="26"/>
      <c r="O34" s="27" t="s">
        <v>35</v>
      </c>
      <c r="P34" s="223">
        <f>VLOOKUP($C34,従業員情報!$A$2:'従業員情報'!$AM$2000,5,FALSE)</f>
        <v>60100</v>
      </c>
      <c r="Q34" s="223" t="str">
        <f>VLOOKUP($C34,従業員情報!$A$2:'従業員情報'!$AM$2000,6,FALSE)</f>
        <v>生産管理部調達課(羽生)</v>
      </c>
      <c r="R34" s="22">
        <v>0</v>
      </c>
      <c r="S34" s="22"/>
      <c r="T34" s="22">
        <v>2</v>
      </c>
    </row>
    <row r="35" spans="1:20">
      <c r="A35">
        <v>28</v>
      </c>
      <c r="B35" s="21">
        <v>275</v>
      </c>
      <c r="C35" s="22">
        <v>3384</v>
      </c>
      <c r="D35" s="22" t="s">
        <v>256</v>
      </c>
      <c r="E35" s="23" t="s">
        <v>34</v>
      </c>
      <c r="F35" s="24">
        <v>19930808</v>
      </c>
      <c r="G35" s="16">
        <f t="shared" si="8"/>
        <v>34189</v>
      </c>
      <c r="H35" s="2">
        <f t="shared" si="9"/>
        <v>28</v>
      </c>
      <c r="I35" s="17"/>
      <c r="J35" s="25">
        <v>20120321</v>
      </c>
      <c r="K35" s="16">
        <f t="shared" si="10"/>
        <v>40989</v>
      </c>
      <c r="L35" s="2">
        <f t="shared" si="11"/>
        <v>9</v>
      </c>
      <c r="M35" s="25" t="e">
        <f>VLOOKUP($C35,#REF!:#REF!,2,FALSE)</f>
        <v>#REF!</v>
      </c>
      <c r="N35" s="26"/>
      <c r="O35" s="27" t="s">
        <v>35</v>
      </c>
      <c r="P35" s="223">
        <f>VLOOKUP($C35,従業員情報!$A$2:'従業員情報'!$AM$2000,5,FALSE)</f>
        <v>60100</v>
      </c>
      <c r="Q35" s="223" t="str">
        <f>VLOOKUP($C35,従業員情報!$A$2:'従業員情報'!$AM$2000,6,FALSE)</f>
        <v>生産管理部調達課(羽生)</v>
      </c>
      <c r="R35" s="22">
        <v>0</v>
      </c>
      <c r="S35" s="22"/>
      <c r="T35" s="22">
        <v>2</v>
      </c>
    </row>
    <row r="36" spans="1:20">
      <c r="A36">
        <v>29</v>
      </c>
      <c r="B36" s="21">
        <v>44</v>
      </c>
      <c r="C36" s="22">
        <v>1388</v>
      </c>
      <c r="D36" s="22" t="s">
        <v>241</v>
      </c>
      <c r="E36" s="23" t="s">
        <v>34</v>
      </c>
      <c r="F36" s="24">
        <v>19780106</v>
      </c>
      <c r="G36" s="16">
        <f t="shared" si="8"/>
        <v>28496</v>
      </c>
      <c r="H36" s="2">
        <f t="shared" si="9"/>
        <v>43</v>
      </c>
      <c r="I36" s="17"/>
      <c r="J36" s="25">
        <v>20140908</v>
      </c>
      <c r="K36" s="16">
        <f t="shared" si="10"/>
        <v>41890</v>
      </c>
      <c r="L36" s="2">
        <f t="shared" si="11"/>
        <v>7</v>
      </c>
      <c r="M36" s="25" t="e">
        <f>VLOOKUP($C36,#REF!:#REF!,2,FALSE)</f>
        <v>#REF!</v>
      </c>
      <c r="N36" s="26"/>
      <c r="O36" s="27" t="s">
        <v>35</v>
      </c>
      <c r="P36" s="223">
        <f>VLOOKUP($C36,従業員情報!$A$2:'従業員情報'!$AM$2000,5,FALSE)</f>
        <v>60200</v>
      </c>
      <c r="Q36" s="223" t="str">
        <f>VLOOKUP($C36,従業員情報!$A$2:'従業員情報'!$AM$2000,6,FALSE)</f>
        <v>生産管理部ＩＴ管理課(羽生)</v>
      </c>
      <c r="R36" s="22">
        <v>0</v>
      </c>
      <c r="S36" s="22"/>
      <c r="T36" s="22">
        <v>2</v>
      </c>
    </row>
    <row r="37" spans="1:20">
      <c r="A37">
        <v>34</v>
      </c>
      <c r="B37" s="21">
        <v>106</v>
      </c>
      <c r="C37" s="22">
        <v>2883</v>
      </c>
      <c r="D37" s="22" t="s">
        <v>245</v>
      </c>
      <c r="E37" s="23" t="s">
        <v>34</v>
      </c>
      <c r="F37" s="24">
        <v>19710512</v>
      </c>
      <c r="G37" s="16">
        <f t="shared" si="8"/>
        <v>26065</v>
      </c>
      <c r="H37" s="2">
        <f t="shared" si="9"/>
        <v>50</v>
      </c>
      <c r="I37" s="17"/>
      <c r="J37" s="25">
        <v>19900322</v>
      </c>
      <c r="K37" s="16">
        <f t="shared" si="10"/>
        <v>32954</v>
      </c>
      <c r="L37" s="2">
        <f t="shared" si="11"/>
        <v>31</v>
      </c>
      <c r="M37" s="25" t="e">
        <f>VLOOKUP($C37,#REF!:#REF!,2,FALSE)</f>
        <v>#REF!</v>
      </c>
      <c r="N37" s="26"/>
      <c r="O37" s="27" t="s">
        <v>35</v>
      </c>
      <c r="P37" s="223">
        <f>VLOOKUP($C37,従業員情報!$A$2:'従業員情報'!$AM$2000,5,FALSE)</f>
        <v>60411</v>
      </c>
      <c r="Q37" s="223" t="str">
        <f>VLOOKUP($C37,従業員情報!$A$2:'従業員情報'!$AM$2000,6,FALSE)</f>
        <v>羽生工場構内ＳＰ</v>
      </c>
      <c r="R37" s="22">
        <v>0</v>
      </c>
      <c r="S37" s="22"/>
      <c r="T37" s="22">
        <v>2</v>
      </c>
    </row>
    <row r="38" spans="1:20">
      <c r="A38">
        <v>30</v>
      </c>
      <c r="B38" s="21">
        <v>119</v>
      </c>
      <c r="C38" s="22">
        <v>2955</v>
      </c>
      <c r="D38" s="22" t="s">
        <v>242</v>
      </c>
      <c r="E38" s="23" t="s">
        <v>34</v>
      </c>
      <c r="F38" s="24">
        <v>19740816</v>
      </c>
      <c r="G38" s="16">
        <f t="shared" si="8"/>
        <v>27257</v>
      </c>
      <c r="H38" s="2">
        <f t="shared" si="9"/>
        <v>47</v>
      </c>
      <c r="I38" s="17"/>
      <c r="J38" s="25">
        <v>19930322</v>
      </c>
      <c r="K38" s="16">
        <f t="shared" si="10"/>
        <v>34050</v>
      </c>
      <c r="L38" s="2">
        <f t="shared" si="11"/>
        <v>28</v>
      </c>
      <c r="M38" s="25" t="e">
        <f>VLOOKUP($C38,#REF!:#REF!,2,FALSE)</f>
        <v>#REF!</v>
      </c>
      <c r="N38" s="26"/>
      <c r="O38" s="27" t="s">
        <v>35</v>
      </c>
      <c r="P38" s="223">
        <f>VLOOKUP($C38,従業員情報!$A$2:'従業員情報'!$AM$2000,5,FALSE)</f>
        <v>61000</v>
      </c>
      <c r="Q38" s="223" t="str">
        <f>VLOOKUP($C38,従業員情報!$A$2:'従業員情報'!$AM$2000,6,FALSE)</f>
        <v>生産技術部（羽生）</v>
      </c>
      <c r="R38" s="22">
        <v>0</v>
      </c>
      <c r="S38" s="22"/>
      <c r="T38" s="22">
        <v>2</v>
      </c>
    </row>
    <row r="39" spans="1:20">
      <c r="A39">
        <v>31</v>
      </c>
      <c r="B39" s="21">
        <v>311</v>
      </c>
      <c r="C39" s="22">
        <v>3446</v>
      </c>
      <c r="D39" s="22" t="s">
        <v>243</v>
      </c>
      <c r="E39" s="23" t="s">
        <v>34</v>
      </c>
      <c r="F39" s="24">
        <v>19970303</v>
      </c>
      <c r="G39" s="16">
        <f t="shared" si="8"/>
        <v>35492</v>
      </c>
      <c r="H39" s="2">
        <f t="shared" si="9"/>
        <v>24</v>
      </c>
      <c r="I39" s="17"/>
      <c r="J39" s="25">
        <v>20150401</v>
      </c>
      <c r="K39" s="16">
        <f t="shared" si="10"/>
        <v>42095</v>
      </c>
      <c r="L39" s="2">
        <f t="shared" si="11"/>
        <v>6</v>
      </c>
      <c r="M39" s="25" t="e">
        <f>VLOOKUP($C39,#REF!:#REF!,2,FALSE)</f>
        <v>#REF!</v>
      </c>
      <c r="N39" s="26"/>
      <c r="O39" s="27" t="s">
        <v>35</v>
      </c>
      <c r="P39" s="223">
        <f>VLOOKUP($C39,従業員情報!$A$2:'従業員情報'!$AM$2000,5,FALSE)</f>
        <v>61200</v>
      </c>
      <c r="Q39" s="223" t="str">
        <f>VLOOKUP($C39,従業員情報!$A$2:'従業員情報'!$AM$2000,6,FALSE)</f>
        <v>生産技術部工機（羽生）</v>
      </c>
      <c r="R39" s="22">
        <v>0</v>
      </c>
      <c r="S39" s="22"/>
      <c r="T39" s="22">
        <v>2</v>
      </c>
    </row>
    <row r="40" spans="1:20">
      <c r="A40">
        <v>32</v>
      </c>
      <c r="B40" s="21">
        <v>206</v>
      </c>
      <c r="C40" s="22">
        <v>3239</v>
      </c>
      <c r="D40" s="22" t="s">
        <v>244</v>
      </c>
      <c r="E40" s="23" t="s">
        <v>34</v>
      </c>
      <c r="F40" s="24">
        <v>19861224</v>
      </c>
      <c r="G40" s="16">
        <f t="shared" si="8"/>
        <v>31770</v>
      </c>
      <c r="H40" s="2">
        <f t="shared" si="9"/>
        <v>34</v>
      </c>
      <c r="I40" s="17"/>
      <c r="J40" s="25">
        <v>20050321</v>
      </c>
      <c r="K40" s="16">
        <f t="shared" si="10"/>
        <v>38432</v>
      </c>
      <c r="L40" s="2">
        <f t="shared" si="11"/>
        <v>16</v>
      </c>
      <c r="M40" s="25" t="e">
        <f>VLOOKUP($C40,#REF!:#REF!,2,FALSE)</f>
        <v>#REF!</v>
      </c>
      <c r="N40" s="26"/>
      <c r="O40" s="27" t="s">
        <v>35</v>
      </c>
      <c r="P40" s="223">
        <f>VLOOKUP($C40,従業員情報!$A$2:'従業員情報'!$AM$2000,5,FALSE)</f>
        <v>61300</v>
      </c>
      <c r="Q40" s="223" t="str">
        <f>VLOOKUP($C40,従業員情報!$A$2:'従業員情報'!$AM$2000,6,FALSE)</f>
        <v>羽生工場工場管理課</v>
      </c>
      <c r="R40" s="22">
        <v>0</v>
      </c>
      <c r="S40" s="22"/>
      <c r="T40" s="22">
        <v>2</v>
      </c>
    </row>
    <row r="41" spans="1:20">
      <c r="A41">
        <v>33</v>
      </c>
      <c r="B41" s="21">
        <v>413</v>
      </c>
      <c r="C41" s="22">
        <v>3950</v>
      </c>
      <c r="D41" s="22" t="s">
        <v>246</v>
      </c>
      <c r="E41" s="23" t="s">
        <v>34</v>
      </c>
      <c r="F41" s="24">
        <v>19690713</v>
      </c>
      <c r="G41" s="16">
        <f t="shared" si="8"/>
        <v>25397</v>
      </c>
      <c r="H41" s="2">
        <f t="shared" si="9"/>
        <v>52</v>
      </c>
      <c r="I41" s="17"/>
      <c r="J41" s="25">
        <v>20060221</v>
      </c>
      <c r="K41" s="16">
        <f t="shared" si="10"/>
        <v>38769</v>
      </c>
      <c r="L41" s="2">
        <f t="shared" si="11"/>
        <v>15</v>
      </c>
      <c r="M41" s="25" t="e">
        <f>VLOOKUP($C41,#REF!:#REF!,2,FALSE)</f>
        <v>#REF!</v>
      </c>
      <c r="N41" s="26"/>
      <c r="O41" s="27" t="s">
        <v>19</v>
      </c>
      <c r="P41" s="223">
        <f>VLOOKUP($C41,従業員情報!$A$2:'従業員情報'!$AM$2000,5,FALSE)</f>
        <v>63000</v>
      </c>
      <c r="Q41" s="223" t="str">
        <f>VLOOKUP($C41,従業員情報!$A$2:'従業員情報'!$AM$2000,6,FALSE)</f>
        <v>品質保証部（羽生）</v>
      </c>
      <c r="R41" s="22">
        <v>0</v>
      </c>
      <c r="S41" s="22"/>
      <c r="T41" s="22">
        <v>2</v>
      </c>
    </row>
    <row r="42" spans="1:20">
      <c r="A42">
        <v>35</v>
      </c>
      <c r="B42" s="21">
        <v>22</v>
      </c>
      <c r="C42" s="22">
        <v>1348</v>
      </c>
      <c r="D42" s="22" t="s">
        <v>521</v>
      </c>
      <c r="E42" s="23" t="s">
        <v>34</v>
      </c>
      <c r="F42" s="24">
        <v>19870922</v>
      </c>
      <c r="G42" s="16">
        <f t="shared" si="8"/>
        <v>32042</v>
      </c>
      <c r="H42" s="2">
        <f t="shared" si="9"/>
        <v>34</v>
      </c>
      <c r="I42" s="17"/>
      <c r="J42" s="25">
        <v>20080321</v>
      </c>
      <c r="K42" s="16">
        <f t="shared" si="10"/>
        <v>39528</v>
      </c>
      <c r="L42" s="2">
        <f t="shared" si="11"/>
        <v>13</v>
      </c>
      <c r="M42" s="25" t="e">
        <f>VLOOKUP($C42,#REF!:#REF!,2,FALSE)</f>
        <v>#REF!</v>
      </c>
      <c r="N42" s="26"/>
      <c r="O42" s="27" t="s">
        <v>35</v>
      </c>
      <c r="P42" s="223">
        <f>VLOOKUP($C42,従業員情報!$A$2:'従業員情報'!$AM$2000,5,FALSE)</f>
        <v>64111</v>
      </c>
      <c r="Q42" s="223" t="str">
        <f>VLOOKUP($C42,従業員情報!$A$2:'従業員情報'!$AM$2000,6,FALSE)</f>
        <v>羽生工場ＢＢ</v>
      </c>
      <c r="R42" s="22">
        <v>1</v>
      </c>
      <c r="S42" s="22" t="s">
        <v>679</v>
      </c>
      <c r="T42" s="22">
        <v>2</v>
      </c>
    </row>
    <row r="43" spans="1:20">
      <c r="A43">
        <v>36</v>
      </c>
      <c r="B43" s="21">
        <v>414</v>
      </c>
      <c r="C43" s="22">
        <v>3951</v>
      </c>
      <c r="D43" s="22" t="s">
        <v>522</v>
      </c>
      <c r="E43" s="23" t="s">
        <v>34</v>
      </c>
      <c r="F43" s="24">
        <v>19761220</v>
      </c>
      <c r="G43" s="16">
        <f t="shared" si="8"/>
        <v>28114</v>
      </c>
      <c r="H43" s="2">
        <f t="shared" si="9"/>
        <v>44</v>
      </c>
      <c r="I43" s="17"/>
      <c r="J43" s="25">
        <v>20060221</v>
      </c>
      <c r="K43" s="16">
        <f t="shared" si="10"/>
        <v>38769</v>
      </c>
      <c r="L43" s="2">
        <f t="shared" si="11"/>
        <v>15</v>
      </c>
      <c r="M43" s="25" t="e">
        <f>VLOOKUP($C43,#REF!:#REF!,2,FALSE)</f>
        <v>#REF!</v>
      </c>
      <c r="N43" s="26"/>
      <c r="O43" s="27" t="s">
        <v>19</v>
      </c>
      <c r="P43" s="223">
        <f>VLOOKUP($C43,従業員情報!$A$2:'従業員情報'!$AM$2000,5,FALSE)</f>
        <v>64311</v>
      </c>
      <c r="Q43" s="223" t="str">
        <f>VLOOKUP($C43,従業員情報!$A$2:'従業員情報'!$AM$2000,6,FALSE)</f>
        <v>羽生工場ＭＳＵ</v>
      </c>
      <c r="R43" s="22">
        <v>1</v>
      </c>
      <c r="S43" s="22" t="s">
        <v>679</v>
      </c>
      <c r="T43" s="22">
        <v>1</v>
      </c>
    </row>
    <row r="44" spans="1:20">
      <c r="A44">
        <v>37</v>
      </c>
      <c r="B44" s="21">
        <v>314</v>
      </c>
      <c r="C44" s="22">
        <v>3450</v>
      </c>
      <c r="D44" s="22" t="s">
        <v>523</v>
      </c>
      <c r="E44" s="23" t="s">
        <v>34</v>
      </c>
      <c r="F44" s="24">
        <v>19960920</v>
      </c>
      <c r="G44" s="16">
        <f t="shared" si="8"/>
        <v>35328</v>
      </c>
      <c r="H44" s="2">
        <f t="shared" si="9"/>
        <v>25</v>
      </c>
      <c r="I44" s="17"/>
      <c r="J44" s="25">
        <v>20150401</v>
      </c>
      <c r="K44" s="16">
        <f t="shared" si="10"/>
        <v>42095</v>
      </c>
      <c r="L44" s="2">
        <f t="shared" si="11"/>
        <v>6</v>
      </c>
      <c r="M44" s="25" t="e">
        <f>VLOOKUP($C44,#REF!:#REF!,2,FALSE)</f>
        <v>#REF!</v>
      </c>
      <c r="N44" s="26"/>
      <c r="O44" s="27" t="s">
        <v>35</v>
      </c>
      <c r="P44" s="223">
        <f>VLOOKUP($C44,従業員情報!$A$2:'従業員情報'!$AM$2000,5,FALSE)</f>
        <v>65011</v>
      </c>
      <c r="Q44" s="223" t="str">
        <f>VLOOKUP($C44,従業員情報!$A$2:'従業員情報'!$AM$2000,6,FALSE)</f>
        <v>羽生工場ＶＰ－１</v>
      </c>
      <c r="R44" s="22">
        <v>1</v>
      </c>
      <c r="S44" s="22" t="s">
        <v>679</v>
      </c>
      <c r="T44" s="22">
        <v>2</v>
      </c>
    </row>
    <row r="45" spans="1:20">
      <c r="A45">
        <v>38</v>
      </c>
      <c r="B45" s="21">
        <v>286</v>
      </c>
      <c r="C45" s="22">
        <v>3406</v>
      </c>
      <c r="D45" s="22" t="s">
        <v>526</v>
      </c>
      <c r="E45" s="23" t="s">
        <v>34</v>
      </c>
      <c r="F45" s="24">
        <v>19950225</v>
      </c>
      <c r="G45" s="16">
        <f t="shared" si="8"/>
        <v>34755</v>
      </c>
      <c r="H45" s="2">
        <f t="shared" si="9"/>
        <v>26</v>
      </c>
      <c r="I45" s="17"/>
      <c r="J45" s="25">
        <v>20130321</v>
      </c>
      <c r="K45" s="16">
        <f t="shared" si="10"/>
        <v>41354</v>
      </c>
      <c r="L45" s="2">
        <f t="shared" si="11"/>
        <v>8</v>
      </c>
      <c r="M45" s="25" t="e">
        <f>VLOOKUP($C45,#REF!:#REF!,2,FALSE)</f>
        <v>#REF!</v>
      </c>
      <c r="N45" s="26"/>
      <c r="O45" s="27" t="s">
        <v>35</v>
      </c>
      <c r="P45" s="223">
        <f>VLOOKUP($C45,従業員情報!$A$2:'従業員情報'!$AM$2000,5,FALSE)</f>
        <v>66011</v>
      </c>
      <c r="Q45" s="223" t="str">
        <f>VLOOKUP($C45,従業員情報!$A$2:'従業員情報'!$AM$2000,6,FALSE)</f>
        <v>羽生工場ＶＰ－２</v>
      </c>
      <c r="R45" s="22">
        <v>1</v>
      </c>
      <c r="S45" s="22" t="s">
        <v>679</v>
      </c>
      <c r="T45" s="22">
        <v>2</v>
      </c>
    </row>
    <row r="46" spans="1:20">
      <c r="A46">
        <v>39</v>
      </c>
      <c r="B46" s="21">
        <v>277</v>
      </c>
      <c r="C46" s="22">
        <v>3386</v>
      </c>
      <c r="D46" s="22" t="s">
        <v>525</v>
      </c>
      <c r="E46" s="23" t="s">
        <v>34</v>
      </c>
      <c r="F46" s="24">
        <v>19940104</v>
      </c>
      <c r="G46" s="16">
        <f t="shared" si="8"/>
        <v>34338</v>
      </c>
      <c r="H46" s="2">
        <f t="shared" si="9"/>
        <v>27</v>
      </c>
      <c r="I46" s="17"/>
      <c r="J46" s="25">
        <v>20120321</v>
      </c>
      <c r="K46" s="16">
        <f t="shared" si="10"/>
        <v>40989</v>
      </c>
      <c r="L46" s="2">
        <f t="shared" si="11"/>
        <v>9</v>
      </c>
      <c r="M46" s="25" t="e">
        <f>VLOOKUP($C46,#REF!:#REF!,2,FALSE)</f>
        <v>#REF!</v>
      </c>
      <c r="N46" s="26"/>
      <c r="O46" s="27" t="s">
        <v>35</v>
      </c>
      <c r="P46" s="223">
        <f>VLOOKUP($C46,従業員情報!$A$2:'従業員情報'!$AM$2000,5,FALSE)</f>
        <v>66011</v>
      </c>
      <c r="Q46" s="223" t="str">
        <f>VLOOKUP($C46,従業員情報!$A$2:'従業員情報'!$AM$2000,6,FALSE)</f>
        <v>羽生工場ＶＰ－２</v>
      </c>
      <c r="R46" s="22">
        <v>1</v>
      </c>
      <c r="S46" s="22" t="s">
        <v>679</v>
      </c>
      <c r="T46" s="22">
        <v>2</v>
      </c>
    </row>
    <row r="47" spans="1:20">
      <c r="A47">
        <v>40</v>
      </c>
      <c r="B47" s="21">
        <v>21</v>
      </c>
      <c r="C47" s="22">
        <v>1346</v>
      </c>
      <c r="D47" s="22" t="s">
        <v>524</v>
      </c>
      <c r="E47" s="23" t="s">
        <v>34</v>
      </c>
      <c r="F47" s="24">
        <v>19890318</v>
      </c>
      <c r="G47" s="16">
        <f t="shared" si="8"/>
        <v>32585</v>
      </c>
      <c r="H47" s="2">
        <f t="shared" si="9"/>
        <v>32</v>
      </c>
      <c r="I47" s="17"/>
      <c r="J47" s="25">
        <v>20080321</v>
      </c>
      <c r="K47" s="16">
        <f t="shared" si="10"/>
        <v>39528</v>
      </c>
      <c r="L47" s="2">
        <f t="shared" si="11"/>
        <v>13</v>
      </c>
      <c r="M47" s="25" t="e">
        <f>VLOOKUP($C47,#REF!:#REF!,2,FALSE)</f>
        <v>#REF!</v>
      </c>
      <c r="N47" s="26"/>
      <c r="O47" s="27" t="s">
        <v>35</v>
      </c>
      <c r="P47" s="223">
        <f>VLOOKUP($C47,従業員情報!$A$2:'従業員情報'!$AM$2000,5,FALSE)</f>
        <v>66011</v>
      </c>
      <c r="Q47" s="223" t="str">
        <f>VLOOKUP($C47,従業員情報!$A$2:'従業員情報'!$AM$2000,6,FALSE)</f>
        <v>羽生工場ＶＰ－２</v>
      </c>
      <c r="R47" s="22">
        <v>1</v>
      </c>
      <c r="S47" s="22" t="s">
        <v>679</v>
      </c>
      <c r="T47" s="22">
        <v>2</v>
      </c>
    </row>
    <row r="48" spans="1:20">
      <c r="A48">
        <v>41</v>
      </c>
      <c r="B48" s="21">
        <v>256</v>
      </c>
      <c r="C48" s="22">
        <v>3353</v>
      </c>
      <c r="D48" s="22" t="s">
        <v>527</v>
      </c>
      <c r="E48" s="23" t="s">
        <v>34</v>
      </c>
      <c r="F48" s="24">
        <v>19930317</v>
      </c>
      <c r="G48" s="16">
        <f t="shared" si="8"/>
        <v>34045</v>
      </c>
      <c r="H48" s="2">
        <f t="shared" si="9"/>
        <v>28</v>
      </c>
      <c r="I48" s="17"/>
      <c r="J48" s="25">
        <v>20110321</v>
      </c>
      <c r="K48" s="16">
        <f t="shared" si="10"/>
        <v>40623</v>
      </c>
      <c r="L48" s="2">
        <f t="shared" si="11"/>
        <v>10</v>
      </c>
      <c r="M48" s="25" t="e">
        <f>VLOOKUP($C48,#REF!:#REF!,2,FALSE)</f>
        <v>#REF!</v>
      </c>
      <c r="N48" s="26"/>
      <c r="O48" s="27" t="s">
        <v>35</v>
      </c>
      <c r="P48" s="223">
        <f>VLOOKUP($C48,従業員情報!$A$2:'従業員情報'!$AM$2000,5,FALSE)</f>
        <v>68111</v>
      </c>
      <c r="Q48" s="223" t="str">
        <f>VLOOKUP($C48,従業員情報!$A$2:'従業員情報'!$AM$2000,6,FALSE)</f>
        <v>羽生工場ＰＳＨ</v>
      </c>
      <c r="R48" s="22">
        <v>1</v>
      </c>
      <c r="S48" s="22" t="s">
        <v>679</v>
      </c>
      <c r="T48" s="22">
        <v>2</v>
      </c>
    </row>
    <row r="49" spans="1:20">
      <c r="A49">
        <v>42</v>
      </c>
      <c r="B49" s="21">
        <v>276</v>
      </c>
      <c r="C49" s="22">
        <v>3385</v>
      </c>
      <c r="D49" s="22" t="s">
        <v>528</v>
      </c>
      <c r="E49" s="23" t="s">
        <v>34</v>
      </c>
      <c r="F49" s="24">
        <v>19930929</v>
      </c>
      <c r="G49" s="16">
        <f t="shared" si="8"/>
        <v>34241</v>
      </c>
      <c r="H49" s="2">
        <f t="shared" si="9"/>
        <v>28</v>
      </c>
      <c r="I49" s="17"/>
      <c r="J49" s="25">
        <v>20120321</v>
      </c>
      <c r="K49" s="16">
        <f t="shared" si="10"/>
        <v>40989</v>
      </c>
      <c r="L49" s="2">
        <f t="shared" si="11"/>
        <v>9</v>
      </c>
      <c r="M49" s="25" t="e">
        <f>VLOOKUP($C49,#REF!:#REF!,2,FALSE)</f>
        <v>#REF!</v>
      </c>
      <c r="N49" s="26"/>
      <c r="O49" s="27" t="s">
        <v>35</v>
      </c>
      <c r="P49" s="223">
        <f>VLOOKUP($C49,従業員情報!$A$2:'従業員情報'!$AM$2000,5,FALSE)</f>
        <v>69011</v>
      </c>
      <c r="Q49" s="223" t="str">
        <f>VLOOKUP($C49,従業員情報!$A$2:'従業員情報'!$AM$2000,6,FALSE)</f>
        <v>羽生工場ＴＣ</v>
      </c>
      <c r="R49" s="22">
        <v>1</v>
      </c>
      <c r="S49" s="22" t="s">
        <v>679</v>
      </c>
      <c r="T49" s="22">
        <v>2</v>
      </c>
    </row>
    <row r="50" spans="1:20">
      <c r="A50">
        <v>45</v>
      </c>
      <c r="B50" s="21">
        <v>18</v>
      </c>
      <c r="C50" s="22">
        <v>1342</v>
      </c>
      <c r="D50" s="22" t="s">
        <v>249</v>
      </c>
      <c r="E50" s="23" t="s">
        <v>34</v>
      </c>
      <c r="F50" s="24">
        <v>19760731</v>
      </c>
      <c r="G50" s="16">
        <f t="shared" si="8"/>
        <v>27972</v>
      </c>
      <c r="H50" s="2">
        <f t="shared" si="9"/>
        <v>45</v>
      </c>
      <c r="I50" s="17"/>
      <c r="J50" s="25">
        <v>20030123</v>
      </c>
      <c r="K50" s="16">
        <f t="shared" si="10"/>
        <v>37644</v>
      </c>
      <c r="L50" s="2">
        <f t="shared" si="11"/>
        <v>18</v>
      </c>
      <c r="M50" s="25" t="e">
        <f>VLOOKUP($C50,#REF!:#REF!,2,FALSE)</f>
        <v>#REF!</v>
      </c>
      <c r="N50" s="26"/>
      <c r="O50" s="27" t="s">
        <v>19</v>
      </c>
      <c r="P50" s="223">
        <f>VLOOKUP($C50,従業員情報!$A$2:'従業員情報'!$AM$2000,5,FALSE)</f>
        <v>80000</v>
      </c>
      <c r="Q50" s="223" t="str">
        <f>VLOOKUP($C50,従業員情報!$A$2:'従業員情報'!$AM$2000,6,FALSE)</f>
        <v>ＮＥＬ</v>
      </c>
      <c r="R50" s="22">
        <v>0</v>
      </c>
      <c r="S50" s="22"/>
      <c r="T50" s="22">
        <v>2</v>
      </c>
    </row>
    <row r="51" spans="1:20">
      <c r="A51">
        <v>46</v>
      </c>
      <c r="B51" s="21">
        <v>129</v>
      </c>
      <c r="C51" s="22">
        <v>2990</v>
      </c>
      <c r="D51" s="22" t="s">
        <v>248</v>
      </c>
      <c r="E51" s="23" t="s">
        <v>34</v>
      </c>
      <c r="F51" s="24">
        <v>19730517</v>
      </c>
      <c r="G51" s="16">
        <f t="shared" si="8"/>
        <v>26801</v>
      </c>
      <c r="H51" s="2">
        <f t="shared" si="9"/>
        <v>48</v>
      </c>
      <c r="I51" s="17"/>
      <c r="J51" s="25">
        <v>19940322</v>
      </c>
      <c r="K51" s="16">
        <f t="shared" si="10"/>
        <v>34415</v>
      </c>
      <c r="L51" s="2">
        <f t="shared" si="11"/>
        <v>27</v>
      </c>
      <c r="M51" s="25" t="e">
        <f>VLOOKUP($C51,#REF!:#REF!,2,FALSE)</f>
        <v>#REF!</v>
      </c>
      <c r="N51" s="26"/>
      <c r="O51" s="27" t="s">
        <v>19</v>
      </c>
      <c r="P51" s="223">
        <f>VLOOKUP($C51,従業員情報!$A$2:'従業員情報'!$AM$2000,5,FALSE)</f>
        <v>80000</v>
      </c>
      <c r="Q51" s="223" t="str">
        <f>VLOOKUP($C51,従業員情報!$A$2:'従業員情報'!$AM$2000,6,FALSE)</f>
        <v>ＮＥＬ</v>
      </c>
      <c r="R51" s="22">
        <v>0</v>
      </c>
      <c r="S51" s="22"/>
      <c r="T51" s="22">
        <v>2</v>
      </c>
    </row>
    <row r="52" spans="1:20">
      <c r="A52">
        <v>47</v>
      </c>
      <c r="B52" s="37">
        <v>257</v>
      </c>
      <c r="C52" s="38">
        <v>3354</v>
      </c>
      <c r="D52" s="38" t="s">
        <v>250</v>
      </c>
      <c r="E52" s="39" t="s">
        <v>34</v>
      </c>
      <c r="F52" s="324">
        <v>19930128</v>
      </c>
      <c r="G52" s="16">
        <f t="shared" si="8"/>
        <v>33997</v>
      </c>
      <c r="H52" s="2">
        <f t="shared" si="9"/>
        <v>28</v>
      </c>
      <c r="I52" s="17"/>
      <c r="J52" s="326">
        <v>20110321</v>
      </c>
      <c r="K52" s="16">
        <f t="shared" si="10"/>
        <v>40623</v>
      </c>
      <c r="L52" s="2">
        <f t="shared" si="11"/>
        <v>10</v>
      </c>
      <c r="M52" s="25" t="e">
        <f>VLOOKUP($C52,#REF!:#REF!,2,FALSE)</f>
        <v>#REF!</v>
      </c>
      <c r="N52" s="19"/>
      <c r="O52" s="40" t="s">
        <v>35</v>
      </c>
      <c r="P52" s="223">
        <f>VLOOKUP($C52,従業員情報!$A$2:'従業員情報'!$AM$2000,5,FALSE)</f>
        <v>80000</v>
      </c>
      <c r="Q52" s="223" t="str">
        <f>VLOOKUP($C52,従業員情報!$A$2:'従業員情報'!$AM$2000,6,FALSE)</f>
        <v>ＮＥＬ</v>
      </c>
      <c r="R52" s="37">
        <v>0</v>
      </c>
      <c r="S52" s="37"/>
      <c r="T52" s="37">
        <v>2</v>
      </c>
    </row>
    <row r="53" spans="1:20">
      <c r="A53">
        <v>23</v>
      </c>
      <c r="B53" s="37">
        <v>270</v>
      </c>
      <c r="C53" s="38">
        <v>3374</v>
      </c>
      <c r="D53" s="541" t="s">
        <v>238</v>
      </c>
      <c r="E53" s="50" t="s">
        <v>34</v>
      </c>
      <c r="F53" s="19">
        <v>19930406</v>
      </c>
      <c r="G53" s="16">
        <f t="shared" si="8"/>
        <v>34065</v>
      </c>
      <c r="H53" s="2">
        <f t="shared" si="9"/>
        <v>28</v>
      </c>
      <c r="I53" s="17"/>
      <c r="J53" s="19">
        <v>20120321</v>
      </c>
      <c r="K53" s="16">
        <f t="shared" si="10"/>
        <v>40989</v>
      </c>
      <c r="L53" s="2">
        <f t="shared" si="11"/>
        <v>9</v>
      </c>
      <c r="M53" s="19" t="e">
        <f>VLOOKUP($C53,#REF!:#REF!,2,FALSE)</f>
        <v>#REF!</v>
      </c>
      <c r="N53" s="19"/>
      <c r="O53" s="40" t="s">
        <v>35</v>
      </c>
      <c r="P53" s="223"/>
      <c r="Q53" s="223" t="str">
        <f>VLOOKUP($C53,従業員情報!$A$2:'従業員情報'!$AM$2000,6,FALSE)</f>
        <v>資材部</v>
      </c>
      <c r="R53" s="37">
        <v>0</v>
      </c>
      <c r="S53" s="37"/>
      <c r="T53" s="37">
        <v>2</v>
      </c>
    </row>
    <row r="54" spans="1:20">
      <c r="A54">
        <v>48</v>
      </c>
      <c r="B54" s="37">
        <v>227</v>
      </c>
      <c r="C54" s="38">
        <v>3295</v>
      </c>
      <c r="D54" s="38" t="s">
        <v>254</v>
      </c>
      <c r="E54" s="50" t="s">
        <v>34</v>
      </c>
      <c r="F54" s="19">
        <v>19900327</v>
      </c>
      <c r="G54" s="16">
        <f t="shared" si="8"/>
        <v>32959</v>
      </c>
      <c r="H54" s="2">
        <f t="shared" si="9"/>
        <v>31</v>
      </c>
      <c r="I54" s="17"/>
      <c r="J54" s="19">
        <v>20080321</v>
      </c>
      <c r="K54" s="16">
        <f t="shared" si="10"/>
        <v>39528</v>
      </c>
      <c r="L54" s="2">
        <f t="shared" si="11"/>
        <v>13</v>
      </c>
      <c r="M54" s="19" t="e">
        <f>VLOOKUP($C54,#REF!:#REF!,2,FALSE)</f>
        <v>#REF!</v>
      </c>
      <c r="N54" s="19"/>
      <c r="O54" s="40" t="s">
        <v>35</v>
      </c>
      <c r="P54" s="223">
        <f>VLOOKUP($C54,従業員情報!$A$2:'従業員情報'!$AM$2000,5,FALSE)</f>
        <v>90000</v>
      </c>
      <c r="Q54" s="223" t="str">
        <f>VLOOKUP($C54,従業員情報!$A$2:'従業員情報'!$AM$2000,6,FALSE)</f>
        <v>資材部</v>
      </c>
      <c r="R54" s="37">
        <v>0</v>
      </c>
      <c r="S54" s="37"/>
      <c r="T54" s="37">
        <v>2</v>
      </c>
    </row>
    <row r="55" spans="1:20">
      <c r="C55" s="42">
        <v>1447</v>
      </c>
      <c r="D55" s="42" t="s">
        <v>911</v>
      </c>
      <c r="P55" s="223">
        <f>VLOOKUP($C55,従業員情報!$A$2:'従業員情報'!$AM$2000,5,FALSE)</f>
        <v>22000</v>
      </c>
      <c r="Q55" s="223" t="str">
        <f>VLOOKUP($C55,従業員情報!$A$2:'従業員情報'!$AM$2000,6,FALSE)</f>
        <v>生産管理部ＩＴ管理課</v>
      </c>
    </row>
    <row r="56" spans="1:20">
      <c r="C56" s="42">
        <v>1449</v>
      </c>
      <c r="D56" s="42" t="s">
        <v>924</v>
      </c>
      <c r="P56" s="223">
        <f>VLOOKUP($C56,従業員情報!$A$2:'従業員情報'!$AM$2000,5,FALSE)</f>
        <v>30000</v>
      </c>
      <c r="Q56" s="223" t="str">
        <f>VLOOKUP($C56,従業員情報!$A$2:'従業員情報'!$AM$2000,6,FALSE)</f>
        <v>生産技術部１課</v>
      </c>
    </row>
    <row r="57" spans="1:20">
      <c r="C57" s="42">
        <v>1450</v>
      </c>
      <c r="D57" s="42" t="s">
        <v>930</v>
      </c>
      <c r="P57" s="223">
        <f>VLOOKUP($C57,従業員情報!$A$2:'従業員情報'!$AM$2000,5,FALSE)</f>
        <v>42111</v>
      </c>
      <c r="Q57" s="223" t="str">
        <f>VLOOKUP($C57,従業員情報!$A$2:'従業員情報'!$AM$2000,6,FALSE)</f>
        <v>本社工場組立第１</v>
      </c>
    </row>
    <row r="58" spans="1:20">
      <c r="C58" s="42">
        <v>3557</v>
      </c>
      <c r="D58" s="42" t="s">
        <v>1661</v>
      </c>
      <c r="P58" s="67">
        <v>43211</v>
      </c>
      <c r="Q58" t="s">
        <v>364</v>
      </c>
    </row>
  </sheetData>
  <sortState ref="A5:T54">
    <sortCondition ref="P5:P54"/>
  </sortState>
  <mergeCells count="10">
    <mergeCell ref="C3:C4"/>
    <mergeCell ref="D3:D4"/>
    <mergeCell ref="E3:E4"/>
    <mergeCell ref="F3:F4"/>
    <mergeCell ref="J3:J4"/>
    <mergeCell ref="O3:O4"/>
    <mergeCell ref="R3:R4"/>
    <mergeCell ref="S3:S4"/>
    <mergeCell ref="T3:T4"/>
    <mergeCell ref="D2:F2"/>
  </mergeCells>
  <phoneticPr fontId="2"/>
  <pageMargins left="0.7" right="0.7" top="0.75" bottom="0.75" header="0.3" footer="0.3"/>
  <pageSetup paperSize="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tabSelected="1" workbookViewId="0">
      <selection activeCell="H23" sqref="H23"/>
    </sheetView>
  </sheetViews>
  <sheetFormatPr defaultRowHeight="13.2"/>
  <cols>
    <col min="1" max="1" width="6.5" style="476" customWidth="1"/>
    <col min="2" max="2" width="6.296875" style="476" customWidth="1"/>
    <col min="3" max="3" width="5.5" style="476" customWidth="1"/>
    <col min="4" max="4" width="28.69921875" style="476" customWidth="1"/>
    <col min="5" max="5" width="29.8984375" style="476" hidden="1" customWidth="1"/>
    <col min="6" max="6" width="39.69921875" style="476" customWidth="1"/>
    <col min="7" max="7" width="9" style="476" customWidth="1"/>
    <col min="8" max="8" width="25.8984375" style="476" customWidth="1"/>
    <col min="9" max="16384" width="8.796875" style="476"/>
  </cols>
  <sheetData>
    <row r="1" spans="1:8" ht="30.75" customHeight="1">
      <c r="A1" s="469" t="s">
        <v>1694</v>
      </c>
      <c r="B1" s="470" t="s">
        <v>1695</v>
      </c>
      <c r="C1" s="471" t="s">
        <v>1696</v>
      </c>
      <c r="D1" s="472" t="s">
        <v>1697</v>
      </c>
      <c r="E1" s="473"/>
      <c r="F1" s="473" t="s">
        <v>1698</v>
      </c>
      <c r="G1" s="474"/>
      <c r="H1" s="475"/>
    </row>
    <row r="2" spans="1:8" ht="13.5" customHeight="1">
      <c r="A2" s="477" t="s">
        <v>1699</v>
      </c>
      <c r="B2" s="478" t="s">
        <v>1700</v>
      </c>
      <c r="C2" s="479" t="s">
        <v>1701</v>
      </c>
      <c r="D2" s="480" t="s">
        <v>1702</v>
      </c>
      <c r="E2" s="481"/>
      <c r="F2" s="482" t="s">
        <v>1703</v>
      </c>
      <c r="G2" s="483"/>
    </row>
    <row r="3" spans="1:8" ht="13.5" customHeight="1">
      <c r="A3" s="484" t="s">
        <v>1704</v>
      </c>
      <c r="B3" s="485" t="s">
        <v>1705</v>
      </c>
      <c r="C3" s="486" t="s">
        <v>1701</v>
      </c>
      <c r="D3" s="487" t="s">
        <v>1706</v>
      </c>
      <c r="E3" s="488"/>
      <c r="F3" s="489" t="s">
        <v>1707</v>
      </c>
      <c r="G3" s="490"/>
    </row>
    <row r="4" spans="1:8" ht="13.5" customHeight="1">
      <c r="A4" s="491" t="s">
        <v>1708</v>
      </c>
      <c r="B4" s="492" t="s">
        <v>1700</v>
      </c>
      <c r="C4" s="493" t="s">
        <v>1701</v>
      </c>
      <c r="D4" s="494" t="s">
        <v>1709</v>
      </c>
      <c r="E4" s="495"/>
      <c r="F4" s="496" t="s">
        <v>1710</v>
      </c>
      <c r="G4" s="497" t="s">
        <v>1711</v>
      </c>
    </row>
    <row r="5" spans="1:8" ht="13.5" customHeight="1">
      <c r="A5" s="498" t="s">
        <v>1712</v>
      </c>
      <c r="B5" s="499" t="s">
        <v>1700</v>
      </c>
      <c r="C5" s="500" t="s">
        <v>1701</v>
      </c>
      <c r="D5" s="494" t="s">
        <v>1713</v>
      </c>
      <c r="E5" s="495"/>
      <c r="F5" s="501" t="s">
        <v>1714</v>
      </c>
      <c r="G5" s="497" t="s">
        <v>1715</v>
      </c>
    </row>
    <row r="6" spans="1:8" ht="13.5" customHeight="1">
      <c r="A6" s="498" t="s">
        <v>1716</v>
      </c>
      <c r="B6" s="499" t="s">
        <v>1700</v>
      </c>
      <c r="C6" s="500" t="s">
        <v>1701</v>
      </c>
      <c r="D6" s="502" t="s">
        <v>1717</v>
      </c>
      <c r="E6" s="503"/>
      <c r="F6" s="501" t="s">
        <v>1718</v>
      </c>
      <c r="G6" s="497" t="s">
        <v>1715</v>
      </c>
    </row>
    <row r="7" spans="1:8" ht="13.5" customHeight="1">
      <c r="A7" s="504" t="s">
        <v>1719</v>
      </c>
      <c r="B7" s="505" t="s">
        <v>1700</v>
      </c>
      <c r="C7" s="506" t="s">
        <v>1701</v>
      </c>
      <c r="D7" s="507" t="s">
        <v>1720</v>
      </c>
      <c r="E7" s="508"/>
      <c r="F7" s="509" t="s">
        <v>1721</v>
      </c>
      <c r="G7" s="510"/>
    </row>
    <row r="8" spans="1:8" ht="13.5" customHeight="1">
      <c r="A8" s="504" t="s">
        <v>1722</v>
      </c>
      <c r="B8" s="505" t="s">
        <v>1723</v>
      </c>
      <c r="C8" s="506" t="s">
        <v>1701</v>
      </c>
      <c r="D8" s="507" t="s">
        <v>1724</v>
      </c>
      <c r="E8" s="508"/>
      <c r="F8" s="509" t="s">
        <v>1725</v>
      </c>
      <c r="G8" s="490"/>
    </row>
    <row r="9" spans="1:8" ht="13.5" customHeight="1">
      <c r="A9" s="504" t="s">
        <v>1726</v>
      </c>
      <c r="B9" s="505" t="s">
        <v>1723</v>
      </c>
      <c r="C9" s="506" t="s">
        <v>1701</v>
      </c>
      <c r="D9" s="507" t="s">
        <v>1727</v>
      </c>
      <c r="E9" s="508"/>
      <c r="F9" s="509" t="s">
        <v>1728</v>
      </c>
      <c r="G9" s="511"/>
    </row>
    <row r="10" spans="1:8" ht="13.5" customHeight="1">
      <c r="A10" s="491" t="s">
        <v>1729</v>
      </c>
      <c r="B10" s="492" t="s">
        <v>1723</v>
      </c>
      <c r="C10" s="493" t="s">
        <v>1701</v>
      </c>
      <c r="D10" s="502" t="s">
        <v>1730</v>
      </c>
      <c r="E10" s="512"/>
      <c r="F10" s="501" t="s">
        <v>1731</v>
      </c>
      <c r="G10" s="497" t="s">
        <v>1711</v>
      </c>
    </row>
    <row r="11" spans="1:8" ht="13.5" customHeight="1">
      <c r="A11" s="504" t="s">
        <v>1732</v>
      </c>
      <c r="B11" s="505" t="s">
        <v>1733</v>
      </c>
      <c r="C11" s="506" t="s">
        <v>1701</v>
      </c>
      <c r="D11" s="507" t="s">
        <v>1734</v>
      </c>
      <c r="E11" s="508"/>
      <c r="F11" s="509" t="s">
        <v>1735</v>
      </c>
      <c r="G11" s="511"/>
    </row>
    <row r="12" spans="1:8" ht="13.5" customHeight="1">
      <c r="A12" s="504" t="s">
        <v>1736</v>
      </c>
      <c r="B12" s="505" t="s">
        <v>1733</v>
      </c>
      <c r="C12" s="513" t="s">
        <v>1701</v>
      </c>
      <c r="D12" s="507" t="s">
        <v>1737</v>
      </c>
      <c r="E12" s="508"/>
      <c r="F12" s="509" t="s">
        <v>1738</v>
      </c>
      <c r="G12" s="511"/>
    </row>
    <row r="13" spans="1:8" ht="13.5" customHeight="1">
      <c r="A13" s="504" t="s">
        <v>1739</v>
      </c>
      <c r="B13" s="505" t="s">
        <v>1733</v>
      </c>
      <c r="C13" s="513" t="s">
        <v>1701</v>
      </c>
      <c r="D13" s="507" t="s">
        <v>1740</v>
      </c>
      <c r="E13" s="508"/>
      <c r="F13" s="509" t="s">
        <v>1741</v>
      </c>
      <c r="G13" s="511"/>
    </row>
    <row r="14" spans="1:8" ht="13.5" customHeight="1">
      <c r="A14" s="504" t="s">
        <v>1742</v>
      </c>
      <c r="B14" s="505" t="s">
        <v>1733</v>
      </c>
      <c r="C14" s="513" t="s">
        <v>1701</v>
      </c>
      <c r="D14" s="507" t="s">
        <v>1743</v>
      </c>
      <c r="E14" s="508"/>
      <c r="F14" s="509" t="s">
        <v>1744</v>
      </c>
      <c r="G14" s="511"/>
    </row>
    <row r="15" spans="1:8" ht="13.5" customHeight="1">
      <c r="A15" s="504" t="s">
        <v>1745</v>
      </c>
      <c r="B15" s="505" t="s">
        <v>1733</v>
      </c>
      <c r="C15" s="506" t="s">
        <v>1701</v>
      </c>
      <c r="D15" s="514"/>
      <c r="E15" s="515"/>
      <c r="F15" s="516"/>
      <c r="G15" s="511"/>
    </row>
    <row r="16" spans="1:8" ht="13.5" customHeight="1">
      <c r="A16" s="504" t="s">
        <v>1746</v>
      </c>
      <c r="B16" s="505" t="s">
        <v>1747</v>
      </c>
      <c r="C16" s="506" t="s">
        <v>1701</v>
      </c>
      <c r="D16" s="514" t="s">
        <v>1748</v>
      </c>
      <c r="E16" s="515"/>
      <c r="F16" s="516" t="s">
        <v>1749</v>
      </c>
      <c r="G16" s="511"/>
    </row>
    <row r="17" spans="1:7" ht="13.5" customHeight="1">
      <c r="A17" s="504" t="s">
        <v>1750</v>
      </c>
      <c r="B17" s="505" t="s">
        <v>1747</v>
      </c>
      <c r="C17" s="506" t="s">
        <v>1701</v>
      </c>
      <c r="D17" s="514" t="s">
        <v>1751</v>
      </c>
      <c r="E17" s="515"/>
      <c r="F17" s="516" t="s">
        <v>1752</v>
      </c>
      <c r="G17" s="511"/>
    </row>
    <row r="18" spans="1:7" ht="13.5" customHeight="1">
      <c r="A18" s="504" t="s">
        <v>1753</v>
      </c>
      <c r="B18" s="505" t="s">
        <v>1747</v>
      </c>
      <c r="C18" s="506" t="s">
        <v>1701</v>
      </c>
      <c r="D18" s="514" t="s">
        <v>1754</v>
      </c>
      <c r="E18" s="515"/>
      <c r="F18" s="516" t="s">
        <v>1755</v>
      </c>
      <c r="G18" s="511"/>
    </row>
    <row r="19" spans="1:7" ht="13.5" customHeight="1">
      <c r="A19" s="504" t="s">
        <v>1756</v>
      </c>
      <c r="B19" s="505" t="s">
        <v>1757</v>
      </c>
      <c r="C19" s="506" t="s">
        <v>1758</v>
      </c>
      <c r="D19" s="514" t="s">
        <v>1759</v>
      </c>
      <c r="E19" s="515"/>
      <c r="F19" s="516" t="s">
        <v>1760</v>
      </c>
      <c r="G19" s="511"/>
    </row>
    <row r="20" spans="1:7" ht="13.5" customHeight="1">
      <c r="A20" s="504" t="s">
        <v>1761</v>
      </c>
      <c r="B20" s="505" t="s">
        <v>1757</v>
      </c>
      <c r="C20" s="506" t="s">
        <v>1758</v>
      </c>
      <c r="D20" s="514" t="s">
        <v>1762</v>
      </c>
      <c r="E20" s="515"/>
      <c r="F20" s="516" t="s">
        <v>1763</v>
      </c>
      <c r="G20" s="511"/>
    </row>
    <row r="21" spans="1:7" ht="13.5" customHeight="1">
      <c r="A21" s="504" t="s">
        <v>1764</v>
      </c>
      <c r="B21" s="505" t="s">
        <v>1757</v>
      </c>
      <c r="C21" s="513" t="s">
        <v>1701</v>
      </c>
      <c r="D21" s="514" t="s">
        <v>1765</v>
      </c>
      <c r="E21" s="515"/>
      <c r="F21" s="516" t="s">
        <v>1766</v>
      </c>
      <c r="G21" s="511"/>
    </row>
    <row r="22" spans="1:7" ht="13.5" customHeight="1">
      <c r="A22" s="504" t="s">
        <v>1767</v>
      </c>
      <c r="B22" s="505" t="s">
        <v>1768</v>
      </c>
      <c r="C22" s="506" t="s">
        <v>1758</v>
      </c>
      <c r="D22" s="514" t="s">
        <v>1769</v>
      </c>
      <c r="E22" s="515"/>
      <c r="F22" s="516" t="s">
        <v>1770</v>
      </c>
      <c r="G22" s="511"/>
    </row>
    <row r="23" spans="1:7" ht="13.5" customHeight="1">
      <c r="A23" s="504" t="s">
        <v>1771</v>
      </c>
      <c r="B23" s="505" t="s">
        <v>1768</v>
      </c>
      <c r="C23" s="506" t="s">
        <v>1758</v>
      </c>
      <c r="D23" s="514" t="s">
        <v>1772</v>
      </c>
      <c r="E23" s="515"/>
      <c r="F23" s="516" t="s">
        <v>1773</v>
      </c>
      <c r="G23" s="511"/>
    </row>
    <row r="24" spans="1:7" ht="13.5" customHeight="1">
      <c r="A24" s="504" t="s">
        <v>1774</v>
      </c>
      <c r="B24" s="505" t="s">
        <v>1768</v>
      </c>
      <c r="C24" s="506" t="s">
        <v>1758</v>
      </c>
      <c r="D24" s="514" t="s">
        <v>1775</v>
      </c>
      <c r="E24" s="515"/>
      <c r="F24" s="516" t="s">
        <v>1776</v>
      </c>
      <c r="G24" s="511"/>
    </row>
    <row r="25" spans="1:7" ht="13.5" customHeight="1">
      <c r="A25" s="504" t="s">
        <v>1777</v>
      </c>
      <c r="B25" s="505" t="s">
        <v>1768</v>
      </c>
      <c r="C25" s="506" t="s">
        <v>1758</v>
      </c>
      <c r="D25" s="514" t="s">
        <v>1778</v>
      </c>
      <c r="E25" s="515"/>
      <c r="F25" s="516" t="s">
        <v>1779</v>
      </c>
      <c r="G25" s="511"/>
    </row>
    <row r="26" spans="1:7" ht="13.5" customHeight="1">
      <c r="A26" s="504" t="s">
        <v>1780</v>
      </c>
      <c r="B26" s="505" t="s">
        <v>1768</v>
      </c>
      <c r="C26" s="506" t="s">
        <v>1758</v>
      </c>
      <c r="D26" s="514" t="s">
        <v>1781</v>
      </c>
      <c r="E26" s="515"/>
      <c r="F26" s="516" t="s">
        <v>1782</v>
      </c>
      <c r="G26" s="511"/>
    </row>
    <row r="27" spans="1:7" ht="13.5" customHeight="1">
      <c r="A27" s="504" t="s">
        <v>1783</v>
      </c>
      <c r="B27" s="505" t="s">
        <v>1768</v>
      </c>
      <c r="C27" s="506" t="s">
        <v>1758</v>
      </c>
      <c r="D27" s="514" t="s">
        <v>1784</v>
      </c>
      <c r="E27" s="515"/>
      <c r="F27" s="516" t="s">
        <v>1785</v>
      </c>
      <c r="G27" s="511"/>
    </row>
    <row r="28" spans="1:7" ht="13.5" customHeight="1">
      <c r="A28" s="504" t="s">
        <v>1786</v>
      </c>
      <c r="B28" s="505" t="s">
        <v>1787</v>
      </c>
      <c r="C28" s="506" t="s">
        <v>1758</v>
      </c>
      <c r="D28" s="514" t="s">
        <v>1788</v>
      </c>
      <c r="E28" s="515"/>
      <c r="F28" s="516" t="s">
        <v>1789</v>
      </c>
      <c r="G28" s="511"/>
    </row>
    <row r="29" spans="1:7" ht="13.5" customHeight="1">
      <c r="A29" s="504" t="s">
        <v>1790</v>
      </c>
      <c r="B29" s="505" t="s">
        <v>1787</v>
      </c>
      <c r="C29" s="506" t="s">
        <v>1758</v>
      </c>
      <c r="D29" s="514" t="s">
        <v>1791</v>
      </c>
      <c r="E29" s="515"/>
      <c r="F29" s="516" t="s">
        <v>1792</v>
      </c>
      <c r="G29" s="511"/>
    </row>
    <row r="30" spans="1:7" ht="13.5" customHeight="1">
      <c r="A30" s="504" t="s">
        <v>1793</v>
      </c>
      <c r="B30" s="505" t="s">
        <v>1787</v>
      </c>
      <c r="C30" s="506" t="s">
        <v>1758</v>
      </c>
      <c r="D30" s="514" t="s">
        <v>1794</v>
      </c>
      <c r="E30" s="515"/>
      <c r="F30" s="516" t="s">
        <v>1795</v>
      </c>
      <c r="G30" s="511"/>
    </row>
    <row r="31" spans="1:7" ht="13.5" customHeight="1">
      <c r="A31" s="504" t="s">
        <v>1796</v>
      </c>
      <c r="B31" s="505" t="s">
        <v>1787</v>
      </c>
      <c r="C31" s="506" t="s">
        <v>1758</v>
      </c>
      <c r="D31" s="514" t="s">
        <v>1797</v>
      </c>
      <c r="E31" s="515"/>
      <c r="F31" s="516" t="s">
        <v>1798</v>
      </c>
      <c r="G31" s="511"/>
    </row>
    <row r="32" spans="1:7" ht="13.5" customHeight="1">
      <c r="A32" s="504" t="s">
        <v>1799</v>
      </c>
      <c r="B32" s="505" t="s">
        <v>1800</v>
      </c>
      <c r="C32" s="506" t="s">
        <v>1758</v>
      </c>
      <c r="D32" s="507" t="s">
        <v>1801</v>
      </c>
      <c r="E32" s="508"/>
      <c r="F32" s="509" t="s">
        <v>1802</v>
      </c>
      <c r="G32" s="511"/>
    </row>
    <row r="33" spans="1:7" ht="13.5" customHeight="1">
      <c r="A33" s="504" t="s">
        <v>1803</v>
      </c>
      <c r="B33" s="505" t="s">
        <v>1800</v>
      </c>
      <c r="C33" s="506" t="s">
        <v>1758</v>
      </c>
      <c r="D33" s="507" t="s">
        <v>1804</v>
      </c>
      <c r="E33" s="508"/>
      <c r="F33" s="509" t="s">
        <v>1805</v>
      </c>
      <c r="G33" s="511"/>
    </row>
    <row r="34" spans="1:7" ht="13.5" customHeight="1">
      <c r="A34" s="504" t="s">
        <v>1806</v>
      </c>
      <c r="B34" s="505" t="s">
        <v>1800</v>
      </c>
      <c r="C34" s="506" t="s">
        <v>1701</v>
      </c>
      <c r="D34" s="507" t="s">
        <v>1807</v>
      </c>
      <c r="E34" s="508"/>
      <c r="F34" s="509" t="s">
        <v>1808</v>
      </c>
      <c r="G34" s="510"/>
    </row>
    <row r="35" spans="1:7" ht="13.5" customHeight="1">
      <c r="A35" s="504" t="s">
        <v>1809</v>
      </c>
      <c r="B35" s="505" t="s">
        <v>1800</v>
      </c>
      <c r="C35" s="506" t="s">
        <v>1758</v>
      </c>
      <c r="D35" s="517" t="s">
        <v>1810</v>
      </c>
      <c r="E35" s="518"/>
      <c r="F35" s="519" t="s">
        <v>1811</v>
      </c>
      <c r="G35" s="511"/>
    </row>
    <row r="36" spans="1:7" ht="13.5" customHeight="1">
      <c r="A36" s="504" t="s">
        <v>1812</v>
      </c>
      <c r="B36" s="505" t="s">
        <v>1800</v>
      </c>
      <c r="C36" s="506" t="s">
        <v>1758</v>
      </c>
      <c r="D36" s="517" t="s">
        <v>1813</v>
      </c>
      <c r="E36" s="518"/>
      <c r="F36" s="519" t="s">
        <v>1814</v>
      </c>
      <c r="G36" s="511"/>
    </row>
    <row r="37" spans="1:7" ht="13.5" customHeight="1">
      <c r="A37" s="504" t="s">
        <v>1815</v>
      </c>
      <c r="B37" s="505" t="s">
        <v>1800</v>
      </c>
      <c r="C37" s="506" t="s">
        <v>1758</v>
      </c>
      <c r="D37" s="517" t="s">
        <v>1816</v>
      </c>
      <c r="E37" s="518"/>
      <c r="F37" s="519" t="s">
        <v>1817</v>
      </c>
      <c r="G37" s="511"/>
    </row>
    <row r="38" spans="1:7" ht="13.5" customHeight="1">
      <c r="A38" s="491" t="s">
        <v>1818</v>
      </c>
      <c r="B38" s="492" t="s">
        <v>1800</v>
      </c>
      <c r="C38" s="493" t="s">
        <v>1701</v>
      </c>
      <c r="D38" s="494" t="s">
        <v>1819</v>
      </c>
      <c r="E38" s="512"/>
      <c r="F38" s="496" t="s">
        <v>1820</v>
      </c>
      <c r="G38" s="497" t="s">
        <v>1711</v>
      </c>
    </row>
    <row r="39" spans="1:7" ht="13.5" customHeight="1">
      <c r="A39" s="491" t="s">
        <v>1821</v>
      </c>
      <c r="B39" s="492" t="s">
        <v>1800</v>
      </c>
      <c r="C39" s="493" t="s">
        <v>1758</v>
      </c>
      <c r="D39" s="494" t="s">
        <v>1822</v>
      </c>
      <c r="E39" s="512"/>
      <c r="F39" s="496" t="s">
        <v>1823</v>
      </c>
      <c r="G39" s="497" t="s">
        <v>1711</v>
      </c>
    </row>
    <row r="40" spans="1:7" ht="13.5" customHeight="1">
      <c r="A40" s="504" t="s">
        <v>1824</v>
      </c>
      <c r="B40" s="505" t="s">
        <v>1747</v>
      </c>
      <c r="C40" s="506" t="s">
        <v>1701</v>
      </c>
      <c r="D40" s="507" t="s">
        <v>1825</v>
      </c>
      <c r="E40" s="508"/>
      <c r="F40" s="509" t="s">
        <v>1826</v>
      </c>
      <c r="G40" s="510"/>
    </row>
    <row r="41" spans="1:7" ht="13.5" customHeight="1">
      <c r="A41" s="504" t="s">
        <v>1827</v>
      </c>
      <c r="B41" s="505" t="s">
        <v>1747</v>
      </c>
      <c r="C41" s="506" t="s">
        <v>1701</v>
      </c>
      <c r="D41" s="507" t="s">
        <v>1828</v>
      </c>
      <c r="E41" s="508"/>
      <c r="F41" s="509" t="s">
        <v>1829</v>
      </c>
      <c r="G41" s="510"/>
    </row>
    <row r="42" spans="1:7" ht="13.5" customHeight="1">
      <c r="A42" s="491" t="s">
        <v>1830</v>
      </c>
      <c r="B42" s="492" t="s">
        <v>1705</v>
      </c>
      <c r="C42" s="493" t="s">
        <v>1701</v>
      </c>
      <c r="D42" s="502" t="s">
        <v>1831</v>
      </c>
      <c r="E42" s="512"/>
      <c r="F42" s="501" t="s">
        <v>1832</v>
      </c>
      <c r="G42" s="497" t="s">
        <v>1711</v>
      </c>
    </row>
    <row r="43" spans="1:7" ht="13.5" customHeight="1">
      <c r="A43" s="498" t="s">
        <v>1833</v>
      </c>
      <c r="B43" s="499" t="s">
        <v>1705</v>
      </c>
      <c r="C43" s="493" t="s">
        <v>1701</v>
      </c>
      <c r="D43" s="502" t="s">
        <v>1834</v>
      </c>
      <c r="E43" s="512"/>
      <c r="F43" s="501" t="s">
        <v>1835</v>
      </c>
      <c r="G43" s="497" t="s">
        <v>1715</v>
      </c>
    </row>
    <row r="44" spans="1:7" ht="13.5" customHeight="1">
      <c r="A44" s="498" t="s">
        <v>1836</v>
      </c>
      <c r="B44" s="499" t="s">
        <v>1705</v>
      </c>
      <c r="C44" s="493" t="s">
        <v>1701</v>
      </c>
      <c r="D44" s="502" t="s">
        <v>1837</v>
      </c>
      <c r="E44" s="512"/>
      <c r="F44" s="501" t="s">
        <v>1838</v>
      </c>
      <c r="G44" s="497" t="s">
        <v>1715</v>
      </c>
    </row>
    <row r="45" spans="1:7" ht="13.5" customHeight="1">
      <c r="A45" s="504" t="s">
        <v>1839</v>
      </c>
      <c r="B45" s="505" t="s">
        <v>1705</v>
      </c>
      <c r="C45" s="513" t="s">
        <v>1701</v>
      </c>
      <c r="D45" s="507" t="s">
        <v>1840</v>
      </c>
      <c r="E45" s="508"/>
      <c r="F45" s="509" t="s">
        <v>1841</v>
      </c>
      <c r="G45" s="510"/>
    </row>
    <row r="46" spans="1:7" ht="13.5" customHeight="1">
      <c r="A46" s="504" t="s">
        <v>1842</v>
      </c>
      <c r="B46" s="505" t="s">
        <v>1705</v>
      </c>
      <c r="C46" s="506" t="s">
        <v>1758</v>
      </c>
      <c r="D46" s="507" t="s">
        <v>1843</v>
      </c>
      <c r="E46" s="508"/>
      <c r="F46" s="509" t="s">
        <v>1844</v>
      </c>
      <c r="G46" s="511"/>
    </row>
    <row r="47" spans="1:7" ht="13.5" customHeight="1">
      <c r="A47" s="504" t="s">
        <v>1845</v>
      </c>
      <c r="B47" s="505" t="s">
        <v>1705</v>
      </c>
      <c r="C47" s="506" t="s">
        <v>1701</v>
      </c>
      <c r="D47" s="507" t="s">
        <v>1846</v>
      </c>
      <c r="E47" s="520" t="s">
        <v>1847</v>
      </c>
      <c r="F47" s="509" t="s">
        <v>1848</v>
      </c>
      <c r="G47" s="511"/>
    </row>
    <row r="48" spans="1:7" ht="13.5" customHeight="1">
      <c r="A48" s="504" t="s">
        <v>1849</v>
      </c>
      <c r="B48" s="505" t="s">
        <v>1705</v>
      </c>
      <c r="C48" s="513" t="s">
        <v>1701</v>
      </c>
      <c r="D48" s="507" t="s">
        <v>1850</v>
      </c>
      <c r="E48" s="520" t="s">
        <v>1851</v>
      </c>
      <c r="F48" s="509" t="s">
        <v>1852</v>
      </c>
      <c r="G48" s="511"/>
    </row>
    <row r="49" spans="1:7" ht="13.5" customHeight="1">
      <c r="A49" s="504" t="s">
        <v>1853</v>
      </c>
      <c r="B49" s="505" t="s">
        <v>1705</v>
      </c>
      <c r="C49" s="506" t="s">
        <v>1701</v>
      </c>
      <c r="D49" s="507" t="s">
        <v>1854</v>
      </c>
      <c r="E49" s="508"/>
      <c r="F49" s="509" t="s">
        <v>1855</v>
      </c>
      <c r="G49" s="511"/>
    </row>
    <row r="50" spans="1:7" ht="13.5" customHeight="1">
      <c r="A50" s="504" t="s">
        <v>1856</v>
      </c>
      <c r="B50" s="505" t="s">
        <v>1705</v>
      </c>
      <c r="C50" s="506" t="s">
        <v>1701</v>
      </c>
      <c r="D50" s="507" t="s">
        <v>1857</v>
      </c>
      <c r="E50" s="520" t="s">
        <v>1858</v>
      </c>
      <c r="F50" s="509" t="s">
        <v>1859</v>
      </c>
      <c r="G50" s="511"/>
    </row>
    <row r="51" spans="1:7" ht="13.5" customHeight="1">
      <c r="A51" s="504" t="s">
        <v>1860</v>
      </c>
      <c r="B51" s="505" t="s">
        <v>1705</v>
      </c>
      <c r="C51" s="506" t="s">
        <v>1758</v>
      </c>
      <c r="D51" s="507" t="s">
        <v>1861</v>
      </c>
      <c r="E51" s="508"/>
      <c r="F51" s="509" t="s">
        <v>1862</v>
      </c>
      <c r="G51" s="510"/>
    </row>
    <row r="52" spans="1:7" ht="13.5" customHeight="1">
      <c r="A52" s="504" t="s">
        <v>1863</v>
      </c>
      <c r="B52" s="505" t="s">
        <v>1705</v>
      </c>
      <c r="C52" s="506" t="s">
        <v>1758</v>
      </c>
      <c r="D52" s="507" t="s">
        <v>1864</v>
      </c>
      <c r="E52" s="508"/>
      <c r="F52" s="509" t="s">
        <v>1865</v>
      </c>
      <c r="G52" s="510"/>
    </row>
    <row r="53" spans="1:7" ht="13.5" customHeight="1">
      <c r="A53" s="504" t="s">
        <v>1866</v>
      </c>
      <c r="B53" s="505" t="s">
        <v>1705</v>
      </c>
      <c r="C53" s="506" t="s">
        <v>1758</v>
      </c>
      <c r="D53" s="507" t="s">
        <v>1867</v>
      </c>
      <c r="E53" s="508"/>
      <c r="F53" s="509" t="s">
        <v>1868</v>
      </c>
      <c r="G53" s="510"/>
    </row>
    <row r="54" spans="1:7" ht="13.5" customHeight="1">
      <c r="A54" s="521" t="s">
        <v>1869</v>
      </c>
      <c r="B54" s="522" t="s">
        <v>1705</v>
      </c>
      <c r="C54" s="506" t="s">
        <v>1758</v>
      </c>
      <c r="D54" s="517" t="s">
        <v>1870</v>
      </c>
      <c r="E54" s="517" t="s">
        <v>1870</v>
      </c>
      <c r="F54" s="519" t="s">
        <v>1871</v>
      </c>
      <c r="G54" s="510"/>
    </row>
    <row r="55" spans="1:7" ht="13.5" customHeight="1">
      <c r="A55" s="504" t="s">
        <v>1872</v>
      </c>
      <c r="B55" s="505" t="s">
        <v>1873</v>
      </c>
      <c r="C55" s="506" t="s">
        <v>1758</v>
      </c>
      <c r="D55" s="507" t="s">
        <v>1874</v>
      </c>
      <c r="E55" s="508"/>
      <c r="F55" s="509" t="s">
        <v>1875</v>
      </c>
      <c r="G55" s="511"/>
    </row>
    <row r="56" spans="1:7" ht="13.5" customHeight="1">
      <c r="A56" s="504" t="s">
        <v>1876</v>
      </c>
      <c r="B56" s="505" t="s">
        <v>1873</v>
      </c>
      <c r="C56" s="506" t="s">
        <v>1758</v>
      </c>
      <c r="D56" s="507" t="s">
        <v>1877</v>
      </c>
      <c r="E56" s="508"/>
      <c r="F56" s="509" t="s">
        <v>1878</v>
      </c>
      <c r="G56" s="511"/>
    </row>
    <row r="57" spans="1:7" ht="13.5" customHeight="1">
      <c r="A57" s="504" t="s">
        <v>1879</v>
      </c>
      <c r="B57" s="505" t="s">
        <v>1873</v>
      </c>
      <c r="C57" s="506" t="s">
        <v>1758</v>
      </c>
      <c r="D57" s="507" t="s">
        <v>1880</v>
      </c>
      <c r="E57" s="508"/>
      <c r="F57" s="509" t="s">
        <v>1881</v>
      </c>
      <c r="G57" s="510"/>
    </row>
    <row r="58" spans="1:7" ht="13.5" customHeight="1">
      <c r="A58" s="504" t="s">
        <v>1882</v>
      </c>
      <c r="B58" s="505" t="s">
        <v>1873</v>
      </c>
      <c r="C58" s="506" t="s">
        <v>1758</v>
      </c>
      <c r="D58" s="507" t="s">
        <v>1883</v>
      </c>
      <c r="E58" s="508"/>
      <c r="F58" s="509" t="s">
        <v>1884</v>
      </c>
      <c r="G58" s="510"/>
    </row>
    <row r="59" spans="1:7" ht="13.5" customHeight="1">
      <c r="A59" s="504" t="s">
        <v>1885</v>
      </c>
      <c r="B59" s="505" t="s">
        <v>1873</v>
      </c>
      <c r="C59" s="506" t="s">
        <v>1758</v>
      </c>
      <c r="D59" s="507" t="s">
        <v>1886</v>
      </c>
      <c r="E59" s="508"/>
      <c r="F59" s="509" t="s">
        <v>1887</v>
      </c>
      <c r="G59" s="510"/>
    </row>
    <row r="60" spans="1:7" ht="13.5" customHeight="1">
      <c r="A60" s="504" t="s">
        <v>1888</v>
      </c>
      <c r="B60" s="505" t="s">
        <v>1873</v>
      </c>
      <c r="C60" s="506" t="s">
        <v>1758</v>
      </c>
      <c r="D60" s="507" t="s">
        <v>1889</v>
      </c>
      <c r="E60" s="508"/>
      <c r="F60" s="509" t="s">
        <v>1890</v>
      </c>
      <c r="G60" s="510"/>
    </row>
    <row r="61" spans="1:7" ht="13.5" customHeight="1">
      <c r="A61" s="504" t="s">
        <v>1891</v>
      </c>
      <c r="B61" s="505" t="s">
        <v>1873</v>
      </c>
      <c r="C61" s="506" t="s">
        <v>1758</v>
      </c>
      <c r="D61" s="507" t="s">
        <v>1892</v>
      </c>
      <c r="E61" s="508"/>
      <c r="F61" s="509" t="s">
        <v>1893</v>
      </c>
      <c r="G61" s="510"/>
    </row>
    <row r="62" spans="1:7" ht="13.5" customHeight="1">
      <c r="A62" s="504" t="s">
        <v>1894</v>
      </c>
      <c r="B62" s="505" t="s">
        <v>1873</v>
      </c>
      <c r="C62" s="506" t="s">
        <v>1758</v>
      </c>
      <c r="D62" s="507" t="s">
        <v>1895</v>
      </c>
      <c r="E62" s="508"/>
      <c r="F62" s="509" t="s">
        <v>1896</v>
      </c>
      <c r="G62" s="510"/>
    </row>
    <row r="63" spans="1:7" ht="13.5" customHeight="1">
      <c r="A63" s="504" t="s">
        <v>1897</v>
      </c>
      <c r="B63" s="505" t="s">
        <v>1873</v>
      </c>
      <c r="C63" s="506" t="s">
        <v>1758</v>
      </c>
      <c r="D63" s="507" t="s">
        <v>1898</v>
      </c>
      <c r="E63" s="508"/>
      <c r="F63" s="509" t="s">
        <v>1899</v>
      </c>
      <c r="G63" s="511"/>
    </row>
    <row r="64" spans="1:7" ht="13.5" customHeight="1">
      <c r="A64" s="504" t="s">
        <v>1900</v>
      </c>
      <c r="B64" s="505" t="s">
        <v>1901</v>
      </c>
      <c r="C64" s="506" t="s">
        <v>1701</v>
      </c>
      <c r="D64" s="507" t="s">
        <v>1902</v>
      </c>
      <c r="E64" s="508"/>
      <c r="F64" s="509" t="s">
        <v>1902</v>
      </c>
      <c r="G64" s="510"/>
    </row>
    <row r="65" spans="1:7" ht="13.5" customHeight="1">
      <c r="A65" s="523" t="s">
        <v>1903</v>
      </c>
      <c r="B65" s="524" t="s">
        <v>1700</v>
      </c>
      <c r="C65" s="525" t="s">
        <v>1701</v>
      </c>
      <c r="D65" s="526" t="s">
        <v>1904</v>
      </c>
      <c r="E65" s="527"/>
      <c r="F65" s="528" t="s">
        <v>1905</v>
      </c>
      <c r="G65" s="529"/>
    </row>
    <row r="66" spans="1:7" ht="13.5" customHeight="1">
      <c r="A66" s="530" t="s">
        <v>1906</v>
      </c>
      <c r="B66" s="531"/>
      <c r="C66" s="532"/>
      <c r="D66" s="533"/>
      <c r="E66" s="533"/>
      <c r="F66" s="533"/>
    </row>
    <row r="67" spans="1:7" ht="14.4">
      <c r="A67" s="531"/>
      <c r="B67" s="531"/>
      <c r="C67" s="531"/>
      <c r="D67" s="533"/>
      <c r="E67" s="533"/>
      <c r="F67" s="533"/>
    </row>
    <row r="68" spans="1:7" ht="14.4">
      <c r="A68" s="531"/>
      <c r="B68" s="531"/>
      <c r="C68" s="531"/>
      <c r="D68" s="533"/>
      <c r="E68" s="533"/>
      <c r="F68" s="533"/>
    </row>
    <row r="69" spans="1:7" ht="14.4">
      <c r="A69" s="531"/>
      <c r="B69" s="531"/>
      <c r="C69" s="531"/>
      <c r="D69" s="533"/>
      <c r="E69" s="533"/>
      <c r="F69" s="533"/>
    </row>
  </sheetData>
  <phoneticPr fontId="2"/>
  <pageMargins left="0.43307086614173229" right="0.19685039370078741" top="0.70866141732283472" bottom="3.937007874015748E-2" header="0.35433070866141736" footer="0.19685039370078741"/>
  <pageSetup paperSize="9" scale="93" orientation="portrait" horizontalDpi="4294967293" verticalDpi="0" r:id="rId1"/>
  <headerFooter alignWithMargins="0">
    <oddHeader xml:space="preserve">&amp;C&amp;"ＭＳ Ｐゴシック,太字"&amp;16部門コード一覧&amp;R&amp;"ＭＳ Ｐゴシック,太字"平成27年4月1日現在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A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429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428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428"/>
      <c r="C5" s="576"/>
      <c r="D5" s="577"/>
      <c r="E5" s="431" t="s">
        <v>69</v>
      </c>
      <c r="F5" s="431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428">
        <v>202</v>
      </c>
      <c r="C6" s="430"/>
      <c r="D6" s="431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428">
        <v>211</v>
      </c>
      <c r="C7" s="430"/>
      <c r="D7" s="431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12</v>
      </c>
    </row>
    <row r="9" spans="1:11">
      <c r="A9" s="75">
        <v>11000</v>
      </c>
      <c r="B9" s="46">
        <v>11020</v>
      </c>
      <c r="C9" s="278"/>
      <c r="D9" s="431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431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11</v>
      </c>
    </row>
    <row r="12" spans="1:11">
      <c r="A12" s="76">
        <v>1000</v>
      </c>
      <c r="B12" s="46">
        <v>1020</v>
      </c>
      <c r="C12" s="278"/>
      <c r="D12" s="431" t="s">
        <v>218</v>
      </c>
      <c r="E12" s="271">
        <v>9</v>
      </c>
      <c r="F12" s="271">
        <v>2</v>
      </c>
      <c r="G12" s="271">
        <v>11</v>
      </c>
      <c r="H12" s="271">
        <v>0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431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431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431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431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431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432" t="s">
        <v>647</v>
      </c>
      <c r="D21" s="431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50</v>
      </c>
    </row>
    <row r="23" spans="1:15">
      <c r="A23" s="75">
        <v>42111</v>
      </c>
      <c r="B23" s="46">
        <v>42121</v>
      </c>
      <c r="C23" s="278"/>
      <c r="D23" s="431" t="s">
        <v>172</v>
      </c>
      <c r="E23" s="271">
        <v>38</v>
      </c>
      <c r="F23" s="271">
        <v>3</v>
      </c>
      <c r="G23" s="271">
        <v>41</v>
      </c>
      <c r="H23" s="271">
        <v>9</v>
      </c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377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131</v>
      </c>
      <c r="F25" s="273">
        <v>11</v>
      </c>
      <c r="G25" s="273">
        <v>142</v>
      </c>
      <c r="H25" s="273">
        <v>34</v>
      </c>
      <c r="I25" s="273">
        <v>176</v>
      </c>
      <c r="J25" s="273">
        <v>0</v>
      </c>
      <c r="K25" s="281">
        <v>176</v>
      </c>
      <c r="L25" s="94"/>
    </row>
    <row r="26" spans="1:15">
      <c r="A26" s="75">
        <v>42011</v>
      </c>
      <c r="B26" s="46">
        <v>42021</v>
      </c>
      <c r="C26" s="586"/>
      <c r="D26" s="431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431" t="s">
        <v>349</v>
      </c>
      <c r="E27" s="271">
        <v>18</v>
      </c>
      <c r="F27" s="271">
        <v>0</v>
      </c>
      <c r="G27" s="271">
        <v>18</v>
      </c>
      <c r="H27" s="271">
        <v>3</v>
      </c>
      <c r="I27" s="271">
        <v>21</v>
      </c>
      <c r="J27" s="285"/>
      <c r="K27" s="277">
        <v>21</v>
      </c>
    </row>
    <row r="28" spans="1:15">
      <c r="A28" s="75">
        <v>43211</v>
      </c>
      <c r="B28" s="46">
        <v>43221</v>
      </c>
      <c r="C28" s="576"/>
      <c r="D28" s="431" t="s">
        <v>258</v>
      </c>
      <c r="E28" s="271">
        <v>23</v>
      </c>
      <c r="F28" s="271">
        <v>0</v>
      </c>
      <c r="G28" s="271">
        <v>23</v>
      </c>
      <c r="H28" s="271">
        <v>5</v>
      </c>
      <c r="I28" s="271">
        <v>28</v>
      </c>
      <c r="J28" s="285"/>
      <c r="K28" s="277">
        <v>28</v>
      </c>
    </row>
    <row r="29" spans="1:15">
      <c r="A29" s="75">
        <v>43311</v>
      </c>
      <c r="B29" s="46">
        <v>43321</v>
      </c>
      <c r="C29" s="571"/>
      <c r="D29" s="431" t="s">
        <v>305</v>
      </c>
      <c r="E29" s="271">
        <v>18</v>
      </c>
      <c r="F29" s="271">
        <v>2</v>
      </c>
      <c r="G29" s="271">
        <v>20</v>
      </c>
      <c r="H29" s="271">
        <v>3</v>
      </c>
      <c r="I29" s="271">
        <v>23</v>
      </c>
      <c r="J29" s="285"/>
      <c r="K29" s="277">
        <v>23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431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431"/>
      <c r="E31" s="271"/>
      <c r="F31" s="271"/>
      <c r="G31" s="271"/>
      <c r="H31" s="271"/>
      <c r="I31" s="271"/>
      <c r="J31" s="285"/>
      <c r="K31" s="277"/>
      <c r="L31" s="433"/>
      <c r="M31" s="433"/>
      <c r="N31" s="433"/>
      <c r="O31" s="433"/>
    </row>
    <row r="32" spans="1:15">
      <c r="A32" s="75">
        <v>40400</v>
      </c>
      <c r="B32" s="46">
        <v>40420</v>
      </c>
      <c r="C32" s="571"/>
      <c r="D32" s="431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34000</v>
      </c>
      <c r="B33" s="46">
        <v>34020</v>
      </c>
      <c r="C33" s="571"/>
      <c r="D33" s="431" t="s">
        <v>290</v>
      </c>
      <c r="E33" s="271">
        <v>13</v>
      </c>
      <c r="F33" s="271">
        <v>0</v>
      </c>
      <c r="G33" s="271">
        <v>13</v>
      </c>
      <c r="H33" s="271">
        <v>1</v>
      </c>
      <c r="I33" s="271">
        <v>14</v>
      </c>
      <c r="J33" s="285"/>
      <c r="K33" s="277">
        <v>14</v>
      </c>
    </row>
    <row r="34" spans="1:14">
      <c r="A34" s="76">
        <v>40000</v>
      </c>
      <c r="B34" s="56">
        <v>40020</v>
      </c>
      <c r="C34" s="571"/>
      <c r="D34" s="431" t="s">
        <v>674</v>
      </c>
      <c r="E34" s="271">
        <v>8</v>
      </c>
      <c r="F34" s="271">
        <v>0</v>
      </c>
      <c r="G34" s="271">
        <v>8</v>
      </c>
      <c r="H34" s="271">
        <v>0</v>
      </c>
      <c r="I34" s="271">
        <v>8</v>
      </c>
      <c r="J34" s="285"/>
      <c r="K34" s="277">
        <v>8</v>
      </c>
    </row>
    <row r="35" spans="1:14">
      <c r="A35" s="75">
        <v>67211</v>
      </c>
      <c r="B35" s="46">
        <v>67221</v>
      </c>
      <c r="C35" s="571"/>
      <c r="D35" s="431" t="s">
        <v>364</v>
      </c>
      <c r="E35" s="271">
        <v>9</v>
      </c>
      <c r="F35" s="271">
        <v>7</v>
      </c>
      <c r="G35" s="271">
        <v>16</v>
      </c>
      <c r="H35" s="271">
        <v>6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431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431" t="s">
        <v>103</v>
      </c>
      <c r="E37" s="271">
        <v>8</v>
      </c>
      <c r="F37" s="271">
        <v>0</v>
      </c>
      <c r="G37" s="271">
        <v>8</v>
      </c>
      <c r="H37" s="271">
        <v>4</v>
      </c>
      <c r="I37" s="271">
        <v>12</v>
      </c>
      <c r="J37" s="285"/>
      <c r="K37" s="277">
        <v>12</v>
      </c>
    </row>
    <row r="38" spans="1:14">
      <c r="A38" s="75">
        <v>69111</v>
      </c>
      <c r="B38" s="46">
        <v>69121</v>
      </c>
      <c r="C38" s="571"/>
      <c r="D38" s="431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430"/>
      <c r="D39" s="431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431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100</v>
      </c>
      <c r="F41" s="273">
        <v>10</v>
      </c>
      <c r="G41" s="273">
        <v>110</v>
      </c>
      <c r="H41" s="273">
        <v>25</v>
      </c>
      <c r="I41" s="273">
        <v>135</v>
      </c>
      <c r="J41" s="273">
        <v>0</v>
      </c>
      <c r="K41" s="281">
        <v>135</v>
      </c>
    </row>
    <row r="42" spans="1:14">
      <c r="A42" s="75">
        <v>64211</v>
      </c>
      <c r="B42" s="46">
        <v>64221</v>
      </c>
      <c r="C42" s="586"/>
      <c r="D42" s="431" t="s">
        <v>476</v>
      </c>
      <c r="E42" s="271">
        <v>6</v>
      </c>
      <c r="F42" s="271">
        <v>0</v>
      </c>
      <c r="G42" s="271">
        <v>6</v>
      </c>
      <c r="H42" s="271">
        <v>3</v>
      </c>
      <c r="I42" s="271">
        <v>9</v>
      </c>
      <c r="J42" s="271"/>
      <c r="K42" s="277">
        <v>9</v>
      </c>
    </row>
    <row r="43" spans="1:14">
      <c r="A43" s="75">
        <v>67011</v>
      </c>
      <c r="B43" s="46">
        <v>67021</v>
      </c>
      <c r="C43" s="575"/>
      <c r="D43" s="431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431" t="s">
        <v>508</v>
      </c>
      <c r="E44" s="271">
        <v>2</v>
      </c>
      <c r="F44" s="271">
        <v>0</v>
      </c>
      <c r="G44" s="291">
        <v>2</v>
      </c>
      <c r="H44" s="271">
        <v>3</v>
      </c>
      <c r="I44" s="271">
        <v>5</v>
      </c>
      <c r="J44" s="271"/>
      <c r="K44" s="277">
        <v>5</v>
      </c>
    </row>
    <row r="45" spans="1:14">
      <c r="A45" s="75">
        <v>64311</v>
      </c>
      <c r="B45" s="46">
        <v>64321</v>
      </c>
      <c r="C45" s="576"/>
      <c r="D45" s="431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431" t="s">
        <v>416</v>
      </c>
      <c r="E46" s="271">
        <v>8</v>
      </c>
      <c r="F46" s="271">
        <v>0</v>
      </c>
      <c r="G46" s="271">
        <v>8</v>
      </c>
      <c r="H46" s="271">
        <v>3</v>
      </c>
      <c r="I46" s="271">
        <v>11</v>
      </c>
      <c r="J46" s="271"/>
      <c r="K46" s="277"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431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431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431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431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431" t="s">
        <v>485</v>
      </c>
      <c r="E51" s="271">
        <v>3</v>
      </c>
      <c r="F51" s="271">
        <v>1</v>
      </c>
      <c r="G51" s="271">
        <v>4</v>
      </c>
      <c r="H51" s="271">
        <v>0</v>
      </c>
      <c r="I51" s="271">
        <v>4</v>
      </c>
      <c r="J51" s="271"/>
      <c r="K51" s="277">
        <v>4</v>
      </c>
    </row>
    <row r="52" spans="1:12">
      <c r="A52" s="75">
        <v>61300</v>
      </c>
      <c r="B52" s="46">
        <v>61320</v>
      </c>
      <c r="C52" s="571"/>
      <c r="D52" s="431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431" t="s">
        <v>489</v>
      </c>
      <c r="E53" s="271">
        <v>23</v>
      </c>
      <c r="F53" s="271">
        <v>1</v>
      </c>
      <c r="G53" s="271">
        <v>24</v>
      </c>
      <c r="H53" s="271">
        <v>3</v>
      </c>
      <c r="I53" s="271">
        <v>27</v>
      </c>
      <c r="J53" s="271"/>
      <c r="K53" s="277">
        <v>27</v>
      </c>
    </row>
    <row r="54" spans="1:12">
      <c r="A54" s="75">
        <v>44011</v>
      </c>
      <c r="B54" s="46">
        <v>44021</v>
      </c>
      <c r="C54" s="571"/>
      <c r="D54" s="431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431" t="s">
        <v>411</v>
      </c>
      <c r="E55" s="271">
        <v>2</v>
      </c>
      <c r="F55" s="271">
        <v>1</v>
      </c>
      <c r="G55" s="271">
        <v>3</v>
      </c>
      <c r="H55" s="271">
        <v>2</v>
      </c>
      <c r="I55" s="271">
        <v>5</v>
      </c>
      <c r="J55" s="271"/>
      <c r="K55" s="277">
        <v>5</v>
      </c>
    </row>
    <row r="56" spans="1:12">
      <c r="A56" s="75">
        <v>44511</v>
      </c>
      <c r="B56" s="46">
        <v>44521</v>
      </c>
      <c r="C56" s="571"/>
      <c r="D56" s="431" t="s">
        <v>433</v>
      </c>
      <c r="E56" s="271">
        <v>12</v>
      </c>
      <c r="F56" s="271">
        <v>1</v>
      </c>
      <c r="G56" s="271">
        <v>13</v>
      </c>
      <c r="H56" s="271">
        <v>4</v>
      </c>
      <c r="I56" s="271">
        <v>17</v>
      </c>
      <c r="J56" s="271"/>
      <c r="K56" s="277">
        <v>17</v>
      </c>
    </row>
    <row r="57" spans="1:12">
      <c r="A57" s="75">
        <v>45111</v>
      </c>
      <c r="B57" s="46">
        <v>45121</v>
      </c>
      <c r="C57" s="571"/>
      <c r="D57" s="431" t="s">
        <v>449</v>
      </c>
      <c r="E57" s="271">
        <v>11</v>
      </c>
      <c r="F57" s="271">
        <v>3</v>
      </c>
      <c r="G57" s="271">
        <v>14</v>
      </c>
      <c r="H57" s="271">
        <v>3</v>
      </c>
      <c r="I57" s="271">
        <v>17</v>
      </c>
      <c r="J57" s="271"/>
      <c r="K57" s="277">
        <v>17</v>
      </c>
    </row>
    <row r="58" spans="1:12">
      <c r="A58" s="75">
        <v>44200</v>
      </c>
      <c r="B58" s="46">
        <v>44220</v>
      </c>
      <c r="C58" s="278"/>
      <c r="D58" s="431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33</v>
      </c>
      <c r="F59" s="273">
        <v>2</v>
      </c>
      <c r="G59" s="273">
        <v>35</v>
      </c>
      <c r="H59" s="273">
        <v>7</v>
      </c>
      <c r="I59" s="273">
        <v>42</v>
      </c>
      <c r="J59" s="273">
        <v>0</v>
      </c>
      <c r="K59" s="281">
        <v>42</v>
      </c>
      <c r="L59" s="94"/>
    </row>
    <row r="60" spans="1:12">
      <c r="A60" s="75">
        <v>20000</v>
      </c>
      <c r="B60" s="46">
        <v>20020</v>
      </c>
      <c r="C60" s="586" t="s">
        <v>625</v>
      </c>
      <c r="D60" s="431" t="s">
        <v>381</v>
      </c>
      <c r="E60" s="271">
        <v>2</v>
      </c>
      <c r="F60" s="271">
        <v>0</v>
      </c>
      <c r="G60" s="271">
        <v>2</v>
      </c>
      <c r="H60" s="271">
        <v>0</v>
      </c>
      <c r="I60" s="271">
        <v>2</v>
      </c>
      <c r="J60" s="271"/>
      <c r="K60" s="277">
        <v>2</v>
      </c>
    </row>
    <row r="61" spans="1:12">
      <c r="A61" s="75">
        <v>21000</v>
      </c>
      <c r="B61" s="46">
        <v>21020</v>
      </c>
      <c r="C61" s="575"/>
      <c r="D61" s="431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431" t="s">
        <v>389</v>
      </c>
      <c r="E62" s="271">
        <v>7</v>
      </c>
      <c r="F62" s="271">
        <v>0</v>
      </c>
      <c r="G62" s="271">
        <v>7</v>
      </c>
      <c r="H62" s="271">
        <v>2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431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430" t="s">
        <v>626</v>
      </c>
      <c r="D64" s="431" t="s">
        <v>114</v>
      </c>
      <c r="E64" s="271">
        <v>5</v>
      </c>
      <c r="F64" s="271">
        <v>2</v>
      </c>
      <c r="G64" s="271">
        <v>7</v>
      </c>
      <c r="H64" s="271">
        <v>2</v>
      </c>
      <c r="I64" s="271">
        <v>9</v>
      </c>
      <c r="J64" s="271"/>
      <c r="K64" s="277">
        <v>9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12</v>
      </c>
      <c r="F65" s="273">
        <v>10</v>
      </c>
      <c r="G65" s="273">
        <v>22</v>
      </c>
      <c r="H65" s="273">
        <v>2</v>
      </c>
      <c r="I65" s="273">
        <v>24</v>
      </c>
      <c r="J65" s="273">
        <v>0</v>
      </c>
      <c r="K65" s="281">
        <v>24</v>
      </c>
      <c r="L65" s="94"/>
    </row>
    <row r="66" spans="1:12">
      <c r="A66" s="76"/>
      <c r="B66" s="56"/>
      <c r="C66" s="586" t="s">
        <v>643</v>
      </c>
      <c r="D66" s="431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1</v>
      </c>
      <c r="G67" s="271">
        <v>3</v>
      </c>
      <c r="H67" s="271">
        <v>1</v>
      </c>
      <c r="I67" s="271">
        <v>4</v>
      </c>
      <c r="J67" s="271"/>
      <c r="K67" s="277">
        <v>4</v>
      </c>
    </row>
    <row r="68" spans="1:12">
      <c r="A68" s="75">
        <v>31000</v>
      </c>
      <c r="B68" s="46">
        <v>31020</v>
      </c>
      <c r="C68" s="576"/>
      <c r="D68" s="431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431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431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48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6</v>
      </c>
      <c r="I73" s="273">
        <v>48</v>
      </c>
      <c r="J73" s="273">
        <v>0</v>
      </c>
      <c r="K73" s="281">
        <v>48</v>
      </c>
      <c r="L73" s="37"/>
    </row>
    <row r="74" spans="1:12">
      <c r="B74" s="56"/>
      <c r="C74" s="586" t="s">
        <v>643</v>
      </c>
      <c r="D74" s="431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431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575"/>
      <c r="D76" s="431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431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431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431" t="s">
        <v>158</v>
      </c>
      <c r="E79" s="271">
        <v>4</v>
      </c>
      <c r="F79" s="271">
        <v>1</v>
      </c>
      <c r="G79" s="271">
        <v>5</v>
      </c>
      <c r="H79" s="271">
        <v>3</v>
      </c>
      <c r="I79" s="271">
        <v>8</v>
      </c>
      <c r="J79" s="271"/>
      <c r="K79" s="277">
        <v>8</v>
      </c>
    </row>
    <row r="80" spans="1:12" ht="18.600000000000001" thickBot="1">
      <c r="C80" s="597" t="s">
        <v>642</v>
      </c>
      <c r="D80" s="598"/>
      <c r="E80" s="282">
        <v>393</v>
      </c>
      <c r="F80" s="282">
        <v>53</v>
      </c>
      <c r="G80" s="282">
        <v>446</v>
      </c>
      <c r="H80" s="282">
        <v>87</v>
      </c>
      <c r="I80" s="282">
        <v>533</v>
      </c>
      <c r="J80" s="282">
        <v>0</v>
      </c>
      <c r="K80" s="283">
        <v>533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427" t="s">
        <v>69</v>
      </c>
      <c r="F83" s="427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429" t="s">
        <v>1677</v>
      </c>
      <c r="L87" s="264" t="s">
        <v>853</v>
      </c>
      <c r="M87" s="264" t="s">
        <v>858</v>
      </c>
    </row>
    <row r="88" spans="3:16">
      <c r="D88" s="429" t="s">
        <v>1676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D89" s="429" t="s">
        <v>1673</v>
      </c>
      <c r="M89" s="264" t="s">
        <v>1660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A56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415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414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414"/>
      <c r="C5" s="576"/>
      <c r="D5" s="577"/>
      <c r="E5" s="417" t="s">
        <v>69</v>
      </c>
      <c r="F5" s="417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414">
        <v>202</v>
      </c>
      <c r="C6" s="416"/>
      <c r="D6" s="417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414">
        <v>211</v>
      </c>
      <c r="C7" s="416"/>
      <c r="D7" s="417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12</v>
      </c>
    </row>
    <row r="9" spans="1:11">
      <c r="A9" s="75">
        <v>11000</v>
      </c>
      <c r="B9" s="46">
        <v>11020</v>
      </c>
      <c r="C9" s="278"/>
      <c r="D9" s="417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417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11</v>
      </c>
    </row>
    <row r="12" spans="1:11">
      <c r="A12" s="76">
        <v>1000</v>
      </c>
      <c r="B12" s="46">
        <v>1020</v>
      </c>
      <c r="C12" s="278"/>
      <c r="D12" s="417" t="s">
        <v>218</v>
      </c>
      <c r="E12" s="271">
        <v>9</v>
      </c>
      <c r="F12" s="271">
        <v>2</v>
      </c>
      <c r="G12" s="271">
        <v>11</v>
      </c>
      <c r="H12" s="271">
        <v>0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417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417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417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417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417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418" t="s">
        <v>647</v>
      </c>
      <c r="D21" s="417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50</v>
      </c>
    </row>
    <row r="23" spans="1:15">
      <c r="A23" s="75">
        <v>42111</v>
      </c>
      <c r="B23" s="46">
        <v>42121</v>
      </c>
      <c r="C23" s="278"/>
      <c r="D23" s="417" t="s">
        <v>172</v>
      </c>
      <c r="E23" s="271">
        <v>38</v>
      </c>
      <c r="F23" s="271">
        <v>3</v>
      </c>
      <c r="G23" s="271">
        <v>41</v>
      </c>
      <c r="H23" s="271">
        <v>9</v>
      </c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382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129</v>
      </c>
      <c r="F25" s="273">
        <v>11</v>
      </c>
      <c r="G25" s="273">
        <v>140</v>
      </c>
      <c r="H25" s="273">
        <v>36</v>
      </c>
      <c r="I25" s="273">
        <v>176</v>
      </c>
      <c r="J25" s="273">
        <v>0</v>
      </c>
      <c r="K25" s="281">
        <v>176</v>
      </c>
      <c r="L25" s="94"/>
    </row>
    <row r="26" spans="1:15">
      <c r="A26" s="75">
        <v>42011</v>
      </c>
      <c r="B26" s="46">
        <v>42021</v>
      </c>
      <c r="C26" s="586"/>
      <c r="D26" s="417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417" t="s">
        <v>349</v>
      </c>
      <c r="E27" s="271">
        <v>18</v>
      </c>
      <c r="F27" s="271">
        <v>0</v>
      </c>
      <c r="G27" s="271">
        <v>18</v>
      </c>
      <c r="H27" s="271">
        <v>3</v>
      </c>
      <c r="I27" s="271">
        <v>21</v>
      </c>
      <c r="J27" s="285"/>
      <c r="K27" s="277">
        <v>21</v>
      </c>
    </row>
    <row r="28" spans="1:15">
      <c r="A28" s="75">
        <v>43211</v>
      </c>
      <c r="B28" s="46">
        <v>43221</v>
      </c>
      <c r="C28" s="576"/>
      <c r="D28" s="417" t="s">
        <v>258</v>
      </c>
      <c r="E28" s="271">
        <v>22</v>
      </c>
      <c r="F28" s="271">
        <v>0</v>
      </c>
      <c r="G28" s="271">
        <v>22</v>
      </c>
      <c r="H28" s="271">
        <v>5</v>
      </c>
      <c r="I28" s="271">
        <v>27</v>
      </c>
      <c r="J28" s="285"/>
      <c r="K28" s="277">
        <v>27</v>
      </c>
    </row>
    <row r="29" spans="1:15">
      <c r="A29" s="75">
        <v>43311</v>
      </c>
      <c r="B29" s="46">
        <v>43321</v>
      </c>
      <c r="C29" s="571"/>
      <c r="D29" s="417" t="s">
        <v>305</v>
      </c>
      <c r="E29" s="271">
        <v>18</v>
      </c>
      <c r="F29" s="271">
        <v>2</v>
      </c>
      <c r="G29" s="271">
        <v>20</v>
      </c>
      <c r="H29" s="271">
        <v>3</v>
      </c>
      <c r="I29" s="271">
        <v>23</v>
      </c>
      <c r="J29" s="285"/>
      <c r="K29" s="277">
        <v>23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417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417"/>
      <c r="E31" s="271"/>
      <c r="F31" s="271"/>
      <c r="G31" s="271"/>
      <c r="H31" s="271"/>
      <c r="I31" s="271"/>
      <c r="J31" s="285"/>
      <c r="K31" s="277"/>
      <c r="L31" s="419"/>
      <c r="M31" s="419"/>
      <c r="N31" s="419"/>
      <c r="O31" s="419"/>
    </row>
    <row r="32" spans="1:15">
      <c r="A32" s="75">
        <v>40400</v>
      </c>
      <c r="B32" s="46">
        <v>40420</v>
      </c>
      <c r="C32" s="571"/>
      <c r="D32" s="417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34000</v>
      </c>
      <c r="B33" s="46">
        <v>34020</v>
      </c>
      <c r="C33" s="571"/>
      <c r="D33" s="417" t="s">
        <v>290</v>
      </c>
      <c r="E33" s="271">
        <v>12</v>
      </c>
      <c r="F33" s="271">
        <v>0</v>
      </c>
      <c r="G33" s="271">
        <v>12</v>
      </c>
      <c r="H33" s="271">
        <v>1</v>
      </c>
      <c r="I33" s="271">
        <v>13</v>
      </c>
      <c r="J33" s="285"/>
      <c r="K33" s="277">
        <v>13</v>
      </c>
    </row>
    <row r="34" spans="1:14">
      <c r="A34" s="76">
        <v>40000</v>
      </c>
      <c r="B34" s="56">
        <v>40020</v>
      </c>
      <c r="C34" s="571"/>
      <c r="D34" s="417" t="s">
        <v>674</v>
      </c>
      <c r="E34" s="271">
        <v>8</v>
      </c>
      <c r="F34" s="271">
        <v>0</v>
      </c>
      <c r="G34" s="271">
        <v>8</v>
      </c>
      <c r="H34" s="271">
        <v>0</v>
      </c>
      <c r="I34" s="271">
        <v>8</v>
      </c>
      <c r="J34" s="285"/>
      <c r="K34" s="277">
        <v>8</v>
      </c>
    </row>
    <row r="35" spans="1:14">
      <c r="A35" s="75">
        <v>67211</v>
      </c>
      <c r="B35" s="46">
        <v>67221</v>
      </c>
      <c r="C35" s="571"/>
      <c r="D35" s="417" t="s">
        <v>364</v>
      </c>
      <c r="E35" s="271">
        <v>9</v>
      </c>
      <c r="F35" s="271">
        <v>7</v>
      </c>
      <c r="G35" s="271">
        <v>16</v>
      </c>
      <c r="H35" s="271">
        <v>6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417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417" t="s">
        <v>103</v>
      </c>
      <c r="E37" s="271">
        <v>8</v>
      </c>
      <c r="F37" s="271">
        <v>0</v>
      </c>
      <c r="G37" s="271">
        <v>8</v>
      </c>
      <c r="H37" s="271">
        <v>6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417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416"/>
      <c r="D39" s="417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417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103</v>
      </c>
      <c r="F41" s="273">
        <v>10</v>
      </c>
      <c r="G41" s="273">
        <v>113</v>
      </c>
      <c r="H41" s="273">
        <v>28</v>
      </c>
      <c r="I41" s="273">
        <v>141</v>
      </c>
      <c r="J41" s="273">
        <v>0</v>
      </c>
      <c r="K41" s="281">
        <v>141</v>
      </c>
    </row>
    <row r="42" spans="1:14">
      <c r="A42" s="75">
        <v>64211</v>
      </c>
      <c r="B42" s="46">
        <v>64221</v>
      </c>
      <c r="C42" s="586"/>
      <c r="D42" s="417" t="s">
        <v>476</v>
      </c>
      <c r="E42" s="271">
        <v>7</v>
      </c>
      <c r="F42" s="271">
        <v>0</v>
      </c>
      <c r="G42" s="271">
        <v>7</v>
      </c>
      <c r="H42" s="271">
        <v>3</v>
      </c>
      <c r="I42" s="271">
        <v>10</v>
      </c>
      <c r="J42" s="271"/>
      <c r="K42" s="277">
        <v>10</v>
      </c>
    </row>
    <row r="43" spans="1:14">
      <c r="A43" s="75">
        <v>67011</v>
      </c>
      <c r="B43" s="46">
        <v>67021</v>
      </c>
      <c r="C43" s="575"/>
      <c r="D43" s="417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417" t="s">
        <v>508</v>
      </c>
      <c r="E44" s="271">
        <v>2</v>
      </c>
      <c r="F44" s="271">
        <v>0</v>
      </c>
      <c r="G44" s="291">
        <v>2</v>
      </c>
      <c r="H44" s="271">
        <v>3</v>
      </c>
      <c r="I44" s="271">
        <v>5</v>
      </c>
      <c r="J44" s="271"/>
      <c r="K44" s="277">
        <v>5</v>
      </c>
    </row>
    <row r="45" spans="1:14">
      <c r="A45" s="75">
        <v>64311</v>
      </c>
      <c r="B45" s="46">
        <v>64321</v>
      </c>
      <c r="C45" s="576"/>
      <c r="D45" s="417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417" t="s">
        <v>416</v>
      </c>
      <c r="E46" s="271">
        <v>8</v>
      </c>
      <c r="F46" s="271">
        <v>0</v>
      </c>
      <c r="G46" s="271">
        <v>8</v>
      </c>
      <c r="H46" s="271">
        <v>4</v>
      </c>
      <c r="I46" s="271">
        <v>12</v>
      </c>
      <c r="J46" s="271"/>
      <c r="K46" s="277">
        <v>12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417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417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417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417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417" t="s">
        <v>485</v>
      </c>
      <c r="E51" s="271">
        <v>3</v>
      </c>
      <c r="F51" s="271">
        <v>1</v>
      </c>
      <c r="G51" s="271">
        <v>4</v>
      </c>
      <c r="H51" s="271">
        <v>1</v>
      </c>
      <c r="I51" s="271">
        <v>5</v>
      </c>
      <c r="J51" s="271"/>
      <c r="K51" s="277">
        <v>5</v>
      </c>
    </row>
    <row r="52" spans="1:12">
      <c r="A52" s="75">
        <v>61300</v>
      </c>
      <c r="B52" s="46">
        <v>61320</v>
      </c>
      <c r="C52" s="571"/>
      <c r="D52" s="417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417" t="s">
        <v>489</v>
      </c>
      <c r="E53" s="271">
        <v>23</v>
      </c>
      <c r="F53" s="271">
        <v>1</v>
      </c>
      <c r="G53" s="271">
        <v>24</v>
      </c>
      <c r="H53" s="271">
        <v>3</v>
      </c>
      <c r="I53" s="271">
        <v>27</v>
      </c>
      <c r="J53" s="271"/>
      <c r="K53" s="277">
        <v>27</v>
      </c>
    </row>
    <row r="54" spans="1:12">
      <c r="A54" s="75">
        <v>44011</v>
      </c>
      <c r="B54" s="46">
        <v>44021</v>
      </c>
      <c r="C54" s="571"/>
      <c r="D54" s="417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417" t="s">
        <v>411</v>
      </c>
      <c r="E55" s="271">
        <v>2</v>
      </c>
      <c r="F55" s="271">
        <v>1</v>
      </c>
      <c r="G55" s="271">
        <v>3</v>
      </c>
      <c r="H55" s="271">
        <v>3</v>
      </c>
      <c r="I55" s="271">
        <v>6</v>
      </c>
      <c r="J55" s="271"/>
      <c r="K55" s="277">
        <v>6</v>
      </c>
    </row>
    <row r="56" spans="1:12">
      <c r="A56" s="75">
        <v>44511</v>
      </c>
      <c r="B56" s="46">
        <v>44521</v>
      </c>
      <c r="C56" s="571"/>
      <c r="D56" s="417" t="s">
        <v>433</v>
      </c>
      <c r="E56" s="271">
        <v>13</v>
      </c>
      <c r="F56" s="271">
        <v>1</v>
      </c>
      <c r="G56" s="271">
        <v>14</v>
      </c>
      <c r="H56" s="271">
        <v>5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417" t="s">
        <v>449</v>
      </c>
      <c r="E57" s="271">
        <v>12</v>
      </c>
      <c r="F57" s="271">
        <v>3</v>
      </c>
      <c r="G57" s="271">
        <v>15</v>
      </c>
      <c r="H57" s="271">
        <v>2</v>
      </c>
      <c r="I57" s="271">
        <v>17</v>
      </c>
      <c r="J57" s="271"/>
      <c r="K57" s="277">
        <v>17</v>
      </c>
    </row>
    <row r="58" spans="1:12">
      <c r="A58" s="75">
        <v>44200</v>
      </c>
      <c r="B58" s="46">
        <v>44220</v>
      </c>
      <c r="C58" s="278"/>
      <c r="D58" s="417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32</v>
      </c>
      <c r="F59" s="273">
        <v>2</v>
      </c>
      <c r="G59" s="273">
        <v>34</v>
      </c>
      <c r="H59" s="273">
        <v>7</v>
      </c>
      <c r="I59" s="273">
        <v>41</v>
      </c>
      <c r="J59" s="273">
        <v>0</v>
      </c>
      <c r="K59" s="281">
        <v>41</v>
      </c>
      <c r="L59" s="94"/>
    </row>
    <row r="60" spans="1:12">
      <c r="A60" s="75">
        <v>20000</v>
      </c>
      <c r="B60" s="46">
        <v>20020</v>
      </c>
      <c r="C60" s="586" t="s">
        <v>625</v>
      </c>
      <c r="D60" s="417" t="s">
        <v>381</v>
      </c>
      <c r="E60" s="271">
        <v>2</v>
      </c>
      <c r="F60" s="271">
        <v>0</v>
      </c>
      <c r="G60" s="271">
        <v>2</v>
      </c>
      <c r="H60" s="271">
        <v>0</v>
      </c>
      <c r="I60" s="271">
        <v>2</v>
      </c>
      <c r="J60" s="271"/>
      <c r="K60" s="277">
        <v>2</v>
      </c>
    </row>
    <row r="61" spans="1:12">
      <c r="A61" s="75">
        <v>21000</v>
      </c>
      <c r="B61" s="46">
        <v>21020</v>
      </c>
      <c r="C61" s="575"/>
      <c r="D61" s="417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417" t="s">
        <v>389</v>
      </c>
      <c r="E62" s="271">
        <v>7</v>
      </c>
      <c r="F62" s="271">
        <v>0</v>
      </c>
      <c r="G62" s="271">
        <v>7</v>
      </c>
      <c r="H62" s="271">
        <v>2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417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416" t="s">
        <v>626</v>
      </c>
      <c r="D64" s="417" t="s">
        <v>114</v>
      </c>
      <c r="E64" s="271">
        <v>4</v>
      </c>
      <c r="F64" s="271">
        <v>2</v>
      </c>
      <c r="G64" s="271">
        <v>6</v>
      </c>
      <c r="H64" s="271">
        <v>2</v>
      </c>
      <c r="I64" s="271">
        <v>8</v>
      </c>
      <c r="J64" s="271"/>
      <c r="K64" s="277">
        <v>8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12</v>
      </c>
      <c r="F65" s="273">
        <v>10</v>
      </c>
      <c r="G65" s="273">
        <v>22</v>
      </c>
      <c r="H65" s="273">
        <v>2</v>
      </c>
      <c r="I65" s="273">
        <v>24</v>
      </c>
      <c r="J65" s="273">
        <v>0</v>
      </c>
      <c r="K65" s="281">
        <v>24</v>
      </c>
      <c r="L65" s="94"/>
    </row>
    <row r="66" spans="1:12">
      <c r="A66" s="76"/>
      <c r="B66" s="56"/>
      <c r="C66" s="586" t="s">
        <v>643</v>
      </c>
      <c r="D66" s="417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1</v>
      </c>
      <c r="G67" s="271">
        <v>3</v>
      </c>
      <c r="H67" s="271">
        <v>1</v>
      </c>
      <c r="I67" s="271">
        <v>4</v>
      </c>
      <c r="J67" s="271"/>
      <c r="K67" s="277">
        <v>4</v>
      </c>
    </row>
    <row r="68" spans="1:12">
      <c r="A68" s="75">
        <v>31000</v>
      </c>
      <c r="B68" s="46">
        <v>31020</v>
      </c>
      <c r="C68" s="576"/>
      <c r="D68" s="417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417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417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47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5</v>
      </c>
      <c r="I73" s="273">
        <v>47</v>
      </c>
      <c r="J73" s="273">
        <v>0</v>
      </c>
      <c r="K73" s="281">
        <v>47</v>
      </c>
      <c r="L73" s="37"/>
    </row>
    <row r="74" spans="1:12">
      <c r="B74" s="56"/>
      <c r="C74" s="586" t="s">
        <v>643</v>
      </c>
      <c r="D74" s="417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417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575"/>
      <c r="D76" s="417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417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417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417" t="s">
        <v>158</v>
      </c>
      <c r="E79" s="271">
        <v>4</v>
      </c>
      <c r="F79" s="271">
        <v>1</v>
      </c>
      <c r="G79" s="271">
        <v>5</v>
      </c>
      <c r="H79" s="271">
        <v>2</v>
      </c>
      <c r="I79" s="271">
        <v>7</v>
      </c>
      <c r="J79" s="271"/>
      <c r="K79" s="277">
        <v>7</v>
      </c>
    </row>
    <row r="80" spans="1:12" ht="18.600000000000001" thickBot="1">
      <c r="C80" s="597" t="s">
        <v>642</v>
      </c>
      <c r="D80" s="598"/>
      <c r="E80" s="282">
        <v>393</v>
      </c>
      <c r="F80" s="282">
        <v>53</v>
      </c>
      <c r="G80" s="282">
        <v>446</v>
      </c>
      <c r="H80" s="282">
        <v>91</v>
      </c>
      <c r="I80" s="282">
        <v>537</v>
      </c>
      <c r="J80" s="282">
        <v>0</v>
      </c>
      <c r="K80" s="283">
        <v>537</v>
      </c>
      <c r="L80" s="94"/>
    </row>
    <row r="81" spans="2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2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2:16" ht="15.75" customHeight="1" thickBot="1">
      <c r="C83" s="587"/>
      <c r="D83" s="553"/>
      <c r="E83" s="413" t="s">
        <v>69</v>
      </c>
      <c r="F83" s="413" t="s">
        <v>650</v>
      </c>
      <c r="G83" s="553"/>
      <c r="H83" s="553"/>
      <c r="I83" s="553"/>
      <c r="J83" s="580"/>
      <c r="K83" s="581"/>
      <c r="L83" s="37"/>
    </row>
    <row r="84" spans="2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2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2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2:16">
      <c r="B87" s="46" t="s">
        <v>1664</v>
      </c>
      <c r="D87" s="415" t="s">
        <v>1671</v>
      </c>
      <c r="L87" s="264" t="s">
        <v>853</v>
      </c>
      <c r="M87" s="264" t="s">
        <v>858</v>
      </c>
    </row>
    <row r="88" spans="2:16">
      <c r="D88" s="415" t="s">
        <v>1672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2:16">
      <c r="M89" s="264" t="s">
        <v>1660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A7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407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406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406"/>
      <c r="C5" s="576"/>
      <c r="D5" s="577"/>
      <c r="E5" s="408" t="s">
        <v>69</v>
      </c>
      <c r="F5" s="40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406">
        <v>202</v>
      </c>
      <c r="C6" s="409"/>
      <c r="D6" s="408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406">
        <v>211</v>
      </c>
      <c r="C7" s="409"/>
      <c r="D7" s="408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12</v>
      </c>
    </row>
    <row r="9" spans="1:11">
      <c r="A9" s="75">
        <v>11000</v>
      </c>
      <c r="B9" s="46">
        <v>11020</v>
      </c>
      <c r="C9" s="278"/>
      <c r="D9" s="408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408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408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408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408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408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408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408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411" t="s">
        <v>647</v>
      </c>
      <c r="D21" s="408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50</v>
      </c>
    </row>
    <row r="23" spans="1:15">
      <c r="A23" s="75">
        <v>42111</v>
      </c>
      <c r="B23" s="46">
        <v>42121</v>
      </c>
      <c r="C23" s="278"/>
      <c r="D23" s="408" t="s">
        <v>172</v>
      </c>
      <c r="E23" s="271">
        <v>38</v>
      </c>
      <c r="F23" s="271">
        <v>3</v>
      </c>
      <c r="G23" s="271">
        <v>41</v>
      </c>
      <c r="H23" s="271">
        <v>9</v>
      </c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382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127</v>
      </c>
      <c r="F25" s="273">
        <v>11</v>
      </c>
      <c r="G25" s="273">
        <v>138</v>
      </c>
      <c r="H25" s="273">
        <v>38</v>
      </c>
      <c r="I25" s="273">
        <v>176</v>
      </c>
      <c r="J25" s="273">
        <v>0</v>
      </c>
      <c r="K25" s="281">
        <v>176</v>
      </c>
      <c r="L25" s="94"/>
    </row>
    <row r="26" spans="1:15">
      <c r="A26" s="75">
        <v>42011</v>
      </c>
      <c r="B26" s="46">
        <v>42021</v>
      </c>
      <c r="C26" s="586"/>
      <c r="D26" s="408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408" t="s">
        <v>349</v>
      </c>
      <c r="E27" s="271">
        <v>18</v>
      </c>
      <c r="F27" s="271">
        <v>0</v>
      </c>
      <c r="G27" s="271">
        <v>18</v>
      </c>
      <c r="H27" s="271">
        <v>4</v>
      </c>
      <c r="I27" s="271">
        <v>22</v>
      </c>
      <c r="J27" s="285"/>
      <c r="K27" s="277">
        <v>22</v>
      </c>
    </row>
    <row r="28" spans="1:15">
      <c r="A28" s="75">
        <v>43211</v>
      </c>
      <c r="B28" s="46">
        <v>43221</v>
      </c>
      <c r="C28" s="576"/>
      <c r="D28" s="408" t="s">
        <v>258</v>
      </c>
      <c r="E28" s="271">
        <v>21</v>
      </c>
      <c r="F28" s="271">
        <v>0</v>
      </c>
      <c r="G28" s="271">
        <v>21</v>
      </c>
      <c r="H28" s="271">
        <v>5</v>
      </c>
      <c r="I28" s="271">
        <v>26</v>
      </c>
      <c r="J28" s="285"/>
      <c r="K28" s="277">
        <v>26</v>
      </c>
    </row>
    <row r="29" spans="1:15">
      <c r="A29" s="75">
        <v>43311</v>
      </c>
      <c r="B29" s="46">
        <v>43321</v>
      </c>
      <c r="C29" s="571"/>
      <c r="D29" s="408" t="s">
        <v>305</v>
      </c>
      <c r="E29" s="271">
        <v>18</v>
      </c>
      <c r="F29" s="271">
        <v>2</v>
      </c>
      <c r="G29" s="271">
        <v>20</v>
      </c>
      <c r="H29" s="271">
        <v>3</v>
      </c>
      <c r="I29" s="271">
        <v>23</v>
      </c>
      <c r="J29" s="285"/>
      <c r="K29" s="277">
        <v>23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408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408"/>
      <c r="E31" s="271"/>
      <c r="F31" s="271"/>
      <c r="G31" s="271"/>
      <c r="H31" s="271"/>
      <c r="I31" s="271"/>
      <c r="J31" s="285"/>
      <c r="K31" s="277"/>
      <c r="L31" s="410"/>
      <c r="M31" s="410"/>
      <c r="N31" s="410"/>
      <c r="O31" s="410"/>
    </row>
    <row r="32" spans="1:15">
      <c r="A32" s="75">
        <v>40400</v>
      </c>
      <c r="B32" s="46">
        <v>40420</v>
      </c>
      <c r="C32" s="571"/>
      <c r="D32" s="408" t="s">
        <v>318</v>
      </c>
      <c r="E32" s="271">
        <v>14</v>
      </c>
      <c r="F32" s="271">
        <v>0</v>
      </c>
      <c r="G32" s="271">
        <v>14</v>
      </c>
      <c r="H32" s="271">
        <v>2</v>
      </c>
      <c r="I32" s="271">
        <v>16</v>
      </c>
      <c r="J32" s="285"/>
      <c r="K32" s="277">
        <v>16</v>
      </c>
    </row>
    <row r="33" spans="1:14">
      <c r="A33" s="75">
        <v>34000</v>
      </c>
      <c r="B33" s="46">
        <v>34020</v>
      </c>
      <c r="C33" s="571"/>
      <c r="D33" s="408" t="s">
        <v>290</v>
      </c>
      <c r="E33" s="271">
        <v>11</v>
      </c>
      <c r="F33" s="271">
        <v>0</v>
      </c>
      <c r="G33" s="271">
        <v>11</v>
      </c>
      <c r="H33" s="271">
        <v>1</v>
      </c>
      <c r="I33" s="271">
        <v>12</v>
      </c>
      <c r="J33" s="285"/>
      <c r="K33" s="277">
        <v>12</v>
      </c>
    </row>
    <row r="34" spans="1:14">
      <c r="A34" s="76">
        <v>40000</v>
      </c>
      <c r="B34" s="56">
        <v>40020</v>
      </c>
      <c r="C34" s="571"/>
      <c r="D34" s="408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/>
      <c r="D35" s="408" t="s">
        <v>364</v>
      </c>
      <c r="E35" s="271">
        <v>9</v>
      </c>
      <c r="F35" s="271">
        <v>7</v>
      </c>
      <c r="G35" s="271">
        <v>16</v>
      </c>
      <c r="H35" s="271">
        <v>6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408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408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408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409"/>
      <c r="D39" s="408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408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103</v>
      </c>
      <c r="F41" s="273">
        <v>10</v>
      </c>
      <c r="G41" s="273">
        <v>113</v>
      </c>
      <c r="H41" s="273">
        <v>27</v>
      </c>
      <c r="I41" s="273">
        <v>140</v>
      </c>
      <c r="J41" s="273">
        <v>0</v>
      </c>
      <c r="K41" s="281">
        <v>140</v>
      </c>
    </row>
    <row r="42" spans="1:14">
      <c r="A42" s="75">
        <v>64211</v>
      </c>
      <c r="B42" s="46">
        <v>64221</v>
      </c>
      <c r="C42" s="586"/>
      <c r="D42" s="408" t="s">
        <v>476</v>
      </c>
      <c r="E42" s="271">
        <v>7</v>
      </c>
      <c r="F42" s="271">
        <v>0</v>
      </c>
      <c r="G42" s="271">
        <v>7</v>
      </c>
      <c r="H42" s="271">
        <v>3</v>
      </c>
      <c r="I42" s="271">
        <v>10</v>
      </c>
      <c r="J42" s="271"/>
      <c r="K42" s="277">
        <v>10</v>
      </c>
    </row>
    <row r="43" spans="1:14">
      <c r="A43" s="75">
        <v>67011</v>
      </c>
      <c r="B43" s="46">
        <v>67021</v>
      </c>
      <c r="C43" s="575"/>
      <c r="D43" s="408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408" t="s">
        <v>508</v>
      </c>
      <c r="E44" s="271">
        <v>2</v>
      </c>
      <c r="F44" s="271">
        <v>0</v>
      </c>
      <c r="G44" s="291">
        <v>2</v>
      </c>
      <c r="H44" s="271">
        <v>2</v>
      </c>
      <c r="I44" s="271">
        <v>4</v>
      </c>
      <c r="J44" s="271"/>
      <c r="K44" s="277">
        <v>4</v>
      </c>
    </row>
    <row r="45" spans="1:14">
      <c r="A45" s="75">
        <v>64311</v>
      </c>
      <c r="B45" s="46">
        <v>64321</v>
      </c>
      <c r="C45" s="576"/>
      <c r="D45" s="408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408" t="s">
        <v>416</v>
      </c>
      <c r="E46" s="271">
        <v>8</v>
      </c>
      <c r="F46" s="271">
        <v>0</v>
      </c>
      <c r="G46" s="271">
        <v>8</v>
      </c>
      <c r="H46" s="271">
        <v>4</v>
      </c>
      <c r="I46" s="271">
        <v>12</v>
      </c>
      <c r="J46" s="271"/>
      <c r="K46" s="277">
        <v>12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408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408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408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408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408" t="s">
        <v>485</v>
      </c>
      <c r="E51" s="271">
        <v>3</v>
      </c>
      <c r="F51" s="271">
        <v>1</v>
      </c>
      <c r="G51" s="271">
        <v>4</v>
      </c>
      <c r="H51" s="271">
        <v>1</v>
      </c>
      <c r="I51" s="271">
        <v>5</v>
      </c>
      <c r="J51" s="271"/>
      <c r="K51" s="277">
        <v>5</v>
      </c>
    </row>
    <row r="52" spans="1:12">
      <c r="A52" s="75">
        <v>61300</v>
      </c>
      <c r="B52" s="46">
        <v>61320</v>
      </c>
      <c r="C52" s="571"/>
      <c r="D52" s="408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408" t="s">
        <v>489</v>
      </c>
      <c r="E53" s="271">
        <v>23</v>
      </c>
      <c r="F53" s="271">
        <v>1</v>
      </c>
      <c r="G53" s="271">
        <v>24</v>
      </c>
      <c r="H53" s="271">
        <v>3</v>
      </c>
      <c r="I53" s="271">
        <v>27</v>
      </c>
      <c r="J53" s="271"/>
      <c r="K53" s="277">
        <v>27</v>
      </c>
    </row>
    <row r="54" spans="1:12">
      <c r="A54" s="75">
        <v>44011</v>
      </c>
      <c r="B54" s="46">
        <v>44021</v>
      </c>
      <c r="C54" s="571"/>
      <c r="D54" s="408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408" t="s">
        <v>411</v>
      </c>
      <c r="E55" s="271">
        <v>2</v>
      </c>
      <c r="F55" s="271">
        <v>1</v>
      </c>
      <c r="G55" s="271">
        <v>3</v>
      </c>
      <c r="H55" s="271">
        <v>3</v>
      </c>
      <c r="I55" s="271">
        <v>6</v>
      </c>
      <c r="J55" s="271"/>
      <c r="K55" s="277">
        <v>6</v>
      </c>
    </row>
    <row r="56" spans="1:12">
      <c r="A56" s="75">
        <v>44511</v>
      </c>
      <c r="B56" s="46">
        <v>44521</v>
      </c>
      <c r="C56" s="571"/>
      <c r="D56" s="408" t="s">
        <v>433</v>
      </c>
      <c r="E56" s="271">
        <v>13</v>
      </c>
      <c r="F56" s="271">
        <v>1</v>
      </c>
      <c r="G56" s="271">
        <v>14</v>
      </c>
      <c r="H56" s="271">
        <v>5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408" t="s">
        <v>449</v>
      </c>
      <c r="E57" s="271">
        <v>12</v>
      </c>
      <c r="F57" s="271">
        <v>3</v>
      </c>
      <c r="G57" s="271">
        <v>15</v>
      </c>
      <c r="H57" s="271">
        <v>2</v>
      </c>
      <c r="I57" s="271">
        <v>17</v>
      </c>
      <c r="J57" s="271"/>
      <c r="K57" s="277">
        <v>17</v>
      </c>
    </row>
    <row r="58" spans="1:12">
      <c r="A58" s="75">
        <v>44200</v>
      </c>
      <c r="B58" s="46">
        <v>44220</v>
      </c>
      <c r="C58" s="278"/>
      <c r="D58" s="408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32</v>
      </c>
      <c r="F59" s="273">
        <v>2</v>
      </c>
      <c r="G59" s="273">
        <v>34</v>
      </c>
      <c r="H59" s="273">
        <v>8</v>
      </c>
      <c r="I59" s="273">
        <v>42</v>
      </c>
      <c r="J59" s="273">
        <v>0</v>
      </c>
      <c r="K59" s="281">
        <v>42</v>
      </c>
      <c r="L59" s="94"/>
    </row>
    <row r="60" spans="1:12">
      <c r="A60" s="75">
        <v>20000</v>
      </c>
      <c r="B60" s="46">
        <v>20020</v>
      </c>
      <c r="C60" s="586" t="s">
        <v>625</v>
      </c>
      <c r="D60" s="408" t="s">
        <v>381</v>
      </c>
      <c r="E60" s="271">
        <v>2</v>
      </c>
      <c r="F60" s="271">
        <v>0</v>
      </c>
      <c r="G60" s="271">
        <v>2</v>
      </c>
      <c r="H60" s="271">
        <v>1</v>
      </c>
      <c r="I60" s="271">
        <v>3</v>
      </c>
      <c r="J60" s="271"/>
      <c r="K60" s="277">
        <v>3</v>
      </c>
    </row>
    <row r="61" spans="1:12">
      <c r="A61" s="75">
        <v>21000</v>
      </c>
      <c r="B61" s="46">
        <v>21020</v>
      </c>
      <c r="C61" s="575"/>
      <c r="D61" s="408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408" t="s">
        <v>389</v>
      </c>
      <c r="E62" s="271">
        <v>7</v>
      </c>
      <c r="F62" s="271">
        <v>0</v>
      </c>
      <c r="G62" s="271">
        <v>7</v>
      </c>
      <c r="H62" s="271">
        <v>2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408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409" t="s">
        <v>626</v>
      </c>
      <c r="D64" s="408" t="s">
        <v>114</v>
      </c>
      <c r="E64" s="271">
        <v>4</v>
      </c>
      <c r="F64" s="271">
        <v>2</v>
      </c>
      <c r="G64" s="271">
        <v>6</v>
      </c>
      <c r="H64" s="271">
        <v>2</v>
      </c>
      <c r="I64" s="271">
        <v>8</v>
      </c>
      <c r="J64" s="271"/>
      <c r="K64" s="277">
        <v>8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12</v>
      </c>
      <c r="F65" s="273">
        <v>10</v>
      </c>
      <c r="G65" s="273">
        <v>22</v>
      </c>
      <c r="H65" s="273">
        <v>2</v>
      </c>
      <c r="I65" s="273">
        <v>24</v>
      </c>
      <c r="J65" s="273">
        <v>0</v>
      </c>
      <c r="K65" s="281">
        <v>24</v>
      </c>
      <c r="L65" s="94"/>
    </row>
    <row r="66" spans="1:12">
      <c r="A66" s="76"/>
      <c r="B66" s="56"/>
      <c r="C66" s="586" t="s">
        <v>643</v>
      </c>
      <c r="D66" s="408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1</v>
      </c>
      <c r="G67" s="271">
        <v>3</v>
      </c>
      <c r="H67" s="271">
        <v>1</v>
      </c>
      <c r="I67" s="271">
        <v>4</v>
      </c>
      <c r="J67" s="271"/>
      <c r="K67" s="277">
        <v>4</v>
      </c>
    </row>
    <row r="68" spans="1:12">
      <c r="A68" s="75">
        <v>31000</v>
      </c>
      <c r="B68" s="46">
        <v>31020</v>
      </c>
      <c r="C68" s="576"/>
      <c r="D68" s="408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408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408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47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5</v>
      </c>
      <c r="I73" s="273">
        <v>47</v>
      </c>
      <c r="J73" s="273">
        <v>0</v>
      </c>
      <c r="K73" s="281">
        <v>47</v>
      </c>
      <c r="L73" s="37"/>
    </row>
    <row r="74" spans="1:12">
      <c r="B74" s="56"/>
      <c r="C74" s="586" t="s">
        <v>643</v>
      </c>
      <c r="D74" s="408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408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575"/>
      <c r="D76" s="408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408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408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408" t="s">
        <v>158</v>
      </c>
      <c r="E79" s="271">
        <v>4</v>
      </c>
      <c r="F79" s="271">
        <v>1</v>
      </c>
      <c r="G79" s="271">
        <v>5</v>
      </c>
      <c r="H79" s="271">
        <v>2</v>
      </c>
      <c r="I79" s="271">
        <v>7</v>
      </c>
      <c r="J79" s="271"/>
      <c r="K79" s="277">
        <v>7</v>
      </c>
    </row>
    <row r="80" spans="1:12" ht="18.600000000000001" thickBot="1">
      <c r="C80" s="597" t="s">
        <v>642</v>
      </c>
      <c r="D80" s="598"/>
      <c r="E80" s="282">
        <v>390</v>
      </c>
      <c r="F80" s="282">
        <v>53</v>
      </c>
      <c r="G80" s="282">
        <v>443</v>
      </c>
      <c r="H80" s="282">
        <v>93</v>
      </c>
      <c r="I80" s="282">
        <v>536</v>
      </c>
      <c r="J80" s="282">
        <v>0</v>
      </c>
      <c r="K80" s="283">
        <v>536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405" t="s">
        <v>69</v>
      </c>
      <c r="F83" s="405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407" t="s">
        <v>1636</v>
      </c>
      <c r="L87" s="264" t="s">
        <v>853</v>
      </c>
      <c r="M87" s="264" t="s">
        <v>858</v>
      </c>
    </row>
    <row r="88" spans="3:16">
      <c r="D88" s="407" t="s">
        <v>1637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D89" s="407" t="s">
        <v>1638</v>
      </c>
      <c r="M89" s="264" t="s">
        <v>1660</v>
      </c>
    </row>
  </sheetData>
  <mergeCells count="48"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8"/>
  <sheetViews>
    <sheetView topLeftCell="A74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400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99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99"/>
      <c r="C5" s="576"/>
      <c r="D5" s="577"/>
      <c r="E5" s="402" t="s">
        <v>69</v>
      </c>
      <c r="F5" s="402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99">
        <v>202</v>
      </c>
      <c r="C6" s="401"/>
      <c r="D6" s="402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99">
        <v>211</v>
      </c>
      <c r="C7" s="401"/>
      <c r="D7" s="402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12</v>
      </c>
    </row>
    <row r="9" spans="1:11">
      <c r="A9" s="75">
        <v>11000</v>
      </c>
      <c r="B9" s="46">
        <v>11020</v>
      </c>
      <c r="C9" s="278"/>
      <c r="D9" s="402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402" t="s">
        <v>644</v>
      </c>
      <c r="E10" s="271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402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402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402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402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402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402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403" t="s">
        <v>647</v>
      </c>
      <c r="D21" s="402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50</v>
      </c>
    </row>
    <row r="23" spans="1:15">
      <c r="A23" s="75">
        <v>42111</v>
      </c>
      <c r="B23" s="46">
        <v>42121</v>
      </c>
      <c r="C23" s="278"/>
      <c r="D23" s="402" t="s">
        <v>172</v>
      </c>
      <c r="E23" s="271">
        <v>38</v>
      </c>
      <c r="F23" s="271">
        <v>3</v>
      </c>
      <c r="G23" s="271">
        <v>41</v>
      </c>
      <c r="H23" s="271">
        <v>9</v>
      </c>
      <c r="I23" s="271">
        <v>50</v>
      </c>
      <c r="J23" s="271"/>
      <c r="K23" s="277">
        <v>50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368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120</v>
      </c>
      <c r="F25" s="273">
        <v>10</v>
      </c>
      <c r="G25" s="273">
        <v>130</v>
      </c>
      <c r="H25" s="273">
        <v>37</v>
      </c>
      <c r="I25" s="273">
        <v>167</v>
      </c>
      <c r="J25" s="273">
        <v>0</v>
      </c>
      <c r="K25" s="281">
        <v>167</v>
      </c>
      <c r="L25" s="94"/>
    </row>
    <row r="26" spans="1:15">
      <c r="A26" s="75">
        <v>42011</v>
      </c>
      <c r="B26" s="46">
        <v>42021</v>
      </c>
      <c r="C26" s="586"/>
      <c r="D26" s="402" t="s">
        <v>280</v>
      </c>
      <c r="E26" s="271">
        <v>8</v>
      </c>
      <c r="F26" s="271">
        <v>0</v>
      </c>
      <c r="G26" s="271">
        <v>8</v>
      </c>
      <c r="H26" s="271">
        <v>4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402" t="s">
        <v>349</v>
      </c>
      <c r="E27" s="271">
        <v>17</v>
      </c>
      <c r="F27" s="271">
        <v>0</v>
      </c>
      <c r="G27" s="271">
        <v>17</v>
      </c>
      <c r="H27" s="271">
        <v>3</v>
      </c>
      <c r="I27" s="271">
        <v>20</v>
      </c>
      <c r="J27" s="285"/>
      <c r="K27" s="277">
        <v>20</v>
      </c>
    </row>
    <row r="28" spans="1:15">
      <c r="A28" s="75">
        <v>43211</v>
      </c>
      <c r="B28" s="46">
        <v>43221</v>
      </c>
      <c r="C28" s="576"/>
      <c r="D28" s="402" t="s">
        <v>258</v>
      </c>
      <c r="E28" s="271">
        <v>20</v>
      </c>
      <c r="F28" s="271">
        <v>0</v>
      </c>
      <c r="G28" s="271">
        <v>20</v>
      </c>
      <c r="H28" s="271">
        <v>4</v>
      </c>
      <c r="I28" s="271">
        <v>24</v>
      </c>
      <c r="J28" s="285"/>
      <c r="K28" s="277">
        <v>24</v>
      </c>
    </row>
    <row r="29" spans="1:15">
      <c r="A29" s="75">
        <v>43311</v>
      </c>
      <c r="B29" s="46">
        <v>43321</v>
      </c>
      <c r="C29" s="571"/>
      <c r="D29" s="402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402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402"/>
      <c r="E31" s="271"/>
      <c r="F31" s="271"/>
      <c r="G31" s="271"/>
      <c r="H31" s="271"/>
      <c r="I31" s="271"/>
      <c r="J31" s="285"/>
      <c r="K31" s="277"/>
      <c r="L31" s="404"/>
      <c r="M31" s="404"/>
      <c r="N31" s="404"/>
      <c r="O31" s="404"/>
    </row>
    <row r="32" spans="1:15">
      <c r="A32" s="75">
        <v>40400</v>
      </c>
      <c r="B32" s="46">
        <v>40420</v>
      </c>
      <c r="C32" s="571"/>
      <c r="D32" s="402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34000</v>
      </c>
      <c r="B33" s="46">
        <v>34020</v>
      </c>
      <c r="C33" s="571"/>
      <c r="D33" s="402" t="s">
        <v>290</v>
      </c>
      <c r="E33" s="271">
        <v>11</v>
      </c>
      <c r="F33" s="271">
        <v>0</v>
      </c>
      <c r="G33" s="271">
        <v>11</v>
      </c>
      <c r="H33" s="271">
        <v>1</v>
      </c>
      <c r="I33" s="271">
        <v>12</v>
      </c>
      <c r="J33" s="285"/>
      <c r="K33" s="277">
        <v>12</v>
      </c>
    </row>
    <row r="34" spans="1:14">
      <c r="A34" s="76">
        <v>40000</v>
      </c>
      <c r="B34" s="56">
        <v>40020</v>
      </c>
      <c r="C34" s="571"/>
      <c r="D34" s="402" t="s">
        <v>674</v>
      </c>
      <c r="E34" s="271">
        <v>5</v>
      </c>
      <c r="F34" s="271">
        <v>0</v>
      </c>
      <c r="G34" s="271">
        <v>5</v>
      </c>
      <c r="H34" s="271">
        <v>0</v>
      </c>
      <c r="I34" s="271">
        <v>5</v>
      </c>
      <c r="J34" s="285"/>
      <c r="K34" s="277">
        <v>5</v>
      </c>
    </row>
    <row r="35" spans="1:14">
      <c r="A35" s="75">
        <v>67211</v>
      </c>
      <c r="B35" s="46">
        <v>67221</v>
      </c>
      <c r="C35" s="571"/>
      <c r="D35" s="402" t="s">
        <v>364</v>
      </c>
      <c r="E35" s="271">
        <v>8</v>
      </c>
      <c r="F35" s="271">
        <v>6</v>
      </c>
      <c r="G35" s="271">
        <v>14</v>
      </c>
      <c r="H35" s="271">
        <v>7</v>
      </c>
      <c r="I35" s="271">
        <v>21</v>
      </c>
      <c r="J35" s="285"/>
      <c r="K35" s="277">
        <v>21</v>
      </c>
      <c r="L35" s="264">
        <v>2</v>
      </c>
    </row>
    <row r="36" spans="1:14">
      <c r="A36" s="75">
        <v>68011</v>
      </c>
      <c r="B36" s="46">
        <v>68021</v>
      </c>
      <c r="C36" s="571"/>
      <c r="D36" s="402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402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402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401"/>
      <c r="D39" s="402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402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100</v>
      </c>
      <c r="F41" s="273">
        <v>10</v>
      </c>
      <c r="G41" s="273">
        <v>110</v>
      </c>
      <c r="H41" s="273">
        <v>26</v>
      </c>
      <c r="I41" s="273">
        <v>136</v>
      </c>
      <c r="J41" s="273">
        <v>0</v>
      </c>
      <c r="K41" s="281">
        <v>136</v>
      </c>
    </row>
    <row r="42" spans="1:14">
      <c r="A42" s="75">
        <v>64211</v>
      </c>
      <c r="B42" s="46">
        <v>64221</v>
      </c>
      <c r="C42" s="586"/>
      <c r="D42" s="402" t="s">
        <v>476</v>
      </c>
      <c r="E42" s="271">
        <v>7</v>
      </c>
      <c r="F42" s="271">
        <v>0</v>
      </c>
      <c r="G42" s="271">
        <v>7</v>
      </c>
      <c r="H42" s="271">
        <v>3</v>
      </c>
      <c r="I42" s="271">
        <v>10</v>
      </c>
      <c r="J42" s="271"/>
      <c r="K42" s="277">
        <v>10</v>
      </c>
    </row>
    <row r="43" spans="1:14">
      <c r="A43" s="75">
        <v>67011</v>
      </c>
      <c r="B43" s="46">
        <v>67021</v>
      </c>
      <c r="C43" s="575"/>
      <c r="D43" s="402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402" t="s">
        <v>508</v>
      </c>
      <c r="E44" s="271">
        <v>2</v>
      </c>
      <c r="F44" s="271">
        <v>0</v>
      </c>
      <c r="G44" s="291">
        <v>2</v>
      </c>
      <c r="H44" s="271">
        <v>2</v>
      </c>
      <c r="I44" s="271">
        <v>4</v>
      </c>
      <c r="J44" s="271"/>
      <c r="K44" s="277">
        <v>4</v>
      </c>
    </row>
    <row r="45" spans="1:14">
      <c r="A45" s="75">
        <v>64311</v>
      </c>
      <c r="B45" s="46">
        <v>64321</v>
      </c>
      <c r="C45" s="576"/>
      <c r="D45" s="402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402" t="s">
        <v>416</v>
      </c>
      <c r="E46" s="271">
        <v>7</v>
      </c>
      <c r="F46" s="271">
        <v>0</v>
      </c>
      <c r="G46" s="271">
        <v>7</v>
      </c>
      <c r="H46" s="271">
        <v>4</v>
      </c>
      <c r="I46" s="271">
        <v>11</v>
      </c>
      <c r="J46" s="271"/>
      <c r="K46" s="277"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402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402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402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402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402" t="s">
        <v>485</v>
      </c>
      <c r="E51" s="271">
        <v>3</v>
      </c>
      <c r="F51" s="271">
        <v>1</v>
      </c>
      <c r="G51" s="271">
        <v>4</v>
      </c>
      <c r="H51" s="271">
        <v>1</v>
      </c>
      <c r="I51" s="271">
        <v>5</v>
      </c>
      <c r="J51" s="271"/>
      <c r="K51" s="277">
        <v>5</v>
      </c>
    </row>
    <row r="52" spans="1:12">
      <c r="A52" s="75">
        <v>61300</v>
      </c>
      <c r="B52" s="46">
        <v>61320</v>
      </c>
      <c r="C52" s="571"/>
      <c r="D52" s="402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402" t="s">
        <v>489</v>
      </c>
      <c r="E53" s="271">
        <v>22</v>
      </c>
      <c r="F53" s="271">
        <v>1</v>
      </c>
      <c r="G53" s="271">
        <v>23</v>
      </c>
      <c r="H53" s="271">
        <v>2</v>
      </c>
      <c r="I53" s="271">
        <v>25</v>
      </c>
      <c r="J53" s="271"/>
      <c r="K53" s="277">
        <v>25</v>
      </c>
    </row>
    <row r="54" spans="1:12">
      <c r="A54" s="75">
        <v>44011</v>
      </c>
      <c r="B54" s="46">
        <v>44021</v>
      </c>
      <c r="C54" s="571"/>
      <c r="D54" s="402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402" t="s">
        <v>411</v>
      </c>
      <c r="E55" s="271">
        <v>2</v>
      </c>
      <c r="F55" s="271">
        <v>1</v>
      </c>
      <c r="G55" s="271">
        <v>3</v>
      </c>
      <c r="H55" s="271">
        <v>3</v>
      </c>
      <c r="I55" s="271">
        <v>6</v>
      </c>
      <c r="J55" s="271"/>
      <c r="K55" s="277">
        <v>6</v>
      </c>
    </row>
    <row r="56" spans="1:12">
      <c r="A56" s="75">
        <v>44511</v>
      </c>
      <c r="B56" s="46">
        <v>44521</v>
      </c>
      <c r="C56" s="571"/>
      <c r="D56" s="402" t="s">
        <v>433</v>
      </c>
      <c r="E56" s="271">
        <v>13</v>
      </c>
      <c r="F56" s="271">
        <v>1</v>
      </c>
      <c r="G56" s="271">
        <v>14</v>
      </c>
      <c r="H56" s="271">
        <v>5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402" t="s">
        <v>449</v>
      </c>
      <c r="E57" s="271">
        <v>11</v>
      </c>
      <c r="F57" s="271">
        <v>3</v>
      </c>
      <c r="G57" s="271">
        <v>14</v>
      </c>
      <c r="H57" s="271">
        <v>2</v>
      </c>
      <c r="I57" s="271">
        <v>16</v>
      </c>
      <c r="J57" s="271"/>
      <c r="K57" s="277">
        <v>16</v>
      </c>
    </row>
    <row r="58" spans="1:12">
      <c r="A58" s="75">
        <v>44200</v>
      </c>
      <c r="B58" s="46">
        <v>44220</v>
      </c>
      <c r="C58" s="278"/>
      <c r="D58" s="402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31</v>
      </c>
      <c r="F59" s="273">
        <v>2</v>
      </c>
      <c r="G59" s="273">
        <v>33</v>
      </c>
      <c r="H59" s="273">
        <v>9</v>
      </c>
      <c r="I59" s="273">
        <v>42</v>
      </c>
      <c r="J59" s="273">
        <v>0</v>
      </c>
      <c r="K59" s="281">
        <v>42</v>
      </c>
      <c r="L59" s="94"/>
    </row>
    <row r="60" spans="1:12">
      <c r="A60" s="75">
        <v>20000</v>
      </c>
      <c r="B60" s="46">
        <v>20020</v>
      </c>
      <c r="C60" s="586" t="s">
        <v>625</v>
      </c>
      <c r="D60" s="402" t="s">
        <v>381</v>
      </c>
      <c r="E60" s="271">
        <v>2</v>
      </c>
      <c r="F60" s="271">
        <v>0</v>
      </c>
      <c r="G60" s="271">
        <v>2</v>
      </c>
      <c r="H60" s="271">
        <v>1</v>
      </c>
      <c r="I60" s="271">
        <v>3</v>
      </c>
      <c r="J60" s="271"/>
      <c r="K60" s="277">
        <v>3</v>
      </c>
    </row>
    <row r="61" spans="1:12">
      <c r="A61" s="75">
        <v>21000</v>
      </c>
      <c r="B61" s="46">
        <v>21020</v>
      </c>
      <c r="C61" s="575"/>
      <c r="D61" s="402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402" t="s">
        <v>389</v>
      </c>
      <c r="E62" s="271">
        <v>6</v>
      </c>
      <c r="F62" s="271">
        <v>0</v>
      </c>
      <c r="G62" s="271">
        <v>6</v>
      </c>
      <c r="H62" s="271">
        <v>3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402" t="s">
        <v>396</v>
      </c>
      <c r="E63" s="271">
        <v>15</v>
      </c>
      <c r="F63" s="271">
        <v>0</v>
      </c>
      <c r="G63" s="271">
        <v>15</v>
      </c>
      <c r="H63" s="271">
        <v>1</v>
      </c>
      <c r="I63" s="271">
        <v>16</v>
      </c>
      <c r="J63" s="271"/>
      <c r="K63" s="277">
        <v>16</v>
      </c>
    </row>
    <row r="64" spans="1:12">
      <c r="A64" s="75">
        <v>60100</v>
      </c>
      <c r="B64" s="46">
        <v>60120</v>
      </c>
      <c r="C64" s="401" t="s">
        <v>626</v>
      </c>
      <c r="D64" s="402" t="s">
        <v>114</v>
      </c>
      <c r="E64" s="271">
        <v>4</v>
      </c>
      <c r="F64" s="271">
        <v>2</v>
      </c>
      <c r="G64" s="271">
        <v>6</v>
      </c>
      <c r="H64" s="271">
        <v>2</v>
      </c>
      <c r="I64" s="271">
        <v>8</v>
      </c>
      <c r="J64" s="271"/>
      <c r="K64" s="277">
        <v>8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12</v>
      </c>
      <c r="F65" s="273">
        <v>10</v>
      </c>
      <c r="G65" s="273">
        <v>22</v>
      </c>
      <c r="H65" s="273">
        <v>1</v>
      </c>
      <c r="I65" s="273">
        <v>23</v>
      </c>
      <c r="J65" s="273">
        <v>0</v>
      </c>
      <c r="K65" s="281">
        <v>23</v>
      </c>
      <c r="L65" s="94"/>
    </row>
    <row r="66" spans="1:12">
      <c r="A66" s="76"/>
      <c r="B66" s="56"/>
      <c r="C66" s="586" t="s">
        <v>643</v>
      </c>
      <c r="D66" s="402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1</v>
      </c>
      <c r="G67" s="271">
        <v>3</v>
      </c>
      <c r="H67" s="271">
        <v>0</v>
      </c>
      <c r="I67" s="271">
        <v>3</v>
      </c>
      <c r="J67" s="271"/>
      <c r="K67" s="277">
        <v>3</v>
      </c>
    </row>
    <row r="68" spans="1:12">
      <c r="A68" s="75">
        <v>31000</v>
      </c>
      <c r="B68" s="46">
        <v>31020</v>
      </c>
      <c r="C68" s="576"/>
      <c r="D68" s="402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402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402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47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5</v>
      </c>
      <c r="I73" s="273">
        <v>47</v>
      </c>
      <c r="J73" s="273">
        <v>0</v>
      </c>
      <c r="K73" s="281">
        <v>47</v>
      </c>
      <c r="L73" s="37"/>
    </row>
    <row r="74" spans="1:12">
      <c r="B74" s="56"/>
      <c r="C74" s="586" t="s">
        <v>643</v>
      </c>
      <c r="D74" s="402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402" t="s">
        <v>72</v>
      </c>
      <c r="E75" s="271">
        <v>8</v>
      </c>
      <c r="F75" s="271">
        <v>1</v>
      </c>
      <c r="G75" s="271">
        <v>9</v>
      </c>
      <c r="H75" s="271">
        <v>0</v>
      </c>
      <c r="I75" s="271">
        <v>9</v>
      </c>
      <c r="J75" s="271"/>
      <c r="K75" s="277">
        <v>9</v>
      </c>
    </row>
    <row r="76" spans="1:12">
      <c r="C76" s="575"/>
      <c r="D76" s="402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402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402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402" t="s">
        <v>158</v>
      </c>
      <c r="E79" s="271">
        <v>4</v>
      </c>
      <c r="F79" s="271">
        <v>1</v>
      </c>
      <c r="G79" s="271">
        <v>5</v>
      </c>
      <c r="H79" s="271">
        <v>2</v>
      </c>
      <c r="I79" s="271">
        <v>7</v>
      </c>
      <c r="J79" s="271"/>
      <c r="K79" s="277">
        <v>7</v>
      </c>
    </row>
    <row r="80" spans="1:12" ht="18.600000000000001" thickBot="1">
      <c r="C80" s="597" t="s">
        <v>642</v>
      </c>
      <c r="D80" s="598"/>
      <c r="E80" s="282">
        <v>379</v>
      </c>
      <c r="F80" s="282">
        <v>52</v>
      </c>
      <c r="G80" s="282">
        <v>431</v>
      </c>
      <c r="H80" s="282">
        <v>91</v>
      </c>
      <c r="I80" s="282">
        <v>522</v>
      </c>
      <c r="J80" s="282">
        <v>0</v>
      </c>
      <c r="K80" s="283">
        <v>522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398" t="s">
        <v>69</v>
      </c>
      <c r="F83" s="398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400" t="s">
        <v>1630</v>
      </c>
      <c r="L87" s="264" t="s">
        <v>853</v>
      </c>
      <c r="M87" s="264" t="s">
        <v>858</v>
      </c>
    </row>
    <row r="88" spans="3:16">
      <c r="D88" s="400" t="s">
        <v>1635</v>
      </c>
      <c r="L88" s="264" t="s">
        <v>854</v>
      </c>
      <c r="M88" s="264" t="s">
        <v>855</v>
      </c>
      <c r="N88" s="264" t="s">
        <v>856</v>
      </c>
      <c r="O88" s="264" t="s">
        <v>857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90"/>
  <sheetViews>
    <sheetView topLeftCell="A7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93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9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92"/>
      <c r="C5" s="576"/>
      <c r="D5" s="577"/>
      <c r="E5" s="394" t="s">
        <v>69</v>
      </c>
      <c r="F5" s="394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92">
        <v>202</v>
      </c>
      <c r="C6" s="395"/>
      <c r="D6" s="394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92">
        <v>211</v>
      </c>
      <c r="C7" s="395"/>
      <c r="D7" s="394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13</v>
      </c>
    </row>
    <row r="9" spans="1:11">
      <c r="A9" s="75">
        <v>11000</v>
      </c>
      <c r="B9" s="46">
        <v>11020</v>
      </c>
      <c r="C9" s="278"/>
      <c r="D9" s="394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394" t="s">
        <v>644</v>
      </c>
      <c r="E10" s="271">
        <v>1</v>
      </c>
      <c r="F10" s="271">
        <v>0</v>
      </c>
      <c r="G10" s="271">
        <v>1</v>
      </c>
      <c r="H10" s="271">
        <v>0</v>
      </c>
      <c r="I10" s="271">
        <v>1</v>
      </c>
      <c r="J10" s="271"/>
      <c r="K10" s="277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94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94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94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94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394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94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397" t="s">
        <v>647</v>
      </c>
      <c r="D21" s="394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51</v>
      </c>
    </row>
    <row r="23" spans="1:15">
      <c r="A23" s="75">
        <v>42111</v>
      </c>
      <c r="B23" s="46">
        <v>42121</v>
      </c>
      <c r="C23" s="278"/>
      <c r="D23" s="394" t="s">
        <v>172</v>
      </c>
      <c r="E23" s="271">
        <v>38</v>
      </c>
      <c r="F23" s="271">
        <v>3</v>
      </c>
      <c r="G23" s="271">
        <v>41</v>
      </c>
      <c r="H23" s="271">
        <v>10</v>
      </c>
      <c r="I23" s="271">
        <v>51</v>
      </c>
      <c r="J23" s="271"/>
      <c r="K23" s="277"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119</v>
      </c>
      <c r="F25" s="273">
        <v>10</v>
      </c>
      <c r="G25" s="273">
        <v>129</v>
      </c>
      <c r="H25" s="273">
        <v>36</v>
      </c>
      <c r="I25" s="273">
        <v>165</v>
      </c>
      <c r="J25" s="273">
        <v>0</v>
      </c>
      <c r="K25" s="281">
        <v>165</v>
      </c>
      <c r="L25" s="94"/>
    </row>
    <row r="26" spans="1:15">
      <c r="A26" s="75">
        <v>42011</v>
      </c>
      <c r="B26" s="46">
        <v>42021</v>
      </c>
      <c r="C26" s="586"/>
      <c r="D26" s="394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94" t="s">
        <v>349</v>
      </c>
      <c r="E27" s="271">
        <v>17</v>
      </c>
      <c r="F27" s="271">
        <v>0</v>
      </c>
      <c r="G27" s="271">
        <v>17</v>
      </c>
      <c r="H27" s="271">
        <v>3</v>
      </c>
      <c r="I27" s="271">
        <v>20</v>
      </c>
      <c r="J27" s="285"/>
      <c r="K27" s="277">
        <v>20</v>
      </c>
    </row>
    <row r="28" spans="1:15">
      <c r="A28" s="75">
        <v>43211</v>
      </c>
      <c r="B28" s="46">
        <v>43221</v>
      </c>
      <c r="C28" s="576"/>
      <c r="D28" s="394" t="s">
        <v>258</v>
      </c>
      <c r="E28" s="271">
        <v>20</v>
      </c>
      <c r="F28" s="271">
        <v>0</v>
      </c>
      <c r="G28" s="271">
        <v>20</v>
      </c>
      <c r="H28" s="271">
        <v>4</v>
      </c>
      <c r="I28" s="271">
        <v>24</v>
      </c>
      <c r="J28" s="285"/>
      <c r="K28" s="277">
        <v>24</v>
      </c>
    </row>
    <row r="29" spans="1:15">
      <c r="A29" s="75">
        <v>43311</v>
      </c>
      <c r="B29" s="46">
        <v>43321</v>
      </c>
      <c r="C29" s="571"/>
      <c r="D29" s="394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94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94"/>
      <c r="E31" s="271"/>
      <c r="F31" s="271"/>
      <c r="G31" s="271"/>
      <c r="H31" s="271"/>
      <c r="I31" s="271"/>
      <c r="J31" s="285"/>
      <c r="K31" s="277"/>
      <c r="L31" s="396"/>
      <c r="M31" s="396"/>
      <c r="N31" s="396"/>
      <c r="O31" s="396"/>
    </row>
    <row r="32" spans="1:15">
      <c r="A32" s="75">
        <v>40400</v>
      </c>
      <c r="B32" s="46">
        <v>40420</v>
      </c>
      <c r="C32" s="571"/>
      <c r="D32" s="394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34000</v>
      </c>
      <c r="B33" s="46">
        <v>34020</v>
      </c>
      <c r="C33" s="571"/>
      <c r="D33" s="394" t="s">
        <v>290</v>
      </c>
      <c r="E33" s="271">
        <v>11</v>
      </c>
      <c r="F33" s="271">
        <v>0</v>
      </c>
      <c r="G33" s="271">
        <v>11</v>
      </c>
      <c r="H33" s="271">
        <v>1</v>
      </c>
      <c r="I33" s="271">
        <v>12</v>
      </c>
      <c r="J33" s="285"/>
      <c r="K33" s="277">
        <v>12</v>
      </c>
    </row>
    <row r="34" spans="1:14">
      <c r="A34" s="76">
        <v>40000</v>
      </c>
      <c r="B34" s="56">
        <v>40020</v>
      </c>
      <c r="C34" s="571"/>
      <c r="D34" s="394" t="s">
        <v>674</v>
      </c>
      <c r="E34" s="271">
        <v>5</v>
      </c>
      <c r="F34" s="271">
        <v>0</v>
      </c>
      <c r="G34" s="271">
        <v>5</v>
      </c>
      <c r="H34" s="271">
        <v>0</v>
      </c>
      <c r="I34" s="271">
        <v>5</v>
      </c>
      <c r="J34" s="285"/>
      <c r="K34" s="277">
        <v>5</v>
      </c>
    </row>
    <row r="35" spans="1:14">
      <c r="A35" s="75">
        <v>67211</v>
      </c>
      <c r="B35" s="46">
        <v>67221</v>
      </c>
      <c r="C35" s="571"/>
      <c r="D35" s="394" t="s">
        <v>364</v>
      </c>
      <c r="E35" s="271">
        <v>8</v>
      </c>
      <c r="F35" s="271">
        <v>6</v>
      </c>
      <c r="G35" s="271">
        <v>14</v>
      </c>
      <c r="H35" s="271">
        <v>7</v>
      </c>
      <c r="I35" s="271">
        <v>21</v>
      </c>
      <c r="J35" s="285"/>
      <c r="K35" s="277">
        <v>21</v>
      </c>
      <c r="L35" s="264">
        <v>2</v>
      </c>
    </row>
    <row r="36" spans="1:14">
      <c r="A36" s="75">
        <v>68011</v>
      </c>
      <c r="B36" s="46">
        <v>68021</v>
      </c>
      <c r="C36" s="571"/>
      <c r="D36" s="394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94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94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34000</v>
      </c>
      <c r="B39" s="46">
        <v>34020</v>
      </c>
      <c r="C39" s="395"/>
      <c r="D39" s="394" t="s">
        <v>1628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394" t="s">
        <v>1629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99</v>
      </c>
      <c r="F41" s="273">
        <v>10</v>
      </c>
      <c r="G41" s="273">
        <v>109</v>
      </c>
      <c r="H41" s="273">
        <v>26</v>
      </c>
      <c r="I41" s="273">
        <v>135</v>
      </c>
      <c r="J41" s="273">
        <v>0</v>
      </c>
      <c r="K41" s="281">
        <v>135</v>
      </c>
    </row>
    <row r="42" spans="1:14">
      <c r="A42" s="75">
        <v>64211</v>
      </c>
      <c r="B42" s="46">
        <v>64221</v>
      </c>
      <c r="C42" s="586"/>
      <c r="D42" s="394" t="s">
        <v>476</v>
      </c>
      <c r="E42" s="271">
        <v>7</v>
      </c>
      <c r="F42" s="271">
        <v>0</v>
      </c>
      <c r="G42" s="271">
        <v>7</v>
      </c>
      <c r="H42" s="271">
        <v>3</v>
      </c>
      <c r="I42" s="271">
        <v>10</v>
      </c>
      <c r="J42" s="271"/>
      <c r="K42" s="277">
        <v>10</v>
      </c>
    </row>
    <row r="43" spans="1:14">
      <c r="A43" s="75">
        <v>67011</v>
      </c>
      <c r="B43" s="46">
        <v>67021</v>
      </c>
      <c r="C43" s="575"/>
      <c r="D43" s="394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394" t="s">
        <v>508</v>
      </c>
      <c r="E44" s="271">
        <v>2</v>
      </c>
      <c r="F44" s="271">
        <v>0</v>
      </c>
      <c r="G44" s="291">
        <v>2</v>
      </c>
      <c r="H44" s="271">
        <v>2</v>
      </c>
      <c r="I44" s="271">
        <v>4</v>
      </c>
      <c r="J44" s="271"/>
      <c r="K44" s="277">
        <v>4</v>
      </c>
    </row>
    <row r="45" spans="1:14">
      <c r="A45" s="75">
        <v>64311</v>
      </c>
      <c r="B45" s="46">
        <v>64321</v>
      </c>
      <c r="C45" s="576"/>
      <c r="D45" s="394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/>
      <c r="D46" s="394" t="s">
        <v>416</v>
      </c>
      <c r="E46" s="271">
        <v>7</v>
      </c>
      <c r="F46" s="271">
        <v>0</v>
      </c>
      <c r="G46" s="271">
        <v>7</v>
      </c>
      <c r="H46" s="271">
        <v>4</v>
      </c>
      <c r="I46" s="271">
        <v>11</v>
      </c>
      <c r="J46" s="271"/>
      <c r="K46" s="277">
        <v>11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394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394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394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394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394" t="s">
        <v>485</v>
      </c>
      <c r="E51" s="271">
        <v>3</v>
      </c>
      <c r="F51" s="271">
        <v>1</v>
      </c>
      <c r="G51" s="271">
        <v>4</v>
      </c>
      <c r="H51" s="271">
        <v>1</v>
      </c>
      <c r="I51" s="271">
        <v>5</v>
      </c>
      <c r="J51" s="271"/>
      <c r="K51" s="277">
        <v>5</v>
      </c>
    </row>
    <row r="52" spans="1:12">
      <c r="A52" s="75">
        <v>61300</v>
      </c>
      <c r="B52" s="46">
        <v>61320</v>
      </c>
      <c r="C52" s="571"/>
      <c r="D52" s="394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/>
      <c r="D53" s="394" t="s">
        <v>489</v>
      </c>
      <c r="E53" s="271">
        <v>21</v>
      </c>
      <c r="F53" s="271">
        <v>1</v>
      </c>
      <c r="G53" s="271">
        <v>22</v>
      </c>
      <c r="H53" s="271">
        <v>2</v>
      </c>
      <c r="I53" s="271">
        <v>24</v>
      </c>
      <c r="J53" s="271"/>
      <c r="K53" s="277">
        <v>24</v>
      </c>
    </row>
    <row r="54" spans="1:12">
      <c r="A54" s="75">
        <v>44011</v>
      </c>
      <c r="B54" s="46">
        <v>44021</v>
      </c>
      <c r="C54" s="571"/>
      <c r="D54" s="394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394" t="s">
        <v>411</v>
      </c>
      <c r="E55" s="271">
        <v>2</v>
      </c>
      <c r="F55" s="271">
        <v>1</v>
      </c>
      <c r="G55" s="271">
        <v>3</v>
      </c>
      <c r="H55" s="271">
        <v>3</v>
      </c>
      <c r="I55" s="271">
        <v>6</v>
      </c>
      <c r="J55" s="271"/>
      <c r="K55" s="277">
        <v>6</v>
      </c>
    </row>
    <row r="56" spans="1:12">
      <c r="A56" s="75">
        <v>44511</v>
      </c>
      <c r="B56" s="46">
        <v>44521</v>
      </c>
      <c r="C56" s="571"/>
      <c r="D56" s="394" t="s">
        <v>433</v>
      </c>
      <c r="E56" s="271">
        <v>13</v>
      </c>
      <c r="F56" s="271">
        <v>1</v>
      </c>
      <c r="G56" s="271">
        <v>14</v>
      </c>
      <c r="H56" s="271">
        <v>5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394" t="s">
        <v>449</v>
      </c>
      <c r="E57" s="271">
        <v>11</v>
      </c>
      <c r="F57" s="271">
        <v>3</v>
      </c>
      <c r="G57" s="271">
        <v>14</v>
      </c>
      <c r="H57" s="271">
        <v>2</v>
      </c>
      <c r="I57" s="271">
        <v>16</v>
      </c>
      <c r="J57" s="271"/>
      <c r="K57" s="277">
        <v>16</v>
      </c>
    </row>
    <row r="58" spans="1:12">
      <c r="A58" s="75">
        <v>44200</v>
      </c>
      <c r="B58" s="46">
        <v>44220</v>
      </c>
      <c r="C58" s="278"/>
      <c r="D58" s="394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32</v>
      </c>
      <c r="F59" s="273">
        <v>2</v>
      </c>
      <c r="G59" s="273">
        <v>34</v>
      </c>
      <c r="H59" s="273">
        <v>9</v>
      </c>
      <c r="I59" s="273">
        <v>43</v>
      </c>
      <c r="J59" s="273">
        <v>0</v>
      </c>
      <c r="K59" s="281">
        <v>43</v>
      </c>
      <c r="L59" s="94"/>
    </row>
    <row r="60" spans="1:12">
      <c r="A60" s="75">
        <v>20000</v>
      </c>
      <c r="B60" s="46">
        <v>20020</v>
      </c>
      <c r="C60" s="586" t="s">
        <v>625</v>
      </c>
      <c r="D60" s="394" t="s">
        <v>381</v>
      </c>
      <c r="E60" s="271">
        <v>2</v>
      </c>
      <c r="F60" s="271">
        <v>0</v>
      </c>
      <c r="G60" s="271">
        <v>2</v>
      </c>
      <c r="H60" s="271">
        <v>1</v>
      </c>
      <c r="I60" s="271">
        <v>3</v>
      </c>
      <c r="J60" s="271"/>
      <c r="K60" s="277">
        <v>3</v>
      </c>
    </row>
    <row r="61" spans="1:12">
      <c r="A61" s="75">
        <v>21000</v>
      </c>
      <c r="B61" s="46">
        <v>21020</v>
      </c>
      <c r="C61" s="575"/>
      <c r="D61" s="394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394" t="s">
        <v>389</v>
      </c>
      <c r="E62" s="271">
        <v>6</v>
      </c>
      <c r="F62" s="271">
        <v>0</v>
      </c>
      <c r="G62" s="271">
        <v>6</v>
      </c>
      <c r="H62" s="271">
        <v>3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394" t="s">
        <v>396</v>
      </c>
      <c r="E63" s="271">
        <v>16</v>
      </c>
      <c r="F63" s="271">
        <v>0</v>
      </c>
      <c r="G63" s="271">
        <v>16</v>
      </c>
      <c r="H63" s="271">
        <v>1</v>
      </c>
      <c r="I63" s="271">
        <v>17</v>
      </c>
      <c r="J63" s="271"/>
      <c r="K63" s="277">
        <v>17</v>
      </c>
    </row>
    <row r="64" spans="1:12">
      <c r="A64" s="75">
        <v>60100</v>
      </c>
      <c r="B64" s="46">
        <v>60120</v>
      </c>
      <c r="C64" s="395" t="s">
        <v>626</v>
      </c>
      <c r="D64" s="394" t="s">
        <v>114</v>
      </c>
      <c r="E64" s="271">
        <v>4</v>
      </c>
      <c r="F64" s="271">
        <v>2</v>
      </c>
      <c r="G64" s="271">
        <v>6</v>
      </c>
      <c r="H64" s="271">
        <v>2</v>
      </c>
      <c r="I64" s="271">
        <v>8</v>
      </c>
      <c r="J64" s="271"/>
      <c r="K64" s="277">
        <v>8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12</v>
      </c>
      <c r="F65" s="273">
        <v>10</v>
      </c>
      <c r="G65" s="273">
        <v>22</v>
      </c>
      <c r="H65" s="273">
        <v>1</v>
      </c>
      <c r="I65" s="273">
        <v>23</v>
      </c>
      <c r="J65" s="273">
        <v>0</v>
      </c>
      <c r="K65" s="281">
        <v>23</v>
      </c>
      <c r="L65" s="94"/>
    </row>
    <row r="66" spans="1:12">
      <c r="A66" s="76"/>
      <c r="B66" s="56"/>
      <c r="C66" s="586" t="s">
        <v>643</v>
      </c>
      <c r="D66" s="394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1</v>
      </c>
      <c r="G67" s="271">
        <v>3</v>
      </c>
      <c r="H67" s="271">
        <v>0</v>
      </c>
      <c r="I67" s="271">
        <v>3</v>
      </c>
      <c r="J67" s="271"/>
      <c r="K67" s="277">
        <v>3</v>
      </c>
    </row>
    <row r="68" spans="1:12">
      <c r="A68" s="75">
        <v>31000</v>
      </c>
      <c r="B68" s="46">
        <v>31020</v>
      </c>
      <c r="C68" s="576"/>
      <c r="D68" s="394" t="s">
        <v>49</v>
      </c>
      <c r="E68" s="271">
        <v>4</v>
      </c>
      <c r="F68" s="271">
        <v>3</v>
      </c>
      <c r="G68" s="271">
        <v>7</v>
      </c>
      <c r="H68" s="271">
        <v>0</v>
      </c>
      <c r="I68" s="271">
        <v>7</v>
      </c>
      <c r="J68" s="271"/>
      <c r="K68" s="277">
        <v>7</v>
      </c>
    </row>
    <row r="69" spans="1:12">
      <c r="A69" s="75">
        <v>32000</v>
      </c>
      <c r="B69" s="46">
        <v>32020</v>
      </c>
      <c r="C69" s="586" t="s">
        <v>647</v>
      </c>
      <c r="D69" s="394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394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48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6</v>
      </c>
      <c r="I73" s="273">
        <v>48</v>
      </c>
      <c r="J73" s="273">
        <v>0</v>
      </c>
      <c r="K73" s="281">
        <v>48</v>
      </c>
      <c r="L73" s="37"/>
    </row>
    <row r="74" spans="1:12">
      <c r="B74" s="56"/>
      <c r="C74" s="586" t="s">
        <v>643</v>
      </c>
      <c r="D74" s="394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394" t="s">
        <v>72</v>
      </c>
      <c r="E75" s="271">
        <v>8</v>
      </c>
      <c r="F75" s="271">
        <v>1</v>
      </c>
      <c r="G75" s="271">
        <v>9</v>
      </c>
      <c r="H75" s="271">
        <v>1</v>
      </c>
      <c r="I75" s="271">
        <v>10</v>
      </c>
      <c r="J75" s="271"/>
      <c r="K75" s="277">
        <v>10</v>
      </c>
    </row>
    <row r="76" spans="1:12">
      <c r="C76" s="575"/>
      <c r="D76" s="394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394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394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394" t="s">
        <v>158</v>
      </c>
      <c r="E79" s="271">
        <v>4</v>
      </c>
      <c r="F79" s="271">
        <v>1</v>
      </c>
      <c r="G79" s="271">
        <v>5</v>
      </c>
      <c r="H79" s="271">
        <v>2</v>
      </c>
      <c r="I79" s="271">
        <v>7</v>
      </c>
      <c r="J79" s="271"/>
      <c r="K79" s="277">
        <v>7</v>
      </c>
    </row>
    <row r="80" spans="1:12" ht="18.600000000000001" thickBot="1">
      <c r="C80" s="597" t="s">
        <v>642</v>
      </c>
      <c r="D80" s="598"/>
      <c r="E80" s="282">
        <v>379</v>
      </c>
      <c r="F80" s="282">
        <v>52</v>
      </c>
      <c r="G80" s="282">
        <v>431</v>
      </c>
      <c r="H80" s="282">
        <v>92</v>
      </c>
      <c r="I80" s="282">
        <v>523</v>
      </c>
      <c r="J80" s="282">
        <v>0</v>
      </c>
      <c r="K80" s="283">
        <v>523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391" t="s">
        <v>69</v>
      </c>
      <c r="F83" s="391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393" t="s">
        <v>1621</v>
      </c>
      <c r="L87" s="264" t="s">
        <v>853</v>
      </c>
      <c r="M87" s="264" t="s">
        <v>858</v>
      </c>
    </row>
    <row r="88" spans="3:16">
      <c r="D88" s="393" t="s">
        <v>1622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D89" s="393" t="s">
        <v>1623</v>
      </c>
    </row>
    <row r="90" spans="3:16">
      <c r="D90" s="393" t="s">
        <v>1625</v>
      </c>
    </row>
  </sheetData>
  <mergeCells count="48"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D59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83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80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80"/>
      <c r="C5" s="576"/>
      <c r="D5" s="577"/>
      <c r="E5" s="381" t="s">
        <v>69</v>
      </c>
      <c r="F5" s="381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80">
        <v>202</v>
      </c>
      <c r="C6" s="379"/>
      <c r="D6" s="381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80">
        <v>211</v>
      </c>
      <c r="C7" s="379"/>
      <c r="D7" s="381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13</v>
      </c>
    </row>
    <row r="9" spans="1:11">
      <c r="A9" s="75">
        <v>11000</v>
      </c>
      <c r="B9" s="46">
        <v>11020</v>
      </c>
      <c r="C9" s="278"/>
      <c r="D9" s="381" t="s">
        <v>26</v>
      </c>
      <c r="E9" s="271">
        <v>7</v>
      </c>
      <c r="F9" s="271">
        <v>4</v>
      </c>
      <c r="G9" s="271">
        <v>11</v>
      </c>
      <c r="H9" s="271">
        <v>1</v>
      </c>
      <c r="I9" s="271">
        <v>12</v>
      </c>
      <c r="J9" s="271"/>
      <c r="K9" s="277">
        <v>12</v>
      </c>
    </row>
    <row r="10" spans="1:11">
      <c r="A10" s="75">
        <v>90000</v>
      </c>
      <c r="B10" s="46">
        <v>90020</v>
      </c>
      <c r="C10" s="278"/>
      <c r="D10" s="381" t="s">
        <v>644</v>
      </c>
      <c r="E10" s="285">
        <v>1</v>
      </c>
      <c r="F10" s="271">
        <v>0</v>
      </c>
      <c r="G10" s="271">
        <v>1</v>
      </c>
      <c r="H10" s="271">
        <v>0</v>
      </c>
      <c r="I10" s="271">
        <v>0</v>
      </c>
      <c r="J10" s="271"/>
      <c r="K10" s="277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81" t="s">
        <v>1612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81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81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81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20</v>
      </c>
    </row>
    <row r="19" spans="1:15">
      <c r="A19" s="75">
        <v>80000</v>
      </c>
      <c r="B19" s="46">
        <v>80020</v>
      </c>
      <c r="C19" s="586" t="s">
        <v>643</v>
      </c>
      <c r="D19" s="381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81" t="s">
        <v>124</v>
      </c>
      <c r="E20" s="271">
        <v>6</v>
      </c>
      <c r="F20" s="271">
        <v>0</v>
      </c>
      <c r="G20" s="271">
        <v>6</v>
      </c>
      <c r="H20" s="271">
        <v>0</v>
      </c>
      <c r="I20" s="271">
        <v>6</v>
      </c>
      <c r="J20" s="271"/>
      <c r="K20" s="277">
        <v>6</v>
      </c>
    </row>
    <row r="21" spans="1:15">
      <c r="A21" s="75">
        <v>43011</v>
      </c>
      <c r="B21" s="46">
        <v>43021</v>
      </c>
      <c r="C21" s="384" t="s">
        <v>647</v>
      </c>
      <c r="D21" s="381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52</v>
      </c>
    </row>
    <row r="23" spans="1:15">
      <c r="A23" s="75">
        <v>42111</v>
      </c>
      <c r="B23" s="46">
        <v>42121</v>
      </c>
      <c r="C23" s="278"/>
      <c r="D23" s="381" t="s">
        <v>172</v>
      </c>
      <c r="E23" s="271">
        <v>39</v>
      </c>
      <c r="F23" s="271">
        <v>3</v>
      </c>
      <c r="G23" s="271">
        <v>42</v>
      </c>
      <c r="H23" s="271">
        <v>10</v>
      </c>
      <c r="I23" s="271">
        <v>52</v>
      </c>
      <c r="J23" s="271"/>
      <c r="K23" s="277">
        <v>52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119</v>
      </c>
      <c r="F25" s="273">
        <v>10</v>
      </c>
      <c r="G25" s="273">
        <v>129</v>
      </c>
      <c r="H25" s="273">
        <v>36</v>
      </c>
      <c r="I25" s="273">
        <v>165</v>
      </c>
      <c r="J25" s="273">
        <v>0</v>
      </c>
      <c r="K25" s="281">
        <v>165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81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81" t="s">
        <v>349</v>
      </c>
      <c r="E27" s="271">
        <v>17</v>
      </c>
      <c r="F27" s="271">
        <v>0</v>
      </c>
      <c r="G27" s="271">
        <v>17</v>
      </c>
      <c r="H27" s="271">
        <v>3</v>
      </c>
      <c r="I27" s="271">
        <v>20</v>
      </c>
      <c r="J27" s="285"/>
      <c r="K27" s="277">
        <v>20</v>
      </c>
    </row>
    <row r="28" spans="1:15">
      <c r="A28" s="75">
        <v>43211</v>
      </c>
      <c r="B28" s="46">
        <v>43221</v>
      </c>
      <c r="C28" s="576"/>
      <c r="D28" s="381" t="s">
        <v>258</v>
      </c>
      <c r="E28" s="271">
        <v>20</v>
      </c>
      <c r="F28" s="271">
        <v>0</v>
      </c>
      <c r="G28" s="271">
        <v>20</v>
      </c>
      <c r="H28" s="271">
        <v>4</v>
      </c>
      <c r="I28" s="271">
        <v>24</v>
      </c>
      <c r="J28" s="285"/>
      <c r="K28" s="277">
        <v>24</v>
      </c>
    </row>
    <row r="29" spans="1:15">
      <c r="A29" s="75">
        <v>43311</v>
      </c>
      <c r="B29" s="46">
        <v>43321</v>
      </c>
      <c r="C29" s="571" t="s">
        <v>626</v>
      </c>
      <c r="D29" s="381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81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81"/>
      <c r="E31" s="271"/>
      <c r="F31" s="271"/>
      <c r="G31" s="271"/>
      <c r="H31" s="271"/>
      <c r="I31" s="271"/>
      <c r="J31" s="285"/>
      <c r="K31" s="277"/>
      <c r="L31" s="385"/>
      <c r="M31" s="385"/>
      <c r="N31" s="385"/>
      <c r="O31" s="385"/>
    </row>
    <row r="32" spans="1:15">
      <c r="A32" s="75">
        <v>40400</v>
      </c>
      <c r="B32" s="46">
        <v>40420</v>
      </c>
      <c r="C32" s="571"/>
      <c r="D32" s="381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40000</v>
      </c>
      <c r="B33" s="46">
        <v>40020</v>
      </c>
      <c r="C33" s="571"/>
      <c r="D33" s="381" t="s">
        <v>290</v>
      </c>
      <c r="E33" s="271">
        <v>11</v>
      </c>
      <c r="F33" s="271">
        <v>0</v>
      </c>
      <c r="G33" s="271">
        <v>11</v>
      </c>
      <c r="H33" s="271">
        <v>1</v>
      </c>
      <c r="I33" s="271">
        <v>12</v>
      </c>
      <c r="J33" s="285"/>
      <c r="K33" s="277">
        <v>12</v>
      </c>
    </row>
    <row r="34" spans="1:14">
      <c r="A34" s="76">
        <v>34000</v>
      </c>
      <c r="B34" s="56">
        <v>34020</v>
      </c>
      <c r="C34" s="571"/>
      <c r="D34" s="381" t="s">
        <v>674</v>
      </c>
      <c r="E34" s="271">
        <v>5</v>
      </c>
      <c r="F34" s="271">
        <v>0</v>
      </c>
      <c r="G34" s="271">
        <v>5</v>
      </c>
      <c r="H34" s="271">
        <v>0</v>
      </c>
      <c r="I34" s="271">
        <v>5</v>
      </c>
      <c r="J34" s="285"/>
      <c r="K34" s="277">
        <v>5</v>
      </c>
    </row>
    <row r="35" spans="1:14">
      <c r="A35" s="75">
        <v>67211</v>
      </c>
      <c r="B35" s="46">
        <v>67221</v>
      </c>
      <c r="C35" s="571" t="s">
        <v>627</v>
      </c>
      <c r="D35" s="381" t="s">
        <v>364</v>
      </c>
      <c r="E35" s="271">
        <v>8</v>
      </c>
      <c r="F35" s="271">
        <v>6</v>
      </c>
      <c r="G35" s="271">
        <v>14</v>
      </c>
      <c r="H35" s="271">
        <v>7</v>
      </c>
      <c r="I35" s="271">
        <v>21</v>
      </c>
      <c r="J35" s="285"/>
      <c r="K35" s="277">
        <v>21</v>
      </c>
      <c r="L35" s="264">
        <v>2</v>
      </c>
    </row>
    <row r="36" spans="1:14">
      <c r="A36" s="75">
        <v>68011</v>
      </c>
      <c r="B36" s="46">
        <v>68021</v>
      </c>
      <c r="C36" s="571"/>
      <c r="D36" s="381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81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81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/>
      <c r="C39" s="379"/>
      <c r="D39" s="381" t="s">
        <v>957</v>
      </c>
      <c r="E39" s="271">
        <v>1</v>
      </c>
      <c r="F39" s="271">
        <v>1</v>
      </c>
      <c r="G39" s="271">
        <v>2</v>
      </c>
      <c r="H39" s="271">
        <v>2</v>
      </c>
      <c r="I39" s="271">
        <v>4</v>
      </c>
      <c r="J39" s="285"/>
      <c r="K39" s="277">
        <v>4</v>
      </c>
    </row>
    <row r="40" spans="1:14">
      <c r="A40" s="75">
        <v>64011</v>
      </c>
      <c r="B40" s="46">
        <v>64021</v>
      </c>
      <c r="C40" s="278"/>
      <c r="D40" s="381" t="s">
        <v>87</v>
      </c>
      <c r="E40" s="271">
        <v>6</v>
      </c>
      <c r="F40" s="271">
        <v>1</v>
      </c>
      <c r="G40" s="271">
        <v>7</v>
      </c>
      <c r="H40" s="271">
        <v>0</v>
      </c>
      <c r="I40" s="271">
        <v>7</v>
      </c>
      <c r="J40" s="285"/>
      <c r="K40" s="277">
        <v>7</v>
      </c>
    </row>
    <row r="41" spans="1:14">
      <c r="A41" s="75">
        <v>64111</v>
      </c>
      <c r="B41" s="46">
        <v>64121</v>
      </c>
      <c r="C41" s="584" t="s">
        <v>619</v>
      </c>
      <c r="D41" s="585"/>
      <c r="E41" s="273">
        <v>98</v>
      </c>
      <c r="F41" s="273">
        <v>10</v>
      </c>
      <c r="G41" s="273">
        <v>108</v>
      </c>
      <c r="H41" s="273">
        <v>25</v>
      </c>
      <c r="I41" s="273">
        <v>133</v>
      </c>
      <c r="J41" s="273">
        <v>0</v>
      </c>
      <c r="K41" s="281">
        <v>133</v>
      </c>
    </row>
    <row r="42" spans="1:14">
      <c r="A42" s="75">
        <v>64211</v>
      </c>
      <c r="B42" s="46">
        <v>64221</v>
      </c>
      <c r="C42" s="586" t="s">
        <v>625</v>
      </c>
      <c r="D42" s="381" t="s">
        <v>476</v>
      </c>
      <c r="E42" s="271">
        <v>7</v>
      </c>
      <c r="F42" s="271">
        <v>0</v>
      </c>
      <c r="G42" s="271">
        <v>7</v>
      </c>
      <c r="H42" s="271">
        <v>3</v>
      </c>
      <c r="I42" s="271">
        <v>10</v>
      </c>
      <c r="J42" s="271"/>
      <c r="K42" s="277">
        <v>10</v>
      </c>
    </row>
    <row r="43" spans="1:14">
      <c r="A43" s="75">
        <v>67011</v>
      </c>
      <c r="B43" s="46">
        <v>67021</v>
      </c>
      <c r="C43" s="575"/>
      <c r="D43" s="381" t="s">
        <v>483</v>
      </c>
      <c r="E43" s="271">
        <v>2</v>
      </c>
      <c r="F43" s="271">
        <v>0</v>
      </c>
      <c r="G43" s="27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68111</v>
      </c>
      <c r="B44" s="46">
        <v>68121</v>
      </c>
      <c r="C44" s="575"/>
      <c r="D44" s="381" t="s">
        <v>508</v>
      </c>
      <c r="E44" s="271">
        <v>2</v>
      </c>
      <c r="F44" s="271">
        <v>0</v>
      </c>
      <c r="G44" s="291">
        <v>2</v>
      </c>
      <c r="H44" s="271">
        <v>1</v>
      </c>
      <c r="I44" s="271">
        <v>3</v>
      </c>
      <c r="J44" s="271"/>
      <c r="K44" s="277">
        <v>3</v>
      </c>
    </row>
    <row r="45" spans="1:14">
      <c r="A45" s="75">
        <v>64311</v>
      </c>
      <c r="B45" s="46">
        <v>64321</v>
      </c>
      <c r="C45" s="576"/>
      <c r="D45" s="381" t="s">
        <v>506</v>
      </c>
      <c r="E45" s="271">
        <v>1</v>
      </c>
      <c r="F45" s="271">
        <v>0</v>
      </c>
      <c r="G45" s="291">
        <v>1</v>
      </c>
      <c r="H45" s="271">
        <v>0</v>
      </c>
      <c r="I45" s="271">
        <v>1</v>
      </c>
      <c r="J45" s="271"/>
      <c r="K45" s="277">
        <v>1</v>
      </c>
    </row>
    <row r="46" spans="1:14">
      <c r="A46" s="75">
        <v>69011</v>
      </c>
      <c r="B46" s="46">
        <v>69021</v>
      </c>
      <c r="C46" s="571" t="s">
        <v>626</v>
      </c>
      <c r="D46" s="381" t="s">
        <v>416</v>
      </c>
      <c r="E46" s="271">
        <v>6</v>
      </c>
      <c r="F46" s="271">
        <v>0</v>
      </c>
      <c r="G46" s="271">
        <v>6</v>
      </c>
      <c r="H46" s="271">
        <v>4</v>
      </c>
      <c r="I46" s="271">
        <v>10</v>
      </c>
      <c r="J46" s="271"/>
      <c r="K46" s="277">
        <v>10</v>
      </c>
      <c r="L46" s="588" t="s">
        <v>659</v>
      </c>
      <c r="M46" s="570"/>
      <c r="N46" s="570"/>
    </row>
    <row r="47" spans="1:14">
      <c r="A47" s="75">
        <v>60300</v>
      </c>
      <c r="B47" s="46">
        <v>60320</v>
      </c>
      <c r="C47" s="571"/>
      <c r="D47" s="381" t="s">
        <v>422</v>
      </c>
      <c r="E47" s="271">
        <v>2</v>
      </c>
      <c r="F47" s="271">
        <v>1</v>
      </c>
      <c r="G47" s="271">
        <v>3</v>
      </c>
      <c r="H47" s="271">
        <v>0</v>
      </c>
      <c r="I47" s="271">
        <v>3</v>
      </c>
      <c r="J47" s="271"/>
      <c r="K47" s="277">
        <v>3</v>
      </c>
      <c r="L47" s="588"/>
      <c r="M47" s="570"/>
      <c r="N47" s="570"/>
    </row>
    <row r="48" spans="1:14">
      <c r="A48" s="75"/>
      <c r="C48" s="571"/>
      <c r="D48" s="381" t="s">
        <v>657</v>
      </c>
      <c r="E48" s="271"/>
      <c r="F48" s="271"/>
      <c r="G48" s="271"/>
      <c r="H48" s="271"/>
      <c r="I48" s="271"/>
      <c r="J48" s="271"/>
      <c r="K48" s="277"/>
    </row>
    <row r="49" spans="1:12">
      <c r="A49" s="75">
        <v>60411</v>
      </c>
      <c r="B49" s="46">
        <v>60421</v>
      </c>
      <c r="C49" s="571"/>
      <c r="D49" s="381" t="s">
        <v>429</v>
      </c>
      <c r="E49" s="271">
        <v>1</v>
      </c>
      <c r="F49" s="271">
        <v>0</v>
      </c>
      <c r="G49" s="271">
        <v>1</v>
      </c>
      <c r="H49" s="271">
        <v>0</v>
      </c>
      <c r="I49" s="271">
        <v>1</v>
      </c>
      <c r="J49" s="271"/>
      <c r="K49" s="277">
        <v>1</v>
      </c>
    </row>
    <row r="50" spans="1:12">
      <c r="A50" s="75">
        <v>65011</v>
      </c>
      <c r="B50" s="46">
        <v>65021</v>
      </c>
      <c r="C50" s="571"/>
      <c r="D50" s="381" t="s">
        <v>466</v>
      </c>
      <c r="E50" s="271">
        <v>11</v>
      </c>
      <c r="F50" s="271">
        <v>0</v>
      </c>
      <c r="G50" s="271">
        <v>11</v>
      </c>
      <c r="H50" s="271">
        <v>1</v>
      </c>
      <c r="I50" s="271">
        <v>12</v>
      </c>
      <c r="J50" s="271"/>
      <c r="K50" s="277">
        <v>12</v>
      </c>
    </row>
    <row r="51" spans="1:12">
      <c r="A51" s="75">
        <v>66011</v>
      </c>
      <c r="B51" s="46">
        <v>66021</v>
      </c>
      <c r="C51" s="571"/>
      <c r="D51" s="381" t="s">
        <v>485</v>
      </c>
      <c r="E51" s="271">
        <v>3</v>
      </c>
      <c r="F51" s="271">
        <v>1</v>
      </c>
      <c r="G51" s="271">
        <v>4</v>
      </c>
      <c r="H51" s="271">
        <v>1</v>
      </c>
      <c r="I51" s="271">
        <v>5</v>
      </c>
      <c r="J51" s="271"/>
      <c r="K51" s="277">
        <v>5</v>
      </c>
    </row>
    <row r="52" spans="1:12">
      <c r="A52" s="75">
        <v>61300</v>
      </c>
      <c r="B52" s="46">
        <v>61320</v>
      </c>
      <c r="C52" s="571"/>
      <c r="D52" s="381" t="s">
        <v>431</v>
      </c>
      <c r="E52" s="271">
        <v>1</v>
      </c>
      <c r="F52" s="271">
        <v>1</v>
      </c>
      <c r="G52" s="271">
        <v>2</v>
      </c>
      <c r="H52" s="271">
        <v>0</v>
      </c>
      <c r="I52" s="271">
        <v>2</v>
      </c>
      <c r="J52" s="271"/>
      <c r="K52" s="277">
        <v>2</v>
      </c>
    </row>
    <row r="53" spans="1:12">
      <c r="A53" s="76"/>
      <c r="B53" s="56"/>
      <c r="C53" s="571" t="s">
        <v>627</v>
      </c>
      <c r="D53" s="381" t="s">
        <v>489</v>
      </c>
      <c r="E53" s="271">
        <v>21</v>
      </c>
      <c r="F53" s="271">
        <v>1</v>
      </c>
      <c r="G53" s="271">
        <v>22</v>
      </c>
      <c r="H53" s="271">
        <v>2</v>
      </c>
      <c r="I53" s="271">
        <v>24</v>
      </c>
      <c r="J53" s="271"/>
      <c r="K53" s="277">
        <v>24</v>
      </c>
    </row>
    <row r="54" spans="1:12">
      <c r="A54" s="75">
        <v>44011</v>
      </c>
      <c r="B54" s="46">
        <v>44021</v>
      </c>
      <c r="C54" s="571"/>
      <c r="D54" s="381" t="s">
        <v>138</v>
      </c>
      <c r="E54" s="271">
        <v>8</v>
      </c>
      <c r="F54" s="271">
        <v>0</v>
      </c>
      <c r="G54" s="271">
        <v>8</v>
      </c>
      <c r="H54" s="271">
        <v>1</v>
      </c>
      <c r="I54" s="271">
        <v>9</v>
      </c>
      <c r="J54" s="271"/>
      <c r="K54" s="277">
        <v>9</v>
      </c>
    </row>
    <row r="55" spans="1:12">
      <c r="A55" s="75">
        <v>44111</v>
      </c>
      <c r="B55" s="46">
        <v>44121</v>
      </c>
      <c r="C55" s="571"/>
      <c r="D55" s="381" t="s">
        <v>411</v>
      </c>
      <c r="E55" s="271">
        <v>2</v>
      </c>
      <c r="F55" s="271">
        <v>1</v>
      </c>
      <c r="G55" s="271">
        <v>3</v>
      </c>
      <c r="H55" s="271">
        <v>3</v>
      </c>
      <c r="I55" s="271">
        <v>6</v>
      </c>
      <c r="J55" s="271"/>
      <c r="K55" s="277">
        <v>6</v>
      </c>
    </row>
    <row r="56" spans="1:12">
      <c r="A56" s="75">
        <v>44511</v>
      </c>
      <c r="B56" s="46">
        <v>44521</v>
      </c>
      <c r="C56" s="571" t="s">
        <v>628</v>
      </c>
      <c r="D56" s="381" t="s">
        <v>433</v>
      </c>
      <c r="E56" s="271">
        <v>13</v>
      </c>
      <c r="F56" s="271">
        <v>1</v>
      </c>
      <c r="G56" s="271">
        <v>14</v>
      </c>
      <c r="H56" s="271">
        <v>5</v>
      </c>
      <c r="I56" s="271">
        <v>19</v>
      </c>
      <c r="J56" s="271"/>
      <c r="K56" s="277">
        <v>19</v>
      </c>
    </row>
    <row r="57" spans="1:12">
      <c r="A57" s="75">
        <v>45111</v>
      </c>
      <c r="B57" s="46">
        <v>45121</v>
      </c>
      <c r="C57" s="571"/>
      <c r="D57" s="381" t="s">
        <v>449</v>
      </c>
      <c r="E57" s="271">
        <v>11</v>
      </c>
      <c r="F57" s="271">
        <v>3</v>
      </c>
      <c r="G57" s="271">
        <v>14</v>
      </c>
      <c r="H57" s="271">
        <v>2</v>
      </c>
      <c r="I57" s="271">
        <v>16</v>
      </c>
      <c r="J57" s="271"/>
      <c r="K57" s="277">
        <v>16</v>
      </c>
    </row>
    <row r="58" spans="1:12">
      <c r="A58" s="75">
        <v>44200</v>
      </c>
      <c r="B58" s="46">
        <v>44220</v>
      </c>
      <c r="C58" s="278"/>
      <c r="D58" s="381" t="s">
        <v>162</v>
      </c>
      <c r="E58" s="271">
        <v>7</v>
      </c>
      <c r="F58" s="271">
        <v>1</v>
      </c>
      <c r="G58" s="271">
        <v>8</v>
      </c>
      <c r="H58" s="271">
        <v>1</v>
      </c>
      <c r="I58" s="271">
        <v>9</v>
      </c>
      <c r="J58" s="271"/>
      <c r="K58" s="277">
        <v>9</v>
      </c>
    </row>
    <row r="59" spans="1:12">
      <c r="A59" s="76"/>
      <c r="B59" s="56"/>
      <c r="C59" s="584" t="s">
        <v>618</v>
      </c>
      <c r="D59" s="585"/>
      <c r="E59" s="273">
        <v>32</v>
      </c>
      <c r="F59" s="273">
        <v>2</v>
      </c>
      <c r="G59" s="273">
        <v>34</v>
      </c>
      <c r="H59" s="273">
        <v>9</v>
      </c>
      <c r="I59" s="273">
        <v>43</v>
      </c>
      <c r="J59" s="273">
        <v>0</v>
      </c>
      <c r="K59" s="281">
        <v>43</v>
      </c>
      <c r="L59" s="94"/>
    </row>
    <row r="60" spans="1:12">
      <c r="A60" s="75">
        <v>20000</v>
      </c>
      <c r="B60" s="46">
        <v>20020</v>
      </c>
      <c r="C60" s="586" t="s">
        <v>625</v>
      </c>
      <c r="D60" s="381" t="s">
        <v>381</v>
      </c>
      <c r="E60" s="271">
        <v>2</v>
      </c>
      <c r="F60" s="271">
        <v>0</v>
      </c>
      <c r="G60" s="271">
        <v>2</v>
      </c>
      <c r="H60" s="271">
        <v>1</v>
      </c>
      <c r="I60" s="271">
        <v>3</v>
      </c>
      <c r="J60" s="271"/>
      <c r="K60" s="277">
        <v>3</v>
      </c>
    </row>
    <row r="61" spans="1:12">
      <c r="A61" s="75">
        <v>21000</v>
      </c>
      <c r="B61" s="46">
        <v>21020</v>
      </c>
      <c r="C61" s="575"/>
      <c r="D61" s="381" t="s">
        <v>383</v>
      </c>
      <c r="E61" s="271">
        <v>4</v>
      </c>
      <c r="F61" s="271">
        <v>0</v>
      </c>
      <c r="G61" s="271">
        <v>4</v>
      </c>
      <c r="H61" s="271">
        <v>2</v>
      </c>
      <c r="I61" s="271">
        <v>6</v>
      </c>
      <c r="J61" s="271"/>
      <c r="K61" s="277">
        <v>6</v>
      </c>
    </row>
    <row r="62" spans="1:12">
      <c r="A62" s="75">
        <v>22000</v>
      </c>
      <c r="B62" s="46">
        <v>22020</v>
      </c>
      <c r="C62" s="575"/>
      <c r="D62" s="381" t="s">
        <v>389</v>
      </c>
      <c r="E62" s="271">
        <v>6</v>
      </c>
      <c r="F62" s="271">
        <v>0</v>
      </c>
      <c r="G62" s="271">
        <v>6</v>
      </c>
      <c r="H62" s="271">
        <v>3</v>
      </c>
      <c r="I62" s="271">
        <v>9</v>
      </c>
      <c r="J62" s="271"/>
      <c r="K62" s="277">
        <v>9</v>
      </c>
    </row>
    <row r="63" spans="1:12">
      <c r="A63" s="75">
        <v>60000</v>
      </c>
      <c r="B63" s="46">
        <v>60020</v>
      </c>
      <c r="C63" s="576"/>
      <c r="D63" s="381" t="s">
        <v>396</v>
      </c>
      <c r="E63" s="271">
        <v>16</v>
      </c>
      <c r="F63" s="271">
        <v>0</v>
      </c>
      <c r="G63" s="271">
        <v>16</v>
      </c>
      <c r="H63" s="271">
        <v>1</v>
      </c>
      <c r="I63" s="271">
        <v>17</v>
      </c>
      <c r="J63" s="271"/>
      <c r="K63" s="277">
        <v>17</v>
      </c>
    </row>
    <row r="64" spans="1:12">
      <c r="A64" s="75">
        <v>60100</v>
      </c>
      <c r="B64" s="46">
        <v>60120</v>
      </c>
      <c r="C64" s="379" t="s">
        <v>626</v>
      </c>
      <c r="D64" s="381" t="s">
        <v>114</v>
      </c>
      <c r="E64" s="271">
        <v>4</v>
      </c>
      <c r="F64" s="271">
        <v>2</v>
      </c>
      <c r="G64" s="271">
        <v>6</v>
      </c>
      <c r="H64" s="271">
        <v>2</v>
      </c>
      <c r="I64" s="271">
        <v>8</v>
      </c>
      <c r="J64" s="271"/>
      <c r="K64" s="277">
        <v>8</v>
      </c>
    </row>
    <row r="65" spans="1:12">
      <c r="A65" s="75">
        <v>60200</v>
      </c>
      <c r="B65" s="46">
        <v>60220</v>
      </c>
      <c r="C65" s="584" t="s">
        <v>616</v>
      </c>
      <c r="D65" s="585"/>
      <c r="E65" s="273">
        <v>13</v>
      </c>
      <c r="F65" s="273">
        <v>11</v>
      </c>
      <c r="G65" s="273">
        <v>24</v>
      </c>
      <c r="H65" s="273">
        <v>1</v>
      </c>
      <c r="I65" s="273">
        <v>25</v>
      </c>
      <c r="J65" s="273">
        <v>0</v>
      </c>
      <c r="K65" s="281">
        <v>25</v>
      </c>
      <c r="L65" s="94"/>
    </row>
    <row r="66" spans="1:12">
      <c r="A66" s="76"/>
      <c r="B66" s="56"/>
      <c r="C66" s="586" t="s">
        <v>643</v>
      </c>
      <c r="D66" s="381" t="s">
        <v>45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30000</v>
      </c>
      <c r="B67" s="46">
        <v>30020</v>
      </c>
      <c r="C67" s="575"/>
      <c r="D67" s="275" t="s">
        <v>638</v>
      </c>
      <c r="E67" s="271">
        <v>2</v>
      </c>
      <c r="F67" s="271">
        <v>2</v>
      </c>
      <c r="G67" s="271">
        <v>4</v>
      </c>
      <c r="H67" s="271">
        <v>0</v>
      </c>
      <c r="I67" s="271">
        <v>4</v>
      </c>
      <c r="J67" s="271"/>
      <c r="K67" s="277">
        <v>4</v>
      </c>
    </row>
    <row r="68" spans="1:12">
      <c r="A68" s="75">
        <v>31000</v>
      </c>
      <c r="B68" s="46">
        <v>31020</v>
      </c>
      <c r="C68" s="576"/>
      <c r="D68" s="381" t="s">
        <v>49</v>
      </c>
      <c r="E68" s="271">
        <v>5</v>
      </c>
      <c r="F68" s="271">
        <v>3</v>
      </c>
      <c r="G68" s="271">
        <v>8</v>
      </c>
      <c r="H68" s="271">
        <v>0</v>
      </c>
      <c r="I68" s="271">
        <v>8</v>
      </c>
      <c r="J68" s="271"/>
      <c r="K68" s="277">
        <v>8</v>
      </c>
    </row>
    <row r="69" spans="1:12">
      <c r="A69" s="75">
        <v>32000</v>
      </c>
      <c r="B69" s="46">
        <v>32020</v>
      </c>
      <c r="C69" s="586" t="s">
        <v>647</v>
      </c>
      <c r="D69" s="381" t="s">
        <v>131</v>
      </c>
      <c r="E69" s="271">
        <v>2</v>
      </c>
      <c r="F69" s="271">
        <v>2</v>
      </c>
      <c r="G69" s="271">
        <v>4</v>
      </c>
      <c r="H69" s="271">
        <v>1</v>
      </c>
      <c r="I69" s="271">
        <v>5</v>
      </c>
      <c r="J69" s="271"/>
      <c r="K69" s="277">
        <v>5</v>
      </c>
    </row>
    <row r="70" spans="1:12">
      <c r="A70" s="75">
        <v>33000</v>
      </c>
      <c r="B70" s="46">
        <v>33020</v>
      </c>
      <c r="C70" s="575"/>
      <c r="D70" s="275" t="s">
        <v>639</v>
      </c>
      <c r="E70" s="271">
        <v>1</v>
      </c>
      <c r="F70" s="271">
        <v>2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75">
        <v>61000</v>
      </c>
      <c r="B71" s="46">
        <v>61020</v>
      </c>
      <c r="C71" s="576"/>
      <c r="D71" s="381" t="s">
        <v>134</v>
      </c>
      <c r="E71" s="271">
        <v>1</v>
      </c>
      <c r="F71" s="271">
        <v>1</v>
      </c>
      <c r="G71" s="271">
        <v>2</v>
      </c>
      <c r="H71" s="271">
        <v>0</v>
      </c>
      <c r="I71" s="271">
        <v>2</v>
      </c>
      <c r="J71" s="271"/>
      <c r="K71" s="277">
        <v>2</v>
      </c>
    </row>
    <row r="72" spans="1:12">
      <c r="A72" s="2">
        <v>61200</v>
      </c>
      <c r="B72" s="46">
        <v>61220</v>
      </c>
      <c r="C72" s="591" t="s">
        <v>652</v>
      </c>
      <c r="D72" s="592"/>
      <c r="E72" s="592"/>
      <c r="F72" s="592"/>
      <c r="G72" s="592"/>
      <c r="H72" s="592"/>
      <c r="I72" s="592"/>
      <c r="J72" s="592"/>
      <c r="K72" s="287">
        <v>49</v>
      </c>
    </row>
    <row r="73" spans="1:12">
      <c r="C73" s="584" t="s">
        <v>617</v>
      </c>
      <c r="D73" s="585"/>
      <c r="E73" s="273">
        <v>38</v>
      </c>
      <c r="F73" s="273">
        <v>4</v>
      </c>
      <c r="G73" s="273">
        <v>42</v>
      </c>
      <c r="H73" s="273">
        <v>7</v>
      </c>
      <c r="I73" s="273">
        <v>49</v>
      </c>
      <c r="J73" s="273">
        <v>0</v>
      </c>
      <c r="K73" s="281">
        <v>49</v>
      </c>
      <c r="L73" s="37"/>
    </row>
    <row r="74" spans="1:12">
      <c r="B74" s="56"/>
      <c r="C74" s="586" t="s">
        <v>643</v>
      </c>
      <c r="D74" s="381" t="s">
        <v>53</v>
      </c>
      <c r="E74" s="271">
        <v>13</v>
      </c>
      <c r="F74" s="271">
        <v>1</v>
      </c>
      <c r="G74" s="271">
        <v>14</v>
      </c>
      <c r="H74" s="271">
        <v>2</v>
      </c>
      <c r="I74" s="271">
        <v>16</v>
      </c>
      <c r="J74" s="271"/>
      <c r="K74" s="277">
        <v>16</v>
      </c>
    </row>
    <row r="75" spans="1:12">
      <c r="C75" s="575"/>
      <c r="D75" s="381" t="s">
        <v>72</v>
      </c>
      <c r="E75" s="271">
        <v>8</v>
      </c>
      <c r="F75" s="271">
        <v>1</v>
      </c>
      <c r="G75" s="271">
        <v>9</v>
      </c>
      <c r="H75" s="271">
        <v>1</v>
      </c>
      <c r="I75" s="271">
        <v>10</v>
      </c>
      <c r="J75" s="271"/>
      <c r="K75" s="277">
        <v>10</v>
      </c>
    </row>
    <row r="76" spans="1:12">
      <c r="C76" s="575"/>
      <c r="D76" s="381" t="s">
        <v>81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76"/>
      <c r="D77" s="381" t="s">
        <v>84</v>
      </c>
      <c r="E77" s="271">
        <v>1</v>
      </c>
      <c r="F77" s="271">
        <v>0</v>
      </c>
      <c r="G77" s="271">
        <v>1</v>
      </c>
      <c r="H77" s="271">
        <v>0</v>
      </c>
      <c r="I77" s="271">
        <v>1</v>
      </c>
      <c r="J77" s="271"/>
      <c r="K77" s="277">
        <v>1</v>
      </c>
    </row>
    <row r="78" spans="1:12">
      <c r="C78" s="586" t="s">
        <v>647</v>
      </c>
      <c r="D78" s="381" t="s">
        <v>147</v>
      </c>
      <c r="E78" s="271">
        <v>10</v>
      </c>
      <c r="F78" s="271">
        <v>1</v>
      </c>
      <c r="G78" s="271">
        <v>11</v>
      </c>
      <c r="H78" s="271">
        <v>1</v>
      </c>
      <c r="I78" s="271">
        <v>12</v>
      </c>
      <c r="J78" s="271"/>
      <c r="K78" s="277">
        <v>12</v>
      </c>
    </row>
    <row r="79" spans="1:12">
      <c r="C79" s="576"/>
      <c r="D79" s="381" t="s">
        <v>158</v>
      </c>
      <c r="E79" s="271">
        <v>4</v>
      </c>
      <c r="F79" s="271">
        <v>1</v>
      </c>
      <c r="G79" s="271">
        <v>5</v>
      </c>
      <c r="H79" s="271">
        <v>3</v>
      </c>
      <c r="I79" s="271">
        <v>8</v>
      </c>
      <c r="J79" s="271"/>
      <c r="K79" s="277">
        <v>8</v>
      </c>
    </row>
    <row r="80" spans="1:12" ht="18.600000000000001" thickBot="1">
      <c r="C80" s="597" t="s">
        <v>642</v>
      </c>
      <c r="D80" s="598"/>
      <c r="E80" s="282">
        <v>379</v>
      </c>
      <c r="F80" s="282">
        <v>53</v>
      </c>
      <c r="G80" s="282">
        <v>432</v>
      </c>
      <c r="H80" s="282">
        <v>92</v>
      </c>
      <c r="I80" s="282">
        <v>524</v>
      </c>
      <c r="J80" s="282">
        <v>0</v>
      </c>
      <c r="K80" s="283">
        <v>524</v>
      </c>
      <c r="L80" s="94"/>
    </row>
    <row r="81" spans="3:16">
      <c r="C81" s="574"/>
      <c r="D81" s="572" t="s">
        <v>685</v>
      </c>
      <c r="E81" s="572"/>
      <c r="F81" s="572"/>
      <c r="G81" s="572"/>
      <c r="H81" s="572"/>
      <c r="I81" s="572"/>
      <c r="J81" s="572"/>
      <c r="K81" s="573"/>
      <c r="L81" s="37"/>
    </row>
    <row r="82" spans="3:16">
      <c r="C82" s="575"/>
      <c r="D82" s="577" t="s">
        <v>611</v>
      </c>
      <c r="E82" s="577" t="s">
        <v>612</v>
      </c>
      <c r="F82" s="577"/>
      <c r="G82" s="577" t="s">
        <v>614</v>
      </c>
      <c r="H82" s="577" t="s">
        <v>613</v>
      </c>
      <c r="I82" s="577" t="s">
        <v>622</v>
      </c>
      <c r="J82" s="579" t="s">
        <v>656</v>
      </c>
      <c r="K82" s="578" t="s">
        <v>623</v>
      </c>
      <c r="L82" s="37"/>
    </row>
    <row r="83" spans="3:16" ht="15.75" customHeight="1" thickBot="1">
      <c r="C83" s="587"/>
      <c r="D83" s="553"/>
      <c r="E83" s="382" t="s">
        <v>69</v>
      </c>
      <c r="F83" s="382" t="s">
        <v>650</v>
      </c>
      <c r="G83" s="553"/>
      <c r="H83" s="553"/>
      <c r="I83" s="553"/>
      <c r="J83" s="580"/>
      <c r="K83" s="581"/>
      <c r="L83" s="37"/>
    </row>
    <row r="84" spans="3:16">
      <c r="C84" s="582" t="s">
        <v>811</v>
      </c>
      <c r="D84" s="583"/>
      <c r="E84" s="583"/>
      <c r="F84" s="583"/>
      <c r="G84" s="583"/>
      <c r="H84" s="583"/>
      <c r="I84" s="583"/>
      <c r="J84" s="583"/>
      <c r="K84" s="583"/>
    </row>
    <row r="85" spans="3:16">
      <c r="L85" s="264" t="s">
        <v>843</v>
      </c>
      <c r="M85" s="264" t="s">
        <v>844</v>
      </c>
      <c r="N85" s="264" t="s">
        <v>845</v>
      </c>
      <c r="O85" s="264" t="s">
        <v>846</v>
      </c>
      <c r="P85" s="264" t="s">
        <v>847</v>
      </c>
    </row>
    <row r="86" spans="3:16">
      <c r="L86" s="264" t="s">
        <v>848</v>
      </c>
      <c r="M86" s="264" t="s">
        <v>849</v>
      </c>
      <c r="N86" s="264" t="s">
        <v>850</v>
      </c>
      <c r="O86" s="264" t="s">
        <v>851</v>
      </c>
      <c r="P86" s="264" t="s">
        <v>852</v>
      </c>
    </row>
    <row r="87" spans="3:16">
      <c r="D87" s="383" t="s">
        <v>1616</v>
      </c>
      <c r="L87" s="264" t="s">
        <v>853</v>
      </c>
      <c r="M87" s="264" t="s">
        <v>858</v>
      </c>
    </row>
    <row r="88" spans="3:16">
      <c r="D88" s="383" t="s">
        <v>1615</v>
      </c>
      <c r="L88" s="264" t="s">
        <v>854</v>
      </c>
      <c r="M88" s="264" t="s">
        <v>855</v>
      </c>
      <c r="N88" s="264" t="s">
        <v>856</v>
      </c>
      <c r="O88" s="264" t="s">
        <v>857</v>
      </c>
    </row>
    <row r="89" spans="3:16">
      <c r="D89" s="383" t="s">
        <v>1614</v>
      </c>
    </row>
  </sheetData>
  <mergeCells count="48">
    <mergeCell ref="I82:I83"/>
    <mergeCell ref="J82:J83"/>
    <mergeCell ref="K82:K83"/>
    <mergeCell ref="C84:K84"/>
    <mergeCell ref="C73:D73"/>
    <mergeCell ref="C74:C77"/>
    <mergeCell ref="C78:C79"/>
    <mergeCell ref="C80:D80"/>
    <mergeCell ref="C81:C83"/>
    <mergeCell ref="D81:K81"/>
    <mergeCell ref="D82:D83"/>
    <mergeCell ref="E82:F82"/>
    <mergeCell ref="G82:G83"/>
    <mergeCell ref="H82:H83"/>
    <mergeCell ref="L29:O30"/>
    <mergeCell ref="C72:J72"/>
    <mergeCell ref="C41:D41"/>
    <mergeCell ref="C42:C45"/>
    <mergeCell ref="C46:C52"/>
    <mergeCell ref="L46:N47"/>
    <mergeCell ref="C53:C55"/>
    <mergeCell ref="C56:C57"/>
    <mergeCell ref="C59:D59"/>
    <mergeCell ref="C60:C63"/>
    <mergeCell ref="C65:D65"/>
    <mergeCell ref="C66:C68"/>
    <mergeCell ref="C69:C71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7"/>
  <sheetViews>
    <sheetView topLeftCell="A7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76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7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72"/>
      <c r="C5" s="576"/>
      <c r="D5" s="577"/>
      <c r="E5" s="373" t="s">
        <v>69</v>
      </c>
      <c r="F5" s="373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72">
        <v>202</v>
      </c>
      <c r="C6" s="374"/>
      <c r="D6" s="373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72">
        <v>211</v>
      </c>
      <c r="C7" s="374"/>
      <c r="D7" s="373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73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73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73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73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73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73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21</v>
      </c>
    </row>
    <row r="19" spans="1:15">
      <c r="A19" s="75">
        <v>80000</v>
      </c>
      <c r="B19" s="46">
        <v>80020</v>
      </c>
      <c r="C19" s="586" t="s">
        <v>643</v>
      </c>
      <c r="D19" s="373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73" t="s">
        <v>124</v>
      </c>
      <c r="E20" s="271">
        <v>7</v>
      </c>
      <c r="F20" s="271">
        <v>0</v>
      </c>
      <c r="G20" s="271">
        <v>7</v>
      </c>
      <c r="H20" s="271">
        <v>0</v>
      </c>
      <c r="I20" s="271">
        <v>7</v>
      </c>
      <c r="J20" s="271"/>
      <c r="K20" s="277">
        <v>7</v>
      </c>
    </row>
    <row r="21" spans="1:15">
      <c r="A21" s="75">
        <v>43011</v>
      </c>
      <c r="B21" s="46">
        <v>43021</v>
      </c>
      <c r="C21" s="377" t="s">
        <v>647</v>
      </c>
      <c r="D21" s="373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52</v>
      </c>
    </row>
    <row r="23" spans="1:15">
      <c r="A23" s="75">
        <v>42111</v>
      </c>
      <c r="B23" s="46">
        <v>42121</v>
      </c>
      <c r="C23" s="278"/>
      <c r="D23" s="373" t="s">
        <v>172</v>
      </c>
      <c r="E23" s="271">
        <v>39</v>
      </c>
      <c r="F23" s="271">
        <v>3</v>
      </c>
      <c r="G23" s="271">
        <v>42</v>
      </c>
      <c r="H23" s="271">
        <v>10</v>
      </c>
      <c r="I23" s="271">
        <v>52</v>
      </c>
      <c r="J23" s="271"/>
      <c r="K23" s="277">
        <v>52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370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123</v>
      </c>
      <c r="F25" s="273">
        <v>9</v>
      </c>
      <c r="G25" s="273">
        <v>132</v>
      </c>
      <c r="H25" s="273">
        <v>34</v>
      </c>
      <c r="I25" s="273">
        <v>166</v>
      </c>
      <c r="J25" s="273">
        <v>0</v>
      </c>
      <c r="K25" s="281">
        <v>166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73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73" t="s">
        <v>349</v>
      </c>
      <c r="E27" s="271">
        <v>15</v>
      </c>
      <c r="F27" s="271">
        <v>0</v>
      </c>
      <c r="G27" s="271">
        <v>15</v>
      </c>
      <c r="H27" s="271">
        <v>3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73" t="s">
        <v>258</v>
      </c>
      <c r="E28" s="271">
        <v>22</v>
      </c>
      <c r="F28" s="271">
        <v>0</v>
      </c>
      <c r="G28" s="271">
        <v>22</v>
      </c>
      <c r="H28" s="271">
        <v>4</v>
      </c>
      <c r="I28" s="271">
        <v>26</v>
      </c>
      <c r="J28" s="285"/>
      <c r="K28" s="277">
        <v>26</v>
      </c>
    </row>
    <row r="29" spans="1:15">
      <c r="A29" s="75">
        <v>43311</v>
      </c>
      <c r="B29" s="46">
        <v>43321</v>
      </c>
      <c r="C29" s="571" t="s">
        <v>626</v>
      </c>
      <c r="D29" s="373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73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73"/>
      <c r="E31" s="271"/>
      <c r="F31" s="271"/>
      <c r="G31" s="271"/>
      <c r="H31" s="271"/>
      <c r="I31" s="271"/>
      <c r="J31" s="285"/>
      <c r="K31" s="277"/>
      <c r="L31" s="378"/>
      <c r="M31" s="378"/>
      <c r="N31" s="378"/>
      <c r="O31" s="378"/>
    </row>
    <row r="32" spans="1:15">
      <c r="A32" s="75">
        <v>40400</v>
      </c>
      <c r="B32" s="46">
        <v>40420</v>
      </c>
      <c r="C32" s="571"/>
      <c r="D32" s="373" t="s">
        <v>318</v>
      </c>
      <c r="E32" s="271">
        <v>13</v>
      </c>
      <c r="F32" s="271">
        <v>0</v>
      </c>
      <c r="G32" s="271">
        <v>13</v>
      </c>
      <c r="H32" s="271">
        <v>2</v>
      </c>
      <c r="I32" s="271">
        <v>15</v>
      </c>
      <c r="J32" s="285"/>
      <c r="K32" s="277">
        <v>15</v>
      </c>
    </row>
    <row r="33" spans="1:14">
      <c r="A33" s="75">
        <v>40000</v>
      </c>
      <c r="B33" s="46">
        <v>40020</v>
      </c>
      <c r="C33" s="571"/>
      <c r="D33" s="373" t="s">
        <v>290</v>
      </c>
      <c r="E33" s="271">
        <v>12</v>
      </c>
      <c r="F33" s="271">
        <v>0</v>
      </c>
      <c r="G33" s="271">
        <v>12</v>
      </c>
      <c r="H33" s="271">
        <v>1</v>
      </c>
      <c r="I33" s="271">
        <v>13</v>
      </c>
      <c r="J33" s="285"/>
      <c r="K33" s="277">
        <v>13</v>
      </c>
    </row>
    <row r="34" spans="1:14">
      <c r="A34" s="76"/>
      <c r="B34" s="56"/>
      <c r="C34" s="571"/>
      <c r="D34" s="373" t="s">
        <v>674</v>
      </c>
      <c r="E34" s="271">
        <v>6</v>
      </c>
      <c r="F34" s="271">
        <v>0</v>
      </c>
      <c r="G34" s="271">
        <v>6</v>
      </c>
      <c r="H34" s="271">
        <v>0</v>
      </c>
      <c r="I34" s="271">
        <v>6</v>
      </c>
      <c r="J34" s="285"/>
      <c r="K34" s="277">
        <v>6</v>
      </c>
    </row>
    <row r="35" spans="1:14">
      <c r="A35" s="75">
        <v>67211</v>
      </c>
      <c r="B35" s="46">
        <v>67221</v>
      </c>
      <c r="C35" s="571" t="s">
        <v>627</v>
      </c>
      <c r="D35" s="373" t="s">
        <v>364</v>
      </c>
      <c r="E35" s="271">
        <v>9</v>
      </c>
      <c r="F35" s="271">
        <v>6</v>
      </c>
      <c r="G35" s="271">
        <v>15</v>
      </c>
      <c r="H35" s="271">
        <v>7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373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73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73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64011</v>
      </c>
      <c r="B39" s="46">
        <v>64021</v>
      </c>
      <c r="C39" s="278"/>
      <c r="D39" s="373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99</v>
      </c>
      <c r="F40" s="273">
        <v>10</v>
      </c>
      <c r="G40" s="273">
        <v>109</v>
      </c>
      <c r="H40" s="273">
        <v>27</v>
      </c>
      <c r="I40" s="273">
        <v>136</v>
      </c>
      <c r="J40" s="273">
        <v>0</v>
      </c>
      <c r="K40" s="281">
        <v>136</v>
      </c>
    </row>
    <row r="41" spans="1:14">
      <c r="A41" s="75">
        <v>64211</v>
      </c>
      <c r="B41" s="46">
        <v>64221</v>
      </c>
      <c r="C41" s="586" t="s">
        <v>625</v>
      </c>
      <c r="D41" s="373" t="s">
        <v>476</v>
      </c>
      <c r="E41" s="271">
        <v>6</v>
      </c>
      <c r="F41" s="271">
        <v>0</v>
      </c>
      <c r="G41" s="271">
        <v>6</v>
      </c>
      <c r="H41" s="271">
        <v>3</v>
      </c>
      <c r="I41" s="271">
        <v>9</v>
      </c>
      <c r="J41" s="271"/>
      <c r="K41" s="277">
        <v>9</v>
      </c>
    </row>
    <row r="42" spans="1:14">
      <c r="A42" s="75">
        <v>67011</v>
      </c>
      <c r="B42" s="46">
        <v>67021</v>
      </c>
      <c r="C42" s="575"/>
      <c r="D42" s="373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73" t="s">
        <v>508</v>
      </c>
      <c r="E43" s="271">
        <v>3</v>
      </c>
      <c r="F43" s="271">
        <v>0</v>
      </c>
      <c r="G43" s="291">
        <v>3</v>
      </c>
      <c r="H43" s="271">
        <v>1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73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73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73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73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73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73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73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73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73" t="s">
        <v>489</v>
      </c>
      <c r="E52" s="271">
        <v>21</v>
      </c>
      <c r="F52" s="271">
        <v>1</v>
      </c>
      <c r="G52" s="271">
        <v>22</v>
      </c>
      <c r="H52" s="271">
        <v>2</v>
      </c>
      <c r="I52" s="271">
        <v>24</v>
      </c>
      <c r="J52" s="271"/>
      <c r="K52" s="277">
        <v>24</v>
      </c>
    </row>
    <row r="53" spans="1:12">
      <c r="A53" s="75">
        <v>44011</v>
      </c>
      <c r="B53" s="46">
        <v>44021</v>
      </c>
      <c r="C53" s="571"/>
      <c r="D53" s="373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73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73" t="s">
        <v>433</v>
      </c>
      <c r="E55" s="271">
        <v>13</v>
      </c>
      <c r="F55" s="271">
        <v>0</v>
      </c>
      <c r="G55" s="271">
        <v>13</v>
      </c>
      <c r="H55" s="271">
        <v>5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73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73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32</v>
      </c>
      <c r="F58" s="273">
        <v>2</v>
      </c>
      <c r="G58" s="273">
        <v>34</v>
      </c>
      <c r="H58" s="273">
        <v>9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73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73" t="s">
        <v>383</v>
      </c>
      <c r="E60" s="271">
        <v>4</v>
      </c>
      <c r="F60" s="271">
        <v>0</v>
      </c>
      <c r="G60" s="271">
        <v>4</v>
      </c>
      <c r="H60" s="271">
        <v>2</v>
      </c>
      <c r="I60" s="271">
        <v>6</v>
      </c>
      <c r="J60" s="271"/>
      <c r="K60" s="277">
        <v>6</v>
      </c>
    </row>
    <row r="61" spans="1:12">
      <c r="A61" s="75">
        <v>22000</v>
      </c>
      <c r="B61" s="46">
        <v>22020</v>
      </c>
      <c r="C61" s="575"/>
      <c r="D61" s="373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73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74" t="s">
        <v>626</v>
      </c>
      <c r="D63" s="373" t="s">
        <v>114</v>
      </c>
      <c r="E63" s="271">
        <v>5</v>
      </c>
      <c r="F63" s="271">
        <v>2</v>
      </c>
      <c r="G63" s="271">
        <v>7</v>
      </c>
      <c r="H63" s="271">
        <v>2</v>
      </c>
      <c r="I63" s="271">
        <v>9</v>
      </c>
      <c r="J63" s="271"/>
      <c r="K63" s="277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11</v>
      </c>
      <c r="G64" s="273">
        <v>24</v>
      </c>
      <c r="H64" s="273">
        <v>1</v>
      </c>
      <c r="I64" s="273">
        <v>25</v>
      </c>
      <c r="J64" s="273">
        <v>0</v>
      </c>
      <c r="K64" s="281">
        <v>25</v>
      </c>
      <c r="L64" s="94"/>
    </row>
    <row r="65" spans="1:12">
      <c r="A65" s="76"/>
      <c r="B65" s="56"/>
      <c r="C65" s="586" t="s">
        <v>643</v>
      </c>
      <c r="D65" s="373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2</v>
      </c>
      <c r="G66" s="271">
        <v>4</v>
      </c>
      <c r="H66" s="271">
        <v>0</v>
      </c>
      <c r="I66" s="271">
        <v>4</v>
      </c>
      <c r="J66" s="271"/>
      <c r="K66" s="277">
        <v>4</v>
      </c>
    </row>
    <row r="67" spans="1:12">
      <c r="A67" s="75">
        <v>31000</v>
      </c>
      <c r="B67" s="46">
        <v>31020</v>
      </c>
      <c r="C67" s="576"/>
      <c r="D67" s="373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73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73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52</v>
      </c>
    </row>
    <row r="72" spans="1:12">
      <c r="C72" s="584" t="s">
        <v>617</v>
      </c>
      <c r="D72" s="585"/>
      <c r="E72" s="273">
        <v>39</v>
      </c>
      <c r="F72" s="273">
        <v>5</v>
      </c>
      <c r="G72" s="273">
        <v>44</v>
      </c>
      <c r="H72" s="273">
        <v>8</v>
      </c>
      <c r="I72" s="273">
        <v>52</v>
      </c>
      <c r="J72" s="273">
        <v>0</v>
      </c>
      <c r="K72" s="281">
        <v>52</v>
      </c>
      <c r="L72" s="37"/>
    </row>
    <row r="73" spans="1:12">
      <c r="B73" s="56"/>
      <c r="C73" s="586" t="s">
        <v>643</v>
      </c>
      <c r="D73" s="373" t="s">
        <v>53</v>
      </c>
      <c r="E73" s="271">
        <v>12</v>
      </c>
      <c r="F73" s="271">
        <v>2</v>
      </c>
      <c r="G73" s="271">
        <v>14</v>
      </c>
      <c r="H73" s="271">
        <v>3</v>
      </c>
      <c r="I73" s="271">
        <v>17</v>
      </c>
      <c r="J73" s="271"/>
      <c r="K73" s="277">
        <v>17</v>
      </c>
    </row>
    <row r="74" spans="1:12">
      <c r="C74" s="575"/>
      <c r="D74" s="373" t="s">
        <v>72</v>
      </c>
      <c r="E74" s="271">
        <v>8</v>
      </c>
      <c r="F74" s="271">
        <v>1</v>
      </c>
      <c r="G74" s="271">
        <v>9</v>
      </c>
      <c r="H74" s="271">
        <v>1</v>
      </c>
      <c r="I74" s="271">
        <v>10</v>
      </c>
      <c r="J74" s="271"/>
      <c r="K74" s="277">
        <v>10</v>
      </c>
    </row>
    <row r="75" spans="1:12">
      <c r="C75" s="575"/>
      <c r="D75" s="373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73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73" t="s">
        <v>147</v>
      </c>
      <c r="E77" s="271">
        <v>11</v>
      </c>
      <c r="F77" s="271">
        <v>1</v>
      </c>
      <c r="G77" s="271">
        <v>12</v>
      </c>
      <c r="H77" s="271">
        <v>1</v>
      </c>
      <c r="I77" s="271">
        <v>13</v>
      </c>
      <c r="J77" s="271"/>
      <c r="K77" s="277">
        <v>13</v>
      </c>
    </row>
    <row r="78" spans="1:12">
      <c r="C78" s="576"/>
      <c r="D78" s="373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385</v>
      </c>
      <c r="F79" s="282">
        <v>53</v>
      </c>
      <c r="G79" s="282">
        <v>438</v>
      </c>
      <c r="H79" s="282">
        <v>93</v>
      </c>
      <c r="I79" s="282">
        <v>531</v>
      </c>
      <c r="J79" s="282">
        <v>0</v>
      </c>
      <c r="K79" s="283">
        <v>531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75" t="s">
        <v>69</v>
      </c>
      <c r="F82" s="375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76" t="s">
        <v>953</v>
      </c>
      <c r="L86" s="264" t="s">
        <v>853</v>
      </c>
      <c r="M86" s="264" t="s">
        <v>858</v>
      </c>
    </row>
    <row r="87" spans="3:16">
      <c r="D87" s="376" t="s">
        <v>952</v>
      </c>
      <c r="L87" s="264" t="s">
        <v>854</v>
      </c>
      <c r="M87" s="264" t="s">
        <v>855</v>
      </c>
      <c r="N87" s="264" t="s">
        <v>856</v>
      </c>
      <c r="O87" s="264" t="s">
        <v>857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7"/>
  <sheetViews>
    <sheetView topLeftCell="A2" zoomScale="85" zoomScaleNormal="85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76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7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72"/>
      <c r="C5" s="576"/>
      <c r="D5" s="577"/>
      <c r="E5" s="373" t="s">
        <v>954</v>
      </c>
      <c r="F5" s="373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72">
        <v>202</v>
      </c>
      <c r="C6" s="374"/>
      <c r="D6" s="373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72">
        <v>211</v>
      </c>
      <c r="C7" s="374"/>
      <c r="D7" s="373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73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73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73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73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73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73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21</v>
      </c>
    </row>
    <row r="19" spans="1:15">
      <c r="A19" s="75">
        <v>80000</v>
      </c>
      <c r="B19" s="46">
        <v>80020</v>
      </c>
      <c r="C19" s="586" t="s">
        <v>643</v>
      </c>
      <c r="D19" s="373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73" t="s">
        <v>124</v>
      </c>
      <c r="E20" s="271">
        <v>7</v>
      </c>
      <c r="F20" s="271">
        <v>0</v>
      </c>
      <c r="G20" s="271">
        <v>7</v>
      </c>
      <c r="H20" s="271">
        <v>0</v>
      </c>
      <c r="I20" s="271">
        <v>7</v>
      </c>
      <c r="J20" s="271"/>
      <c r="K20" s="277">
        <v>7</v>
      </c>
    </row>
    <row r="21" spans="1:15">
      <c r="A21" s="75">
        <v>43011</v>
      </c>
      <c r="B21" s="46">
        <v>43021</v>
      </c>
      <c r="C21" s="377" t="s">
        <v>647</v>
      </c>
      <c r="D21" s="373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52</v>
      </c>
    </row>
    <row r="23" spans="1:15">
      <c r="A23" s="75">
        <v>42111</v>
      </c>
      <c r="B23" s="46">
        <v>42121</v>
      </c>
      <c r="C23" s="278"/>
      <c r="D23" s="373" t="s">
        <v>172</v>
      </c>
      <c r="E23" s="271">
        <v>39</v>
      </c>
      <c r="F23" s="271">
        <v>3</v>
      </c>
      <c r="G23" s="271">
        <v>42</v>
      </c>
      <c r="H23" s="271">
        <v>10</v>
      </c>
      <c r="I23" s="271">
        <v>52</v>
      </c>
      <c r="J23" s="271"/>
      <c r="K23" s="277">
        <v>52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121</v>
      </c>
      <c r="F25" s="273">
        <v>9</v>
      </c>
      <c r="G25" s="273">
        <v>130</v>
      </c>
      <c r="H25" s="273">
        <v>33</v>
      </c>
      <c r="I25" s="273">
        <v>163</v>
      </c>
      <c r="J25" s="273">
        <v>0</v>
      </c>
      <c r="K25" s="281">
        <v>163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73" t="s">
        <v>280</v>
      </c>
      <c r="E26" s="271">
        <v>7</v>
      </c>
      <c r="F26" s="271">
        <v>0</v>
      </c>
      <c r="G26" s="271">
        <v>7</v>
      </c>
      <c r="H26" s="271">
        <v>3</v>
      </c>
      <c r="I26" s="271">
        <v>10</v>
      </c>
      <c r="J26" s="285"/>
      <c r="K26" s="277">
        <v>10</v>
      </c>
    </row>
    <row r="27" spans="1:15">
      <c r="A27" s="75">
        <v>42311</v>
      </c>
      <c r="B27" s="46">
        <v>42321</v>
      </c>
      <c r="C27" s="575"/>
      <c r="D27" s="373" t="s">
        <v>349</v>
      </c>
      <c r="E27" s="271">
        <v>15</v>
      </c>
      <c r="F27" s="271">
        <v>0</v>
      </c>
      <c r="G27" s="271">
        <v>15</v>
      </c>
      <c r="H27" s="271">
        <v>3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73" t="s">
        <v>258</v>
      </c>
      <c r="E28" s="271">
        <v>22</v>
      </c>
      <c r="F28" s="271">
        <v>0</v>
      </c>
      <c r="G28" s="271">
        <v>22</v>
      </c>
      <c r="H28" s="271">
        <v>4</v>
      </c>
      <c r="I28" s="271">
        <v>26</v>
      </c>
      <c r="J28" s="285"/>
      <c r="K28" s="277">
        <v>26</v>
      </c>
    </row>
    <row r="29" spans="1:15">
      <c r="A29" s="75">
        <v>43311</v>
      </c>
      <c r="B29" s="46">
        <v>43321</v>
      </c>
      <c r="C29" s="571" t="s">
        <v>626</v>
      </c>
      <c r="D29" s="373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73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73"/>
      <c r="E31" s="271"/>
      <c r="F31" s="271"/>
      <c r="G31" s="271"/>
      <c r="H31" s="271"/>
      <c r="I31" s="271"/>
      <c r="J31" s="285"/>
      <c r="K31" s="277"/>
      <c r="L31" s="378"/>
      <c r="M31" s="378"/>
      <c r="N31" s="378"/>
      <c r="O31" s="378"/>
    </row>
    <row r="32" spans="1:15">
      <c r="A32" s="75">
        <v>40400</v>
      </c>
      <c r="B32" s="46">
        <v>40420</v>
      </c>
      <c r="C32" s="571"/>
      <c r="D32" s="373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40000</v>
      </c>
      <c r="B33" s="46">
        <v>40020</v>
      </c>
      <c r="C33" s="571"/>
      <c r="D33" s="373" t="s">
        <v>290</v>
      </c>
      <c r="E33" s="271">
        <v>12</v>
      </c>
      <c r="F33" s="271">
        <v>0</v>
      </c>
      <c r="G33" s="271">
        <v>12</v>
      </c>
      <c r="H33" s="271">
        <v>1</v>
      </c>
      <c r="I33" s="271">
        <v>13</v>
      </c>
      <c r="J33" s="285"/>
      <c r="K33" s="277">
        <v>13</v>
      </c>
    </row>
    <row r="34" spans="1:14">
      <c r="A34" s="76"/>
      <c r="B34" s="56"/>
      <c r="C34" s="571"/>
      <c r="D34" s="373" t="s">
        <v>674</v>
      </c>
      <c r="E34" s="271">
        <v>6</v>
      </c>
      <c r="F34" s="271">
        <v>0</v>
      </c>
      <c r="G34" s="271">
        <v>6</v>
      </c>
      <c r="H34" s="271">
        <v>0</v>
      </c>
      <c r="I34" s="271">
        <v>6</v>
      </c>
      <c r="J34" s="285"/>
      <c r="K34" s="277">
        <v>6</v>
      </c>
    </row>
    <row r="35" spans="1:14">
      <c r="A35" s="75">
        <v>67211</v>
      </c>
      <c r="B35" s="46">
        <v>67221</v>
      </c>
      <c r="C35" s="571" t="s">
        <v>627</v>
      </c>
      <c r="D35" s="373" t="s">
        <v>364</v>
      </c>
      <c r="E35" s="271">
        <v>9</v>
      </c>
      <c r="F35" s="271">
        <v>6</v>
      </c>
      <c r="G35" s="271">
        <v>15</v>
      </c>
      <c r="H35" s="271">
        <v>6</v>
      </c>
      <c r="I35" s="271">
        <v>21</v>
      </c>
      <c r="J35" s="285"/>
      <c r="K35" s="277">
        <v>21</v>
      </c>
      <c r="L35" s="264">
        <v>2</v>
      </c>
    </row>
    <row r="36" spans="1:14">
      <c r="A36" s="75">
        <v>68011</v>
      </c>
      <c r="B36" s="46">
        <v>68021</v>
      </c>
      <c r="C36" s="571"/>
      <c r="D36" s="373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73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73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64011</v>
      </c>
      <c r="B39" s="46">
        <v>64021</v>
      </c>
      <c r="C39" s="278"/>
      <c r="D39" s="373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98</v>
      </c>
      <c r="F40" s="273">
        <v>10</v>
      </c>
      <c r="G40" s="273">
        <v>108</v>
      </c>
      <c r="H40" s="273">
        <v>27</v>
      </c>
      <c r="I40" s="273">
        <v>135</v>
      </c>
      <c r="J40" s="273">
        <v>0</v>
      </c>
      <c r="K40" s="281">
        <v>135</v>
      </c>
    </row>
    <row r="41" spans="1:14">
      <c r="A41" s="75">
        <v>64211</v>
      </c>
      <c r="B41" s="46">
        <v>64221</v>
      </c>
      <c r="C41" s="586" t="s">
        <v>625</v>
      </c>
      <c r="D41" s="373" t="s">
        <v>476</v>
      </c>
      <c r="E41" s="271">
        <v>6</v>
      </c>
      <c r="F41" s="271">
        <v>0</v>
      </c>
      <c r="G41" s="271">
        <v>6</v>
      </c>
      <c r="H41" s="271">
        <v>3</v>
      </c>
      <c r="I41" s="271">
        <v>9</v>
      </c>
      <c r="J41" s="271"/>
      <c r="K41" s="277">
        <v>9</v>
      </c>
    </row>
    <row r="42" spans="1:14">
      <c r="A42" s="75">
        <v>67011</v>
      </c>
      <c r="B42" s="46">
        <v>67021</v>
      </c>
      <c r="C42" s="575"/>
      <c r="D42" s="373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73" t="s">
        <v>508</v>
      </c>
      <c r="E43" s="271">
        <v>2</v>
      </c>
      <c r="F43" s="271">
        <v>0</v>
      </c>
      <c r="G43" s="291">
        <v>2</v>
      </c>
      <c r="H43" s="271">
        <v>1</v>
      </c>
      <c r="I43" s="271">
        <v>3</v>
      </c>
      <c r="J43" s="271"/>
      <c r="K43" s="277">
        <v>3</v>
      </c>
    </row>
    <row r="44" spans="1:14">
      <c r="A44" s="75">
        <v>64311</v>
      </c>
      <c r="B44" s="46">
        <v>64321</v>
      </c>
      <c r="C44" s="576"/>
      <c r="D44" s="373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73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73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73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73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73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73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73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73" t="s">
        <v>489</v>
      </c>
      <c r="E52" s="271">
        <v>21</v>
      </c>
      <c r="F52" s="271">
        <v>1</v>
      </c>
      <c r="G52" s="271">
        <v>22</v>
      </c>
      <c r="H52" s="271">
        <v>2</v>
      </c>
      <c r="I52" s="271">
        <v>24</v>
      </c>
      <c r="J52" s="271"/>
      <c r="K52" s="277">
        <v>24</v>
      </c>
    </row>
    <row r="53" spans="1:12">
      <c r="A53" s="75">
        <v>44011</v>
      </c>
      <c r="B53" s="46">
        <v>44021</v>
      </c>
      <c r="C53" s="571"/>
      <c r="D53" s="373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73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73" t="s">
        <v>433</v>
      </c>
      <c r="E55" s="271">
        <v>13</v>
      </c>
      <c r="F55" s="271">
        <v>0</v>
      </c>
      <c r="G55" s="271">
        <v>13</v>
      </c>
      <c r="H55" s="271">
        <v>5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73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73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32</v>
      </c>
      <c r="F58" s="273">
        <v>2</v>
      </c>
      <c r="G58" s="273">
        <v>34</v>
      </c>
      <c r="H58" s="273">
        <v>9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73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73" t="s">
        <v>383</v>
      </c>
      <c r="E60" s="271">
        <v>4</v>
      </c>
      <c r="F60" s="271">
        <v>0</v>
      </c>
      <c r="G60" s="271">
        <v>4</v>
      </c>
      <c r="H60" s="271">
        <v>2</v>
      </c>
      <c r="I60" s="271">
        <v>6</v>
      </c>
      <c r="J60" s="271"/>
      <c r="K60" s="277">
        <v>6</v>
      </c>
    </row>
    <row r="61" spans="1:12">
      <c r="A61" s="75">
        <v>22000</v>
      </c>
      <c r="B61" s="46">
        <v>22020</v>
      </c>
      <c r="C61" s="575"/>
      <c r="D61" s="373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73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74" t="s">
        <v>626</v>
      </c>
      <c r="D63" s="373" t="s">
        <v>114</v>
      </c>
      <c r="E63" s="271">
        <v>5</v>
      </c>
      <c r="F63" s="271">
        <v>2</v>
      </c>
      <c r="G63" s="271">
        <v>7</v>
      </c>
      <c r="H63" s="271">
        <v>2</v>
      </c>
      <c r="I63" s="271">
        <v>9</v>
      </c>
      <c r="J63" s="271"/>
      <c r="K63" s="277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11</v>
      </c>
      <c r="G64" s="273">
        <v>24</v>
      </c>
      <c r="H64" s="273">
        <v>1</v>
      </c>
      <c r="I64" s="273">
        <v>25</v>
      </c>
      <c r="J64" s="273">
        <v>0</v>
      </c>
      <c r="K64" s="281">
        <v>25</v>
      </c>
      <c r="L64" s="94"/>
    </row>
    <row r="65" spans="1:12">
      <c r="A65" s="76"/>
      <c r="B65" s="56"/>
      <c r="C65" s="586" t="s">
        <v>643</v>
      </c>
      <c r="D65" s="373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2</v>
      </c>
      <c r="G66" s="271">
        <v>4</v>
      </c>
      <c r="H66" s="271">
        <v>0</v>
      </c>
      <c r="I66" s="271">
        <v>4</v>
      </c>
      <c r="J66" s="271"/>
      <c r="K66" s="277">
        <v>4</v>
      </c>
    </row>
    <row r="67" spans="1:12">
      <c r="A67" s="75">
        <v>31000</v>
      </c>
      <c r="B67" s="46">
        <v>31020</v>
      </c>
      <c r="C67" s="576"/>
      <c r="D67" s="373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73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73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53</v>
      </c>
    </row>
    <row r="72" spans="1:12">
      <c r="C72" s="584" t="s">
        <v>617</v>
      </c>
      <c r="D72" s="585"/>
      <c r="E72" s="273">
        <v>39</v>
      </c>
      <c r="F72" s="273">
        <v>5</v>
      </c>
      <c r="G72" s="273">
        <v>44</v>
      </c>
      <c r="H72" s="273">
        <v>9</v>
      </c>
      <c r="I72" s="273">
        <v>53</v>
      </c>
      <c r="J72" s="273">
        <v>0</v>
      </c>
      <c r="K72" s="281">
        <v>53</v>
      </c>
      <c r="L72" s="37"/>
    </row>
    <row r="73" spans="1:12">
      <c r="B73" s="56"/>
      <c r="C73" s="586" t="s">
        <v>643</v>
      </c>
      <c r="D73" s="373" t="s">
        <v>53</v>
      </c>
      <c r="E73" s="271">
        <v>12</v>
      </c>
      <c r="F73" s="271">
        <v>2</v>
      </c>
      <c r="G73" s="271">
        <v>14</v>
      </c>
      <c r="H73" s="271">
        <v>4</v>
      </c>
      <c r="I73" s="271">
        <v>18</v>
      </c>
      <c r="J73" s="271"/>
      <c r="K73" s="277">
        <v>18</v>
      </c>
    </row>
    <row r="74" spans="1:12">
      <c r="C74" s="575"/>
      <c r="D74" s="373" t="s">
        <v>72</v>
      </c>
      <c r="E74" s="271">
        <v>8</v>
      </c>
      <c r="F74" s="271">
        <v>1</v>
      </c>
      <c r="G74" s="271">
        <v>9</v>
      </c>
      <c r="H74" s="271">
        <v>1</v>
      </c>
      <c r="I74" s="271">
        <v>10</v>
      </c>
      <c r="J74" s="271"/>
      <c r="K74" s="277">
        <v>10</v>
      </c>
    </row>
    <row r="75" spans="1:12">
      <c r="C75" s="575"/>
      <c r="D75" s="373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73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73" t="s">
        <v>147</v>
      </c>
      <c r="E77" s="271">
        <v>11</v>
      </c>
      <c r="F77" s="271">
        <v>1</v>
      </c>
      <c r="G77" s="271">
        <v>12</v>
      </c>
      <c r="H77" s="271">
        <v>1</v>
      </c>
      <c r="I77" s="271">
        <v>13</v>
      </c>
      <c r="J77" s="271"/>
      <c r="K77" s="277">
        <v>13</v>
      </c>
    </row>
    <row r="78" spans="1:12">
      <c r="C78" s="576"/>
      <c r="D78" s="373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382</v>
      </c>
      <c r="F79" s="282">
        <v>53</v>
      </c>
      <c r="G79" s="282">
        <v>435</v>
      </c>
      <c r="H79" s="282">
        <v>93</v>
      </c>
      <c r="I79" s="282">
        <v>528</v>
      </c>
      <c r="J79" s="282">
        <v>0</v>
      </c>
      <c r="K79" s="283">
        <v>528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75" t="s">
        <v>955</v>
      </c>
      <c r="F82" s="375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76" t="s">
        <v>942</v>
      </c>
      <c r="L86" s="264" t="s">
        <v>853</v>
      </c>
      <c r="M86" s="264" t="s">
        <v>858</v>
      </c>
    </row>
    <row r="87" spans="3:16">
      <c r="D87" s="376" t="s">
        <v>945</v>
      </c>
      <c r="L87" s="264" t="s">
        <v>854</v>
      </c>
      <c r="M87" s="264" t="s">
        <v>855</v>
      </c>
      <c r="N87" s="264" t="s">
        <v>856</v>
      </c>
      <c r="O87" s="264" t="s">
        <v>857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90"/>
  <sheetViews>
    <sheetView topLeftCell="A74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69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6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65"/>
      <c r="C5" s="576"/>
      <c r="D5" s="577"/>
      <c r="E5" s="366" t="s">
        <v>69</v>
      </c>
      <c r="F5" s="366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65">
        <v>202</v>
      </c>
      <c r="C6" s="367"/>
      <c r="D6" s="366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65">
        <v>211</v>
      </c>
      <c r="C7" s="367"/>
      <c r="D7" s="366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66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66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66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66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66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66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21</v>
      </c>
    </row>
    <row r="19" spans="1:15">
      <c r="A19" s="75">
        <v>80000</v>
      </c>
      <c r="B19" s="46">
        <v>80020</v>
      </c>
      <c r="C19" s="586" t="s">
        <v>643</v>
      </c>
      <c r="D19" s="366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66" t="s">
        <v>124</v>
      </c>
      <c r="E20" s="271">
        <v>7</v>
      </c>
      <c r="F20" s="271">
        <v>0</v>
      </c>
      <c r="G20" s="271">
        <v>7</v>
      </c>
      <c r="H20" s="271">
        <v>0</v>
      </c>
      <c r="I20" s="271">
        <v>7</v>
      </c>
      <c r="J20" s="271"/>
      <c r="K20" s="277">
        <v>7</v>
      </c>
    </row>
    <row r="21" spans="1:15">
      <c r="A21" s="75">
        <v>43011</v>
      </c>
      <c r="B21" s="46">
        <v>43021</v>
      </c>
      <c r="C21" s="370" t="s">
        <v>647</v>
      </c>
      <c r="D21" s="366" t="s">
        <v>165</v>
      </c>
      <c r="E21" s="271">
        <v>9</v>
      </c>
      <c r="F21" s="271">
        <v>1</v>
      </c>
      <c r="G21" s="271">
        <v>10</v>
      </c>
      <c r="H21" s="271">
        <v>0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52</v>
      </c>
    </row>
    <row r="23" spans="1:15">
      <c r="A23" s="75">
        <v>42111</v>
      </c>
      <c r="B23" s="46">
        <v>42121</v>
      </c>
      <c r="C23" s="278"/>
      <c r="D23" s="366" t="s">
        <v>172</v>
      </c>
      <c r="E23" s="271">
        <v>39</v>
      </c>
      <c r="F23" s="271">
        <v>3</v>
      </c>
      <c r="G23" s="271">
        <v>42</v>
      </c>
      <c r="H23" s="271">
        <v>10</v>
      </c>
      <c r="I23" s="271">
        <v>52</v>
      </c>
      <c r="J23" s="271"/>
      <c r="K23" s="277">
        <v>52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121</v>
      </c>
      <c r="F25" s="273">
        <v>9</v>
      </c>
      <c r="G25" s="273">
        <v>130</v>
      </c>
      <c r="H25" s="273">
        <v>33</v>
      </c>
      <c r="I25" s="273">
        <v>163</v>
      </c>
      <c r="J25" s="273">
        <v>0</v>
      </c>
      <c r="K25" s="281">
        <v>163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66" t="s">
        <v>280</v>
      </c>
      <c r="E26" s="271">
        <v>7</v>
      </c>
      <c r="F26" s="271">
        <v>0</v>
      </c>
      <c r="G26" s="271">
        <v>7</v>
      </c>
      <c r="H26" s="271">
        <v>3</v>
      </c>
      <c r="I26" s="271">
        <v>10</v>
      </c>
      <c r="J26" s="285"/>
      <c r="K26" s="277">
        <v>10</v>
      </c>
    </row>
    <row r="27" spans="1:15">
      <c r="A27" s="75">
        <v>42311</v>
      </c>
      <c r="B27" s="46">
        <v>42321</v>
      </c>
      <c r="C27" s="575"/>
      <c r="D27" s="366" t="s">
        <v>349</v>
      </c>
      <c r="E27" s="271">
        <v>15</v>
      </c>
      <c r="F27" s="271">
        <v>0</v>
      </c>
      <c r="G27" s="271">
        <v>15</v>
      </c>
      <c r="H27" s="271">
        <v>3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66" t="s">
        <v>258</v>
      </c>
      <c r="E28" s="271">
        <v>22</v>
      </c>
      <c r="F28" s="271">
        <v>0</v>
      </c>
      <c r="G28" s="271">
        <v>22</v>
      </c>
      <c r="H28" s="271">
        <v>4</v>
      </c>
      <c r="I28" s="271">
        <v>26</v>
      </c>
      <c r="J28" s="285"/>
      <c r="K28" s="277">
        <v>26</v>
      </c>
    </row>
    <row r="29" spans="1:15">
      <c r="A29" s="75">
        <v>43311</v>
      </c>
      <c r="B29" s="46">
        <v>43321</v>
      </c>
      <c r="C29" s="571" t="s">
        <v>626</v>
      </c>
      <c r="D29" s="366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66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66"/>
      <c r="E31" s="271"/>
      <c r="F31" s="271"/>
      <c r="G31" s="271"/>
      <c r="H31" s="271"/>
      <c r="I31" s="271"/>
      <c r="J31" s="285"/>
      <c r="K31" s="277"/>
      <c r="L31" s="371"/>
      <c r="M31" s="371"/>
      <c r="N31" s="371"/>
      <c r="O31" s="371"/>
    </row>
    <row r="32" spans="1:15">
      <c r="A32" s="75">
        <v>40400</v>
      </c>
      <c r="B32" s="46">
        <v>40420</v>
      </c>
      <c r="C32" s="571"/>
      <c r="D32" s="366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40000</v>
      </c>
      <c r="B33" s="46">
        <v>40020</v>
      </c>
      <c r="C33" s="571"/>
      <c r="D33" s="366" t="s">
        <v>290</v>
      </c>
      <c r="E33" s="271">
        <v>12</v>
      </c>
      <c r="F33" s="271">
        <v>0</v>
      </c>
      <c r="G33" s="271">
        <v>12</v>
      </c>
      <c r="H33" s="271">
        <v>2</v>
      </c>
      <c r="I33" s="271">
        <v>14</v>
      </c>
      <c r="J33" s="285"/>
      <c r="K33" s="277">
        <v>14</v>
      </c>
    </row>
    <row r="34" spans="1:14">
      <c r="A34" s="76"/>
      <c r="B34" s="56"/>
      <c r="C34" s="571"/>
      <c r="D34" s="366" t="s">
        <v>674</v>
      </c>
      <c r="E34" s="271">
        <v>6</v>
      </c>
      <c r="F34" s="271">
        <v>0</v>
      </c>
      <c r="G34" s="271">
        <v>6</v>
      </c>
      <c r="H34" s="271">
        <v>0</v>
      </c>
      <c r="I34" s="271">
        <v>6</v>
      </c>
      <c r="J34" s="285"/>
      <c r="K34" s="277">
        <v>6</v>
      </c>
    </row>
    <row r="35" spans="1:14">
      <c r="A35" s="75">
        <v>67211</v>
      </c>
      <c r="B35" s="46">
        <v>67221</v>
      </c>
      <c r="C35" s="571" t="s">
        <v>627</v>
      </c>
      <c r="D35" s="366" t="s">
        <v>364</v>
      </c>
      <c r="E35" s="271">
        <v>9</v>
      </c>
      <c r="F35" s="271">
        <v>6</v>
      </c>
      <c r="G35" s="271">
        <v>15</v>
      </c>
      <c r="H35" s="271">
        <v>6</v>
      </c>
      <c r="I35" s="271">
        <v>21</v>
      </c>
      <c r="J35" s="285"/>
      <c r="K35" s="277">
        <v>21</v>
      </c>
      <c r="L35" s="264">
        <v>2</v>
      </c>
    </row>
    <row r="36" spans="1:14">
      <c r="A36" s="75">
        <v>68011</v>
      </c>
      <c r="B36" s="46">
        <v>68021</v>
      </c>
      <c r="C36" s="571"/>
      <c r="D36" s="366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66" t="s">
        <v>103</v>
      </c>
      <c r="E37" s="271">
        <v>8</v>
      </c>
      <c r="F37" s="271">
        <v>0</v>
      </c>
      <c r="G37" s="271">
        <v>8</v>
      </c>
      <c r="H37" s="271">
        <v>6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366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64011</v>
      </c>
      <c r="B39" s="46">
        <v>64021</v>
      </c>
      <c r="C39" s="278"/>
      <c r="D39" s="366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97</v>
      </c>
      <c r="F40" s="273">
        <v>10</v>
      </c>
      <c r="G40" s="273">
        <v>107</v>
      </c>
      <c r="H40" s="273">
        <v>28</v>
      </c>
      <c r="I40" s="273">
        <v>135</v>
      </c>
      <c r="J40" s="273">
        <v>0</v>
      </c>
      <c r="K40" s="281">
        <v>135</v>
      </c>
    </row>
    <row r="41" spans="1:14">
      <c r="A41" s="75">
        <v>64211</v>
      </c>
      <c r="B41" s="46">
        <v>64221</v>
      </c>
      <c r="C41" s="586" t="s">
        <v>625</v>
      </c>
      <c r="D41" s="366" t="s">
        <v>476</v>
      </c>
      <c r="E41" s="271">
        <v>6</v>
      </c>
      <c r="F41" s="271">
        <v>0</v>
      </c>
      <c r="G41" s="271">
        <v>6</v>
      </c>
      <c r="H41" s="271">
        <v>3</v>
      </c>
      <c r="I41" s="271">
        <v>9</v>
      </c>
      <c r="J41" s="271"/>
      <c r="K41" s="277">
        <v>9</v>
      </c>
    </row>
    <row r="42" spans="1:14">
      <c r="A42" s="75">
        <v>67011</v>
      </c>
      <c r="B42" s="46">
        <v>67021</v>
      </c>
      <c r="C42" s="575"/>
      <c r="D42" s="366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66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66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66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66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66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66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66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66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66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66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66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66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66" t="s">
        <v>433</v>
      </c>
      <c r="E55" s="271">
        <v>13</v>
      </c>
      <c r="F55" s="271">
        <v>0</v>
      </c>
      <c r="G55" s="271">
        <v>13</v>
      </c>
      <c r="H55" s="271">
        <v>5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66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66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32</v>
      </c>
      <c r="F58" s="273">
        <v>2</v>
      </c>
      <c r="G58" s="273">
        <v>34</v>
      </c>
      <c r="H58" s="273">
        <v>9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66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66" t="s">
        <v>383</v>
      </c>
      <c r="E60" s="271">
        <v>4</v>
      </c>
      <c r="F60" s="271">
        <v>0</v>
      </c>
      <c r="G60" s="271">
        <v>4</v>
      </c>
      <c r="H60" s="271">
        <v>2</v>
      </c>
      <c r="I60" s="271">
        <v>6</v>
      </c>
      <c r="J60" s="271"/>
      <c r="K60" s="277">
        <v>6</v>
      </c>
    </row>
    <row r="61" spans="1:12">
      <c r="A61" s="75">
        <v>22000</v>
      </c>
      <c r="B61" s="46">
        <v>22020</v>
      </c>
      <c r="C61" s="575"/>
      <c r="D61" s="366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66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67" t="s">
        <v>626</v>
      </c>
      <c r="D63" s="366" t="s">
        <v>114</v>
      </c>
      <c r="E63" s="271">
        <v>5</v>
      </c>
      <c r="F63" s="271">
        <v>2</v>
      </c>
      <c r="G63" s="271">
        <v>7</v>
      </c>
      <c r="H63" s="271">
        <v>2</v>
      </c>
      <c r="I63" s="271">
        <v>9</v>
      </c>
      <c r="J63" s="271"/>
      <c r="K63" s="277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11</v>
      </c>
      <c r="G64" s="273">
        <v>24</v>
      </c>
      <c r="H64" s="273">
        <v>1</v>
      </c>
      <c r="I64" s="273">
        <v>25</v>
      </c>
      <c r="J64" s="273">
        <v>0</v>
      </c>
      <c r="K64" s="281">
        <v>25</v>
      </c>
      <c r="L64" s="94"/>
    </row>
    <row r="65" spans="1:12">
      <c r="A65" s="76"/>
      <c r="B65" s="56"/>
      <c r="C65" s="586" t="s">
        <v>643</v>
      </c>
      <c r="D65" s="366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2</v>
      </c>
      <c r="G66" s="271">
        <v>4</v>
      </c>
      <c r="H66" s="271">
        <v>0</v>
      </c>
      <c r="I66" s="271">
        <v>4</v>
      </c>
      <c r="J66" s="271"/>
      <c r="K66" s="277">
        <v>4</v>
      </c>
    </row>
    <row r="67" spans="1:12">
      <c r="A67" s="75">
        <v>31000</v>
      </c>
      <c r="B67" s="46">
        <v>31020</v>
      </c>
      <c r="C67" s="576"/>
      <c r="D67" s="366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66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66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53</v>
      </c>
    </row>
    <row r="72" spans="1:12">
      <c r="C72" s="584" t="s">
        <v>617</v>
      </c>
      <c r="D72" s="585"/>
      <c r="E72" s="273">
        <v>39</v>
      </c>
      <c r="F72" s="273">
        <v>5</v>
      </c>
      <c r="G72" s="273">
        <v>44</v>
      </c>
      <c r="H72" s="273">
        <v>9</v>
      </c>
      <c r="I72" s="273">
        <v>53</v>
      </c>
      <c r="J72" s="273">
        <v>0</v>
      </c>
      <c r="K72" s="281">
        <v>53</v>
      </c>
      <c r="L72" s="37"/>
    </row>
    <row r="73" spans="1:12">
      <c r="B73" s="56"/>
      <c r="C73" s="586" t="s">
        <v>643</v>
      </c>
      <c r="D73" s="366" t="s">
        <v>53</v>
      </c>
      <c r="E73" s="271">
        <v>12</v>
      </c>
      <c r="F73" s="271">
        <v>2</v>
      </c>
      <c r="G73" s="271">
        <v>14</v>
      </c>
      <c r="H73" s="271">
        <v>4</v>
      </c>
      <c r="I73" s="271">
        <v>18</v>
      </c>
      <c r="J73" s="271"/>
      <c r="K73" s="277">
        <v>18</v>
      </c>
    </row>
    <row r="74" spans="1:12">
      <c r="C74" s="575"/>
      <c r="D74" s="366" t="s">
        <v>72</v>
      </c>
      <c r="E74" s="271">
        <v>8</v>
      </c>
      <c r="F74" s="271">
        <v>1</v>
      </c>
      <c r="G74" s="271">
        <v>9</v>
      </c>
      <c r="H74" s="271">
        <v>1</v>
      </c>
      <c r="I74" s="271">
        <v>10</v>
      </c>
      <c r="J74" s="271"/>
      <c r="K74" s="277">
        <v>10</v>
      </c>
    </row>
    <row r="75" spans="1:12">
      <c r="C75" s="575"/>
      <c r="D75" s="366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66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66" t="s">
        <v>147</v>
      </c>
      <c r="E77" s="271">
        <v>11</v>
      </c>
      <c r="F77" s="271">
        <v>1</v>
      </c>
      <c r="G77" s="271">
        <v>12</v>
      </c>
      <c r="H77" s="271">
        <v>1</v>
      </c>
      <c r="I77" s="271">
        <v>13</v>
      </c>
      <c r="J77" s="271"/>
      <c r="K77" s="277">
        <v>13</v>
      </c>
    </row>
    <row r="78" spans="1:12">
      <c r="C78" s="576"/>
      <c r="D78" s="366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381</v>
      </c>
      <c r="F79" s="282">
        <v>53</v>
      </c>
      <c r="G79" s="282">
        <v>434</v>
      </c>
      <c r="H79" s="282">
        <v>94</v>
      </c>
      <c r="I79" s="282">
        <v>528</v>
      </c>
      <c r="J79" s="282">
        <v>0</v>
      </c>
      <c r="K79" s="283">
        <v>528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68" t="s">
        <v>69</v>
      </c>
      <c r="F82" s="368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69" t="s">
        <v>934</v>
      </c>
      <c r="L86" s="264" t="s">
        <v>853</v>
      </c>
      <c r="M86" s="264" t="s">
        <v>858</v>
      </c>
    </row>
    <row r="87" spans="3:16">
      <c r="D87" s="369" t="s">
        <v>935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8" spans="3:16">
      <c r="D88" s="369" t="s">
        <v>941</v>
      </c>
    </row>
    <row r="90" spans="3:16">
      <c r="D90" s="369" t="s">
        <v>943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7"/>
  <sheetViews>
    <sheetView topLeftCell="A65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69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6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65"/>
      <c r="C5" s="576"/>
      <c r="D5" s="577"/>
      <c r="E5" s="366" t="s">
        <v>635</v>
      </c>
      <c r="F5" s="366" t="s">
        <v>938</v>
      </c>
      <c r="G5" s="577"/>
      <c r="H5" s="577"/>
      <c r="I5" s="577"/>
      <c r="J5" s="590"/>
      <c r="K5" s="578"/>
    </row>
    <row r="6" spans="1:11" hidden="1">
      <c r="A6" s="77">
        <v>200</v>
      </c>
      <c r="B6" s="365">
        <v>202</v>
      </c>
      <c r="C6" s="367"/>
      <c r="D6" s="366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65">
        <v>211</v>
      </c>
      <c r="C7" s="367"/>
      <c r="D7" s="366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66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66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66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66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66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66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21</v>
      </c>
    </row>
    <row r="19" spans="1:15">
      <c r="A19" s="75">
        <v>80000</v>
      </c>
      <c r="B19" s="46">
        <v>80020</v>
      </c>
      <c r="C19" s="586" t="s">
        <v>643</v>
      </c>
      <c r="D19" s="366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66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70" t="s">
        <v>647</v>
      </c>
      <c r="D21" s="366" t="s">
        <v>165</v>
      </c>
      <c r="E21" s="271">
        <v>8</v>
      </c>
      <c r="F21" s="271">
        <v>1</v>
      </c>
      <c r="G21" s="271">
        <v>9</v>
      </c>
      <c r="H21" s="271">
        <v>0</v>
      </c>
      <c r="I21" s="271">
        <v>9</v>
      </c>
      <c r="J21" s="271"/>
      <c r="K21" s="277"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66" t="s">
        <v>172</v>
      </c>
      <c r="E23" s="271">
        <v>40</v>
      </c>
      <c r="F23" s="271">
        <v>3</v>
      </c>
      <c r="G23" s="271">
        <v>43</v>
      </c>
      <c r="H23" s="271">
        <v>10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369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123</v>
      </c>
      <c r="F25" s="273">
        <v>10</v>
      </c>
      <c r="G25" s="273">
        <v>133</v>
      </c>
      <c r="H25" s="273">
        <v>34</v>
      </c>
      <c r="I25" s="273">
        <v>167</v>
      </c>
      <c r="J25" s="273">
        <v>0</v>
      </c>
      <c r="K25" s="281">
        <v>167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66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66" t="s">
        <v>349</v>
      </c>
      <c r="E27" s="271">
        <v>15</v>
      </c>
      <c r="F27" s="271">
        <v>0</v>
      </c>
      <c r="G27" s="271">
        <v>15</v>
      </c>
      <c r="H27" s="271">
        <v>3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66" t="s">
        <v>258</v>
      </c>
      <c r="E28" s="271">
        <v>21</v>
      </c>
      <c r="F28" s="271">
        <v>0</v>
      </c>
      <c r="G28" s="271">
        <v>21</v>
      </c>
      <c r="H28" s="271">
        <v>4</v>
      </c>
      <c r="I28" s="271">
        <v>25</v>
      </c>
      <c r="J28" s="285"/>
      <c r="K28" s="277">
        <v>25</v>
      </c>
    </row>
    <row r="29" spans="1:15">
      <c r="A29" s="75">
        <v>43311</v>
      </c>
      <c r="B29" s="46">
        <v>43321</v>
      </c>
      <c r="C29" s="571" t="s">
        <v>626</v>
      </c>
      <c r="D29" s="366" t="s">
        <v>305</v>
      </c>
      <c r="E29" s="271">
        <v>17</v>
      </c>
      <c r="F29" s="271">
        <v>2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66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66"/>
      <c r="E31" s="271"/>
      <c r="F31" s="271"/>
      <c r="G31" s="271"/>
      <c r="H31" s="271"/>
      <c r="I31" s="271"/>
      <c r="J31" s="285"/>
      <c r="K31" s="277"/>
      <c r="L31" s="371"/>
      <c r="M31" s="371"/>
      <c r="N31" s="371"/>
      <c r="O31" s="371"/>
    </row>
    <row r="32" spans="1:15">
      <c r="A32" s="75">
        <v>40400</v>
      </c>
      <c r="B32" s="46">
        <v>40420</v>
      </c>
      <c r="C32" s="571"/>
      <c r="D32" s="366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40000</v>
      </c>
      <c r="B33" s="46">
        <v>40020</v>
      </c>
      <c r="C33" s="571"/>
      <c r="D33" s="366" t="s">
        <v>290</v>
      </c>
      <c r="E33" s="271">
        <v>12</v>
      </c>
      <c r="F33" s="271">
        <v>0</v>
      </c>
      <c r="G33" s="271">
        <v>12</v>
      </c>
      <c r="H33" s="271">
        <v>2</v>
      </c>
      <c r="I33" s="271">
        <v>14</v>
      </c>
      <c r="J33" s="285"/>
      <c r="K33" s="277">
        <v>14</v>
      </c>
    </row>
    <row r="34" spans="1:14">
      <c r="A34" s="76"/>
      <c r="B34" s="56"/>
      <c r="C34" s="571"/>
      <c r="D34" s="366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66" t="s">
        <v>364</v>
      </c>
      <c r="E35" s="271">
        <v>10</v>
      </c>
      <c r="F35" s="271">
        <v>7</v>
      </c>
      <c r="G35" s="271">
        <v>17</v>
      </c>
      <c r="H35" s="271">
        <v>7</v>
      </c>
      <c r="I35" s="271">
        <v>24</v>
      </c>
      <c r="J35" s="285"/>
      <c r="K35" s="277">
        <v>24</v>
      </c>
      <c r="L35" s="264">
        <v>2</v>
      </c>
    </row>
    <row r="36" spans="1:14">
      <c r="A36" s="75">
        <v>68011</v>
      </c>
      <c r="B36" s="46">
        <v>68021</v>
      </c>
      <c r="C36" s="571"/>
      <c r="D36" s="366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66" t="s">
        <v>103</v>
      </c>
      <c r="E37" s="271">
        <v>8</v>
      </c>
      <c r="F37" s="271">
        <v>0</v>
      </c>
      <c r="G37" s="271">
        <v>8</v>
      </c>
      <c r="H37" s="271">
        <v>6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366" t="s">
        <v>98</v>
      </c>
      <c r="E38" s="271">
        <v>3</v>
      </c>
      <c r="F38" s="271">
        <v>0</v>
      </c>
      <c r="G38" s="271">
        <v>3</v>
      </c>
      <c r="H38" s="271">
        <v>2</v>
      </c>
      <c r="I38" s="271">
        <v>5</v>
      </c>
      <c r="J38" s="285"/>
      <c r="K38" s="277">
        <v>5</v>
      </c>
    </row>
    <row r="39" spans="1:14">
      <c r="A39" s="75">
        <v>64011</v>
      </c>
      <c r="B39" s="46">
        <v>64021</v>
      </c>
      <c r="C39" s="278"/>
      <c r="D39" s="366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98</v>
      </c>
      <c r="F40" s="273">
        <v>10</v>
      </c>
      <c r="G40" s="273">
        <v>108</v>
      </c>
      <c r="H40" s="273">
        <v>28</v>
      </c>
      <c r="I40" s="273">
        <v>136</v>
      </c>
      <c r="J40" s="273">
        <v>0</v>
      </c>
      <c r="K40" s="281">
        <v>136</v>
      </c>
    </row>
    <row r="41" spans="1:14">
      <c r="A41" s="75">
        <v>64211</v>
      </c>
      <c r="B41" s="46">
        <v>64221</v>
      </c>
      <c r="C41" s="586" t="s">
        <v>625</v>
      </c>
      <c r="D41" s="366" t="s">
        <v>476</v>
      </c>
      <c r="E41" s="271">
        <v>6</v>
      </c>
      <c r="F41" s="271">
        <v>0</v>
      </c>
      <c r="G41" s="271">
        <v>6</v>
      </c>
      <c r="H41" s="271">
        <v>3</v>
      </c>
      <c r="I41" s="271">
        <v>9</v>
      </c>
      <c r="J41" s="271"/>
      <c r="K41" s="277">
        <v>9</v>
      </c>
    </row>
    <row r="42" spans="1:14">
      <c r="A42" s="75">
        <v>67011</v>
      </c>
      <c r="B42" s="46">
        <v>67021</v>
      </c>
      <c r="C42" s="575"/>
      <c r="D42" s="366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66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66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66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66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66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66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66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66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66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66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66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66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66" t="s">
        <v>433</v>
      </c>
      <c r="E55" s="271">
        <v>14</v>
      </c>
      <c r="F55" s="271">
        <v>0</v>
      </c>
      <c r="G55" s="271">
        <v>14</v>
      </c>
      <c r="H55" s="271">
        <v>5</v>
      </c>
      <c r="I55" s="271">
        <v>19</v>
      </c>
      <c r="J55" s="271"/>
      <c r="K55" s="277">
        <v>19</v>
      </c>
    </row>
    <row r="56" spans="1:12">
      <c r="A56" s="75">
        <v>45111</v>
      </c>
      <c r="B56" s="46">
        <v>45121</v>
      </c>
      <c r="C56" s="571"/>
      <c r="D56" s="366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66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32</v>
      </c>
      <c r="F58" s="273">
        <v>2</v>
      </c>
      <c r="G58" s="273">
        <v>34</v>
      </c>
      <c r="H58" s="273">
        <v>8</v>
      </c>
      <c r="I58" s="273">
        <v>42</v>
      </c>
      <c r="J58" s="273">
        <v>0</v>
      </c>
      <c r="K58" s="281">
        <v>42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66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66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66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66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67" t="s">
        <v>626</v>
      </c>
      <c r="D63" s="366" t="s">
        <v>114</v>
      </c>
      <c r="E63" s="271">
        <v>5</v>
      </c>
      <c r="F63" s="271">
        <v>2</v>
      </c>
      <c r="G63" s="271">
        <v>7</v>
      </c>
      <c r="H63" s="271">
        <v>2</v>
      </c>
      <c r="I63" s="271">
        <v>9</v>
      </c>
      <c r="J63" s="271"/>
      <c r="K63" s="277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10</v>
      </c>
      <c r="G64" s="273">
        <v>23</v>
      </c>
      <c r="H64" s="273">
        <v>1</v>
      </c>
      <c r="I64" s="273">
        <v>24</v>
      </c>
      <c r="J64" s="273">
        <v>0</v>
      </c>
      <c r="K64" s="281">
        <v>24</v>
      </c>
      <c r="L64" s="94"/>
    </row>
    <row r="65" spans="1:12">
      <c r="A65" s="76"/>
      <c r="B65" s="56"/>
      <c r="C65" s="586" t="s">
        <v>643</v>
      </c>
      <c r="D65" s="366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66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66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66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53</v>
      </c>
    </row>
    <row r="72" spans="1:12">
      <c r="C72" s="584" t="s">
        <v>617</v>
      </c>
      <c r="D72" s="585"/>
      <c r="E72" s="273">
        <v>38</v>
      </c>
      <c r="F72" s="273">
        <v>5</v>
      </c>
      <c r="G72" s="273">
        <v>43</v>
      </c>
      <c r="H72" s="273">
        <v>10</v>
      </c>
      <c r="I72" s="273">
        <v>53</v>
      </c>
      <c r="J72" s="273">
        <v>0</v>
      </c>
      <c r="K72" s="281">
        <v>53</v>
      </c>
      <c r="L72" s="37"/>
    </row>
    <row r="73" spans="1:12">
      <c r="B73" s="56"/>
      <c r="C73" s="586" t="s">
        <v>643</v>
      </c>
      <c r="D73" s="366" t="s">
        <v>53</v>
      </c>
      <c r="E73" s="271">
        <v>12</v>
      </c>
      <c r="F73" s="271">
        <v>2</v>
      </c>
      <c r="G73" s="271">
        <v>14</v>
      </c>
      <c r="H73" s="271">
        <v>4</v>
      </c>
      <c r="I73" s="271">
        <v>18</v>
      </c>
      <c r="J73" s="271"/>
      <c r="K73" s="277">
        <v>18</v>
      </c>
    </row>
    <row r="74" spans="1:12">
      <c r="C74" s="575"/>
      <c r="D74" s="366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66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66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66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66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384</v>
      </c>
      <c r="F79" s="282">
        <v>53</v>
      </c>
      <c r="G79" s="282">
        <v>437</v>
      </c>
      <c r="H79" s="282">
        <v>95</v>
      </c>
      <c r="I79" s="282">
        <v>532</v>
      </c>
      <c r="J79" s="282">
        <v>0</v>
      </c>
      <c r="K79" s="283">
        <v>532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68" t="s">
        <v>939</v>
      </c>
      <c r="F82" s="368" t="s">
        <v>940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69" t="s">
        <v>929</v>
      </c>
      <c r="L86" s="264" t="s">
        <v>853</v>
      </c>
      <c r="M86" s="264" t="s">
        <v>858</v>
      </c>
    </row>
    <row r="87" spans="3:16">
      <c r="D87" s="369" t="s">
        <v>933</v>
      </c>
      <c r="L87" s="264" t="s">
        <v>854</v>
      </c>
      <c r="M87" s="264" t="s">
        <v>855</v>
      </c>
      <c r="N87" s="264" t="s">
        <v>856</v>
      </c>
      <c r="O87" s="264" t="s">
        <v>857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8"/>
  <sheetViews>
    <sheetView topLeftCell="A41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62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59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59"/>
      <c r="C5" s="576"/>
      <c r="D5" s="577"/>
      <c r="E5" s="360" t="s">
        <v>69</v>
      </c>
      <c r="F5" s="360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59">
        <v>202</v>
      </c>
      <c r="C6" s="358"/>
      <c r="D6" s="360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59">
        <v>211</v>
      </c>
      <c r="C7" s="358"/>
      <c r="D7" s="360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60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60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60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60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60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60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22</v>
      </c>
    </row>
    <row r="19" spans="1:15">
      <c r="A19" s="75">
        <v>80000</v>
      </c>
      <c r="B19" s="46">
        <v>80020</v>
      </c>
      <c r="C19" s="586" t="s">
        <v>643</v>
      </c>
      <c r="D19" s="360" t="s">
        <v>120</v>
      </c>
      <c r="E19" s="271">
        <v>2</v>
      </c>
      <c r="F19" s="271">
        <v>2</v>
      </c>
      <c r="G19" s="271">
        <v>4</v>
      </c>
      <c r="H19" s="271">
        <v>0</v>
      </c>
      <c r="I19" s="271">
        <v>4</v>
      </c>
      <c r="J19" s="271"/>
      <c r="K19" s="277">
        <v>4</v>
      </c>
    </row>
    <row r="20" spans="1:15">
      <c r="A20" s="75">
        <v>41111</v>
      </c>
      <c r="B20" s="46">
        <v>41121</v>
      </c>
      <c r="C20" s="576"/>
      <c r="D20" s="360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63" t="s">
        <v>647</v>
      </c>
      <c r="D21" s="360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60" t="s">
        <v>172</v>
      </c>
      <c r="E23" s="271">
        <v>40</v>
      </c>
      <c r="F23" s="271">
        <v>3</v>
      </c>
      <c r="G23" s="271">
        <v>43</v>
      </c>
      <c r="H23" s="271">
        <v>10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365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122</v>
      </c>
      <c r="F25" s="273">
        <v>9</v>
      </c>
      <c r="G25" s="273">
        <v>131</v>
      </c>
      <c r="H25" s="273">
        <v>33</v>
      </c>
      <c r="I25" s="273">
        <v>164</v>
      </c>
      <c r="J25" s="273">
        <v>0</v>
      </c>
      <c r="K25" s="281">
        <v>164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60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60" t="s">
        <v>349</v>
      </c>
      <c r="E27" s="271">
        <v>15</v>
      </c>
      <c r="F27" s="271">
        <v>0</v>
      </c>
      <c r="G27" s="271">
        <v>15</v>
      </c>
      <c r="H27" s="271">
        <v>3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60" t="s">
        <v>258</v>
      </c>
      <c r="E28" s="271">
        <v>21</v>
      </c>
      <c r="F28" s="271">
        <v>0</v>
      </c>
      <c r="G28" s="271">
        <v>21</v>
      </c>
      <c r="H28" s="271">
        <v>4</v>
      </c>
      <c r="I28" s="271">
        <v>25</v>
      </c>
      <c r="J28" s="285"/>
      <c r="K28" s="277">
        <v>25</v>
      </c>
    </row>
    <row r="29" spans="1:15">
      <c r="A29" s="75">
        <v>43311</v>
      </c>
      <c r="B29" s="46">
        <v>43321</v>
      </c>
      <c r="C29" s="571" t="s">
        <v>626</v>
      </c>
      <c r="D29" s="360" t="s">
        <v>305</v>
      </c>
      <c r="E29" s="271">
        <v>17</v>
      </c>
      <c r="F29" s="271">
        <v>1</v>
      </c>
      <c r="G29" s="271">
        <v>18</v>
      </c>
      <c r="H29" s="271">
        <v>3</v>
      </c>
      <c r="I29" s="271">
        <v>21</v>
      </c>
      <c r="J29" s="285"/>
      <c r="K29" s="277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60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60"/>
      <c r="E31" s="271"/>
      <c r="F31" s="271"/>
      <c r="G31" s="271"/>
      <c r="H31" s="271"/>
      <c r="I31" s="271"/>
      <c r="J31" s="285"/>
      <c r="K31" s="277"/>
      <c r="L31" s="364"/>
      <c r="M31" s="364"/>
      <c r="N31" s="364"/>
      <c r="O31" s="364"/>
    </row>
    <row r="32" spans="1:15">
      <c r="A32" s="75">
        <v>40400</v>
      </c>
      <c r="B32" s="46">
        <v>40420</v>
      </c>
      <c r="C32" s="571"/>
      <c r="D32" s="360" t="s">
        <v>318</v>
      </c>
      <c r="E32" s="271">
        <v>12</v>
      </c>
      <c r="F32" s="271">
        <v>0</v>
      </c>
      <c r="G32" s="271">
        <v>12</v>
      </c>
      <c r="H32" s="271">
        <v>2</v>
      </c>
      <c r="I32" s="271">
        <v>14</v>
      </c>
      <c r="J32" s="285"/>
      <c r="K32" s="277">
        <v>14</v>
      </c>
    </row>
    <row r="33" spans="1:14">
      <c r="A33" s="75">
        <v>40000</v>
      </c>
      <c r="B33" s="46">
        <v>40020</v>
      </c>
      <c r="C33" s="571"/>
      <c r="D33" s="360" t="s">
        <v>290</v>
      </c>
      <c r="E33" s="271">
        <v>12</v>
      </c>
      <c r="F33" s="271">
        <v>0</v>
      </c>
      <c r="G33" s="271">
        <v>12</v>
      </c>
      <c r="H33" s="271">
        <v>2</v>
      </c>
      <c r="I33" s="271">
        <v>14</v>
      </c>
      <c r="J33" s="285"/>
      <c r="K33" s="277">
        <v>14</v>
      </c>
    </row>
    <row r="34" spans="1:14">
      <c r="A34" s="76"/>
      <c r="B34" s="56"/>
      <c r="C34" s="571"/>
      <c r="D34" s="360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60" t="s">
        <v>364</v>
      </c>
      <c r="E35" s="271">
        <v>10</v>
      </c>
      <c r="F35" s="271">
        <v>7</v>
      </c>
      <c r="G35" s="271">
        <v>17</v>
      </c>
      <c r="H35" s="271">
        <v>6</v>
      </c>
      <c r="I35" s="271">
        <v>23</v>
      </c>
      <c r="J35" s="285"/>
      <c r="K35" s="277">
        <v>23</v>
      </c>
      <c r="L35" s="264">
        <v>2</v>
      </c>
    </row>
    <row r="36" spans="1:14">
      <c r="A36" s="75">
        <v>68011</v>
      </c>
      <c r="B36" s="46">
        <v>68021</v>
      </c>
      <c r="C36" s="571"/>
      <c r="D36" s="360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60" t="s">
        <v>103</v>
      </c>
      <c r="E37" s="271">
        <v>8</v>
      </c>
      <c r="F37" s="271">
        <v>0</v>
      </c>
      <c r="G37" s="271">
        <v>8</v>
      </c>
      <c r="H37" s="271">
        <v>6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360" t="s">
        <v>98</v>
      </c>
      <c r="E38" s="271">
        <v>2</v>
      </c>
      <c r="F38" s="271">
        <v>0</v>
      </c>
      <c r="G38" s="271">
        <v>2</v>
      </c>
      <c r="H38" s="271">
        <v>2</v>
      </c>
      <c r="I38" s="271">
        <v>4</v>
      </c>
      <c r="J38" s="285"/>
      <c r="K38" s="277">
        <v>4</v>
      </c>
    </row>
    <row r="39" spans="1:14">
      <c r="A39" s="75">
        <v>64011</v>
      </c>
      <c r="B39" s="46">
        <v>64021</v>
      </c>
      <c r="C39" s="278"/>
      <c r="D39" s="360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97</v>
      </c>
      <c r="F40" s="273">
        <v>10</v>
      </c>
      <c r="G40" s="273">
        <v>107</v>
      </c>
      <c r="H40" s="273">
        <v>27</v>
      </c>
      <c r="I40" s="273">
        <v>134</v>
      </c>
      <c r="J40" s="273">
        <v>0</v>
      </c>
      <c r="K40" s="281">
        <v>134</v>
      </c>
    </row>
    <row r="41" spans="1:14">
      <c r="A41" s="75">
        <v>64211</v>
      </c>
      <c r="B41" s="46">
        <v>64221</v>
      </c>
      <c r="C41" s="586" t="s">
        <v>625</v>
      </c>
      <c r="D41" s="360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360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60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60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60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60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60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60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60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60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60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60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60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60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60" t="s">
        <v>433</v>
      </c>
      <c r="E55" s="271">
        <v>13</v>
      </c>
      <c r="F55" s="271">
        <v>0</v>
      </c>
      <c r="G55" s="271">
        <v>13</v>
      </c>
      <c r="H55" s="271">
        <v>5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60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60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33</v>
      </c>
      <c r="F58" s="273">
        <v>2</v>
      </c>
      <c r="G58" s="273">
        <v>35</v>
      </c>
      <c r="H58" s="273">
        <v>8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60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60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60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60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58" t="s">
        <v>626</v>
      </c>
      <c r="D63" s="360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10</v>
      </c>
      <c r="G64" s="273">
        <v>23</v>
      </c>
      <c r="H64" s="273">
        <v>1</v>
      </c>
      <c r="I64" s="273">
        <v>24</v>
      </c>
      <c r="J64" s="273">
        <v>0</v>
      </c>
      <c r="K64" s="281">
        <v>24</v>
      </c>
      <c r="L64" s="94"/>
    </row>
    <row r="65" spans="1:12">
      <c r="A65" s="76"/>
      <c r="B65" s="56"/>
      <c r="C65" s="586" t="s">
        <v>643</v>
      </c>
      <c r="D65" s="360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60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60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60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53</v>
      </c>
    </row>
    <row r="72" spans="1:12">
      <c r="C72" s="584" t="s">
        <v>617</v>
      </c>
      <c r="D72" s="585"/>
      <c r="E72" s="273">
        <v>38</v>
      </c>
      <c r="F72" s="273">
        <v>5</v>
      </c>
      <c r="G72" s="273">
        <v>43</v>
      </c>
      <c r="H72" s="273">
        <v>10</v>
      </c>
      <c r="I72" s="273">
        <v>53</v>
      </c>
      <c r="J72" s="273">
        <v>0</v>
      </c>
      <c r="K72" s="281">
        <v>53</v>
      </c>
      <c r="L72" s="37"/>
    </row>
    <row r="73" spans="1:12">
      <c r="B73" s="56"/>
      <c r="C73" s="586" t="s">
        <v>643</v>
      </c>
      <c r="D73" s="360" t="s">
        <v>53</v>
      </c>
      <c r="E73" s="271">
        <v>12</v>
      </c>
      <c r="F73" s="271">
        <v>2</v>
      </c>
      <c r="G73" s="271">
        <v>14</v>
      </c>
      <c r="H73" s="271">
        <v>4</v>
      </c>
      <c r="I73" s="271">
        <v>18</v>
      </c>
      <c r="J73" s="271"/>
      <c r="K73" s="277">
        <v>18</v>
      </c>
    </row>
    <row r="74" spans="1:12">
      <c r="C74" s="575"/>
      <c r="D74" s="360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60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60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60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60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383</v>
      </c>
      <c r="F79" s="282">
        <v>52</v>
      </c>
      <c r="G79" s="282">
        <v>435</v>
      </c>
      <c r="H79" s="282">
        <v>94</v>
      </c>
      <c r="I79" s="282">
        <v>529</v>
      </c>
      <c r="J79" s="282">
        <v>0</v>
      </c>
      <c r="K79" s="283">
        <v>529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61" t="s">
        <v>69</v>
      </c>
      <c r="F82" s="361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62" t="s">
        <v>925</v>
      </c>
      <c r="L86" s="264" t="s">
        <v>853</v>
      </c>
      <c r="M86" s="264" t="s">
        <v>858</v>
      </c>
    </row>
    <row r="87" spans="3:16">
      <c r="D87" s="362" t="s">
        <v>927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8" spans="3:16">
      <c r="D88" s="362" t="s">
        <v>926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7"/>
  <sheetViews>
    <sheetView topLeftCell="A68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55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51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51"/>
      <c r="C5" s="576"/>
      <c r="D5" s="577"/>
      <c r="E5" s="352" t="s">
        <v>69</v>
      </c>
      <c r="F5" s="352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51">
        <v>202</v>
      </c>
      <c r="C6" s="353"/>
      <c r="D6" s="352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51">
        <v>211</v>
      </c>
      <c r="C7" s="353"/>
      <c r="D7" s="352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52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52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52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52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52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52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352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352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56" t="s">
        <v>647</v>
      </c>
      <c r="D21" s="352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52" t="s">
        <v>172</v>
      </c>
      <c r="E23" s="271">
        <v>40</v>
      </c>
      <c r="F23" s="271">
        <v>3</v>
      </c>
      <c r="G23" s="271">
        <v>43</v>
      </c>
      <c r="H23" s="271">
        <v>10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124</v>
      </c>
      <c r="F25" s="273">
        <v>9</v>
      </c>
      <c r="G25" s="273">
        <v>133</v>
      </c>
      <c r="H25" s="273">
        <v>33</v>
      </c>
      <c r="I25" s="273">
        <v>166</v>
      </c>
      <c r="J25" s="273">
        <v>0</v>
      </c>
      <c r="K25" s="281">
        <v>166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52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52" t="s">
        <v>349</v>
      </c>
      <c r="E27" s="271">
        <v>16</v>
      </c>
      <c r="F27" s="271">
        <v>0</v>
      </c>
      <c r="G27" s="271">
        <v>16</v>
      </c>
      <c r="H27" s="271">
        <v>2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52" t="s">
        <v>258</v>
      </c>
      <c r="E28" s="271">
        <v>21</v>
      </c>
      <c r="F28" s="271">
        <v>0</v>
      </c>
      <c r="G28" s="271">
        <v>21</v>
      </c>
      <c r="H28" s="271">
        <v>4</v>
      </c>
      <c r="I28" s="271">
        <v>25</v>
      </c>
      <c r="J28" s="285"/>
      <c r="K28" s="277">
        <v>25</v>
      </c>
    </row>
    <row r="29" spans="1:15">
      <c r="A29" s="75">
        <v>43311</v>
      </c>
      <c r="B29" s="46">
        <v>43321</v>
      </c>
      <c r="C29" s="571" t="s">
        <v>626</v>
      </c>
      <c r="D29" s="352" t="s">
        <v>305</v>
      </c>
      <c r="E29" s="271">
        <v>18</v>
      </c>
      <c r="F29" s="271">
        <v>1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52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52"/>
      <c r="E31" s="271"/>
      <c r="F31" s="271"/>
      <c r="G31" s="271"/>
      <c r="H31" s="271"/>
      <c r="I31" s="271"/>
      <c r="J31" s="285"/>
      <c r="K31" s="277"/>
      <c r="L31" s="357"/>
      <c r="M31" s="357"/>
      <c r="N31" s="357"/>
      <c r="O31" s="357"/>
    </row>
    <row r="32" spans="1:15">
      <c r="A32" s="75">
        <v>40400</v>
      </c>
      <c r="B32" s="46">
        <v>40420</v>
      </c>
      <c r="C32" s="571"/>
      <c r="D32" s="352" t="s">
        <v>318</v>
      </c>
      <c r="E32" s="271">
        <v>12</v>
      </c>
      <c r="F32" s="271">
        <v>0</v>
      </c>
      <c r="G32" s="271">
        <v>12</v>
      </c>
      <c r="H32" s="271">
        <v>1</v>
      </c>
      <c r="I32" s="271">
        <v>13</v>
      </c>
      <c r="J32" s="285"/>
      <c r="K32" s="277">
        <v>13</v>
      </c>
    </row>
    <row r="33" spans="1:14">
      <c r="A33" s="75">
        <v>40000</v>
      </c>
      <c r="B33" s="46">
        <v>40020</v>
      </c>
      <c r="C33" s="571"/>
      <c r="D33" s="352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352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52" t="s">
        <v>364</v>
      </c>
      <c r="E35" s="271">
        <v>10</v>
      </c>
      <c r="F35" s="271">
        <v>7</v>
      </c>
      <c r="G35" s="271">
        <v>17</v>
      </c>
      <c r="H35" s="271">
        <v>6</v>
      </c>
      <c r="I35" s="271">
        <v>23</v>
      </c>
      <c r="J35" s="285"/>
      <c r="K35" s="277">
        <v>23</v>
      </c>
      <c r="L35" s="264">
        <v>2</v>
      </c>
    </row>
    <row r="36" spans="1:14">
      <c r="A36" s="75">
        <v>68011</v>
      </c>
      <c r="B36" s="46">
        <v>68021</v>
      </c>
      <c r="C36" s="571"/>
      <c r="D36" s="352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52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52" t="s">
        <v>98</v>
      </c>
      <c r="E38" s="271">
        <v>2</v>
      </c>
      <c r="F38" s="271">
        <v>0</v>
      </c>
      <c r="G38" s="271">
        <v>2</v>
      </c>
      <c r="H38" s="271">
        <v>2</v>
      </c>
      <c r="I38" s="271">
        <v>4</v>
      </c>
      <c r="J38" s="285"/>
      <c r="K38" s="277">
        <v>4</v>
      </c>
    </row>
    <row r="39" spans="1:14">
      <c r="A39" s="75">
        <v>64011</v>
      </c>
      <c r="B39" s="46">
        <v>64021</v>
      </c>
      <c r="C39" s="278"/>
      <c r="D39" s="352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97</v>
      </c>
      <c r="F40" s="273">
        <v>10</v>
      </c>
      <c r="G40" s="273">
        <v>107</v>
      </c>
      <c r="H40" s="273">
        <v>27</v>
      </c>
      <c r="I40" s="273">
        <v>134</v>
      </c>
      <c r="J40" s="273">
        <v>0</v>
      </c>
      <c r="K40" s="281">
        <v>134</v>
      </c>
    </row>
    <row r="41" spans="1:14">
      <c r="A41" s="75">
        <v>64211</v>
      </c>
      <c r="B41" s="46">
        <v>64221</v>
      </c>
      <c r="C41" s="586" t="s">
        <v>625</v>
      </c>
      <c r="D41" s="352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352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52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52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52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52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52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52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52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52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52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52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52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52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52" t="s">
        <v>433</v>
      </c>
      <c r="E55" s="271">
        <v>13</v>
      </c>
      <c r="F55" s="271">
        <v>0</v>
      </c>
      <c r="G55" s="271">
        <v>13</v>
      </c>
      <c r="H55" s="271">
        <v>5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52" t="s">
        <v>449</v>
      </c>
      <c r="E56" s="271">
        <v>13</v>
      </c>
      <c r="F56" s="271">
        <v>4</v>
      </c>
      <c r="G56" s="271">
        <v>17</v>
      </c>
      <c r="H56" s="271">
        <v>2</v>
      </c>
      <c r="I56" s="271">
        <v>19</v>
      </c>
      <c r="J56" s="271"/>
      <c r="K56" s="277">
        <v>19</v>
      </c>
    </row>
    <row r="57" spans="1:12">
      <c r="A57" s="75">
        <v>44200</v>
      </c>
      <c r="B57" s="46">
        <v>44220</v>
      </c>
      <c r="C57" s="278"/>
      <c r="D57" s="352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33</v>
      </c>
      <c r="F58" s="273">
        <v>2</v>
      </c>
      <c r="G58" s="273">
        <v>35</v>
      </c>
      <c r="H58" s="273">
        <v>8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52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52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52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52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53" t="s">
        <v>626</v>
      </c>
      <c r="D63" s="352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10</v>
      </c>
      <c r="G64" s="273">
        <v>23</v>
      </c>
      <c r="H64" s="273">
        <v>1</v>
      </c>
      <c r="I64" s="273">
        <v>24</v>
      </c>
      <c r="J64" s="273">
        <v>0</v>
      </c>
      <c r="K64" s="281">
        <v>24</v>
      </c>
      <c r="L64" s="94"/>
    </row>
    <row r="65" spans="1:12">
      <c r="A65" s="76"/>
      <c r="B65" s="56"/>
      <c r="C65" s="586" t="s">
        <v>643</v>
      </c>
      <c r="D65" s="352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52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52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52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53</v>
      </c>
    </row>
    <row r="72" spans="1:12">
      <c r="C72" s="584" t="s">
        <v>617</v>
      </c>
      <c r="D72" s="585"/>
      <c r="E72" s="273">
        <v>38</v>
      </c>
      <c r="F72" s="273">
        <v>5</v>
      </c>
      <c r="G72" s="273">
        <v>43</v>
      </c>
      <c r="H72" s="273">
        <v>10</v>
      </c>
      <c r="I72" s="273">
        <v>53</v>
      </c>
      <c r="J72" s="273">
        <v>0</v>
      </c>
      <c r="K72" s="281">
        <v>53</v>
      </c>
      <c r="L72" s="37"/>
    </row>
    <row r="73" spans="1:12">
      <c r="B73" s="56"/>
      <c r="C73" s="586" t="s">
        <v>643</v>
      </c>
      <c r="D73" s="352" t="s">
        <v>53</v>
      </c>
      <c r="E73" s="271">
        <v>12</v>
      </c>
      <c r="F73" s="271">
        <v>2</v>
      </c>
      <c r="G73" s="271">
        <v>14</v>
      </c>
      <c r="H73" s="271">
        <v>4</v>
      </c>
      <c r="I73" s="271">
        <v>18</v>
      </c>
      <c r="J73" s="271"/>
      <c r="K73" s="277">
        <v>18</v>
      </c>
    </row>
    <row r="74" spans="1:12">
      <c r="C74" s="575"/>
      <c r="D74" s="352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52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52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52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52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386</v>
      </c>
      <c r="F79" s="282">
        <v>52</v>
      </c>
      <c r="G79" s="282">
        <v>438</v>
      </c>
      <c r="H79" s="282">
        <v>94</v>
      </c>
      <c r="I79" s="282">
        <v>532</v>
      </c>
      <c r="J79" s="282">
        <v>0</v>
      </c>
      <c r="K79" s="283">
        <v>532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54" t="s">
        <v>69</v>
      </c>
      <c r="F82" s="354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55" t="s">
        <v>923</v>
      </c>
      <c r="L86" s="264" t="s">
        <v>853</v>
      </c>
      <c r="M86" s="264" t="s">
        <v>858</v>
      </c>
    </row>
    <row r="87" spans="3:16">
      <c r="D87" s="355" t="s">
        <v>852</v>
      </c>
      <c r="L87" s="264" t="s">
        <v>854</v>
      </c>
      <c r="M87" s="264" t="s">
        <v>855</v>
      </c>
      <c r="N87" s="264" t="s">
        <v>856</v>
      </c>
      <c r="O87" s="264" t="s">
        <v>857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A71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42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34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34"/>
      <c r="C5" s="576"/>
      <c r="D5" s="577"/>
      <c r="E5" s="335" t="s">
        <v>69</v>
      </c>
      <c r="F5" s="335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34">
        <v>202</v>
      </c>
      <c r="C6" s="336"/>
      <c r="D6" s="335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34">
        <v>211</v>
      </c>
      <c r="C7" s="336"/>
      <c r="D7" s="335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35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35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10</v>
      </c>
    </row>
    <row r="12" spans="1:11">
      <c r="A12" s="76">
        <v>1000</v>
      </c>
      <c r="B12" s="46">
        <v>1020</v>
      </c>
      <c r="C12" s="278"/>
      <c r="D12" s="335" t="s">
        <v>218</v>
      </c>
      <c r="E12" s="271">
        <v>8</v>
      </c>
      <c r="F12" s="271">
        <v>2</v>
      </c>
      <c r="G12" s="271">
        <v>10</v>
      </c>
      <c r="H12" s="271">
        <v>0</v>
      </c>
      <c r="I12" s="271">
        <v>10</v>
      </c>
      <c r="J12" s="271"/>
      <c r="K12" s="277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15</v>
      </c>
    </row>
    <row r="14" spans="1:11">
      <c r="A14" s="76"/>
      <c r="B14" s="56"/>
      <c r="C14" s="279"/>
      <c r="D14" s="335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335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35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335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335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43" t="s">
        <v>647</v>
      </c>
      <c r="D21" s="335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35" t="s">
        <v>172</v>
      </c>
      <c r="E23" s="271">
        <v>40</v>
      </c>
      <c r="F23" s="271">
        <v>3</v>
      </c>
      <c r="G23" s="271">
        <v>43</v>
      </c>
      <c r="H23" s="271">
        <v>10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370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124</v>
      </c>
      <c r="F25" s="273">
        <v>9</v>
      </c>
      <c r="G25" s="273">
        <v>133</v>
      </c>
      <c r="H25" s="273">
        <v>33</v>
      </c>
      <c r="I25" s="273">
        <v>166</v>
      </c>
      <c r="J25" s="273">
        <v>0</v>
      </c>
      <c r="K25" s="281">
        <v>166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35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35" t="s">
        <v>349</v>
      </c>
      <c r="E27" s="271">
        <v>16</v>
      </c>
      <c r="F27" s="271">
        <v>0</v>
      </c>
      <c r="G27" s="271">
        <v>16</v>
      </c>
      <c r="H27" s="271">
        <v>2</v>
      </c>
      <c r="I27" s="271">
        <v>18</v>
      </c>
      <c r="J27" s="285"/>
      <c r="K27" s="277">
        <v>18</v>
      </c>
    </row>
    <row r="28" spans="1:15">
      <c r="A28" s="75">
        <v>43211</v>
      </c>
      <c r="B28" s="46">
        <v>43221</v>
      </c>
      <c r="C28" s="576"/>
      <c r="D28" s="335" t="s">
        <v>258</v>
      </c>
      <c r="E28" s="271">
        <v>21</v>
      </c>
      <c r="F28" s="271">
        <v>0</v>
      </c>
      <c r="G28" s="271">
        <v>21</v>
      </c>
      <c r="H28" s="271">
        <v>4</v>
      </c>
      <c r="I28" s="271">
        <v>25</v>
      </c>
      <c r="J28" s="285"/>
      <c r="K28" s="277">
        <v>25</v>
      </c>
    </row>
    <row r="29" spans="1:15">
      <c r="A29" s="75">
        <v>43311</v>
      </c>
      <c r="B29" s="46">
        <v>43321</v>
      </c>
      <c r="C29" s="571" t="s">
        <v>626</v>
      </c>
      <c r="D29" s="335" t="s">
        <v>305</v>
      </c>
      <c r="E29" s="271">
        <v>18</v>
      </c>
      <c r="F29" s="271">
        <v>1</v>
      </c>
      <c r="G29" s="271">
        <v>19</v>
      </c>
      <c r="H29" s="271">
        <v>3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35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35"/>
      <c r="E31" s="271"/>
      <c r="F31" s="271"/>
      <c r="G31" s="271"/>
      <c r="H31" s="271"/>
      <c r="I31" s="271"/>
      <c r="J31" s="285"/>
      <c r="K31" s="277"/>
      <c r="L31" s="344"/>
      <c r="M31" s="344"/>
      <c r="N31" s="344"/>
      <c r="O31" s="344"/>
    </row>
    <row r="32" spans="1:15">
      <c r="A32" s="75">
        <v>40400</v>
      </c>
      <c r="B32" s="46">
        <v>40420</v>
      </c>
      <c r="C32" s="571"/>
      <c r="D32" s="335" t="s">
        <v>318</v>
      </c>
      <c r="E32" s="271">
        <v>12</v>
      </c>
      <c r="F32" s="271">
        <v>0</v>
      </c>
      <c r="G32" s="271">
        <v>12</v>
      </c>
      <c r="H32" s="271">
        <v>1</v>
      </c>
      <c r="I32" s="271">
        <v>13</v>
      </c>
      <c r="J32" s="285"/>
      <c r="K32" s="277">
        <v>13</v>
      </c>
    </row>
    <row r="33" spans="1:14">
      <c r="A33" s="75">
        <v>40000</v>
      </c>
      <c r="B33" s="46">
        <v>40020</v>
      </c>
      <c r="C33" s="571"/>
      <c r="D33" s="335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335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35" t="s">
        <v>364</v>
      </c>
      <c r="E35" s="271">
        <v>10</v>
      </c>
      <c r="F35" s="271">
        <v>7</v>
      </c>
      <c r="G35" s="271">
        <v>17</v>
      </c>
      <c r="H35" s="271">
        <v>6</v>
      </c>
      <c r="I35" s="271">
        <v>23</v>
      </c>
      <c r="J35" s="285"/>
      <c r="K35" s="277">
        <v>23</v>
      </c>
      <c r="L35" s="264">
        <v>2</v>
      </c>
    </row>
    <row r="36" spans="1:14">
      <c r="A36" s="75">
        <v>68011</v>
      </c>
      <c r="B36" s="46">
        <v>68021</v>
      </c>
      <c r="C36" s="571"/>
      <c r="D36" s="335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35" t="s">
        <v>103</v>
      </c>
      <c r="E37" s="271">
        <v>8</v>
      </c>
      <c r="F37" s="271">
        <v>0</v>
      </c>
      <c r="G37" s="271">
        <v>8</v>
      </c>
      <c r="H37" s="271">
        <v>7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35" t="s">
        <v>98</v>
      </c>
      <c r="E38" s="271">
        <v>2</v>
      </c>
      <c r="F38" s="271">
        <v>0</v>
      </c>
      <c r="G38" s="271">
        <v>2</v>
      </c>
      <c r="H38" s="271">
        <v>2</v>
      </c>
      <c r="I38" s="271">
        <v>4</v>
      </c>
      <c r="J38" s="285"/>
      <c r="K38" s="277">
        <v>4</v>
      </c>
    </row>
    <row r="39" spans="1:14">
      <c r="A39" s="75">
        <v>64011</v>
      </c>
      <c r="B39" s="46">
        <v>64021</v>
      </c>
      <c r="C39" s="278"/>
      <c r="D39" s="335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99</v>
      </c>
      <c r="F40" s="273">
        <v>10</v>
      </c>
      <c r="G40" s="273">
        <v>109</v>
      </c>
      <c r="H40" s="273">
        <v>28</v>
      </c>
      <c r="I40" s="273">
        <v>137</v>
      </c>
      <c r="J40" s="273">
        <v>0</v>
      </c>
      <c r="K40" s="281">
        <v>137</v>
      </c>
    </row>
    <row r="41" spans="1:14">
      <c r="A41" s="75">
        <v>64211</v>
      </c>
      <c r="B41" s="46">
        <v>64221</v>
      </c>
      <c r="C41" s="586" t="s">
        <v>625</v>
      </c>
      <c r="D41" s="335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335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35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35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35" t="s">
        <v>416</v>
      </c>
      <c r="E45" s="271">
        <v>6</v>
      </c>
      <c r="F45" s="271">
        <v>0</v>
      </c>
      <c r="G45" s="271">
        <v>6</v>
      </c>
      <c r="H45" s="271">
        <v>4</v>
      </c>
      <c r="I45" s="271">
        <v>10</v>
      </c>
      <c r="J45" s="271"/>
      <c r="K45" s="277">
        <v>10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35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35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35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35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35" t="s">
        <v>485</v>
      </c>
      <c r="E50" s="271">
        <v>4</v>
      </c>
      <c r="F50" s="271">
        <v>1</v>
      </c>
      <c r="G50" s="271">
        <v>5</v>
      </c>
      <c r="H50" s="271">
        <v>1</v>
      </c>
      <c r="I50" s="271">
        <v>6</v>
      </c>
      <c r="J50" s="271"/>
      <c r="K50" s="277">
        <v>6</v>
      </c>
    </row>
    <row r="51" spans="1:12">
      <c r="A51" s="75">
        <v>61300</v>
      </c>
      <c r="B51" s="46">
        <v>61320</v>
      </c>
      <c r="C51" s="571"/>
      <c r="D51" s="335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35" t="s">
        <v>489</v>
      </c>
      <c r="E52" s="271">
        <v>21</v>
      </c>
      <c r="F52" s="271">
        <v>1</v>
      </c>
      <c r="G52" s="271">
        <v>22</v>
      </c>
      <c r="H52" s="271">
        <v>2</v>
      </c>
      <c r="I52" s="271">
        <v>24</v>
      </c>
      <c r="J52" s="271"/>
      <c r="K52" s="277">
        <v>24</v>
      </c>
    </row>
    <row r="53" spans="1:12">
      <c r="A53" s="75">
        <v>44011</v>
      </c>
      <c r="B53" s="46">
        <v>44021</v>
      </c>
      <c r="C53" s="571"/>
      <c r="D53" s="335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35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35" t="s">
        <v>433</v>
      </c>
      <c r="E55" s="271">
        <v>14</v>
      </c>
      <c r="F55" s="271">
        <v>0</v>
      </c>
      <c r="G55" s="271">
        <v>14</v>
      </c>
      <c r="H55" s="271">
        <v>5</v>
      </c>
      <c r="I55" s="271">
        <v>19</v>
      </c>
      <c r="J55" s="271"/>
      <c r="K55" s="277">
        <v>19</v>
      </c>
    </row>
    <row r="56" spans="1:12">
      <c r="A56" s="75">
        <v>45111</v>
      </c>
      <c r="B56" s="46">
        <v>45121</v>
      </c>
      <c r="C56" s="571"/>
      <c r="D56" s="335" t="s">
        <v>449</v>
      </c>
      <c r="E56" s="271">
        <v>13</v>
      </c>
      <c r="F56" s="271">
        <v>4</v>
      </c>
      <c r="G56" s="271">
        <v>17</v>
      </c>
      <c r="H56" s="271">
        <v>3</v>
      </c>
      <c r="I56" s="271">
        <v>20</v>
      </c>
      <c r="J56" s="271"/>
      <c r="K56" s="277">
        <v>20</v>
      </c>
    </row>
    <row r="57" spans="1:12">
      <c r="A57" s="75">
        <v>44200</v>
      </c>
      <c r="B57" s="46">
        <v>44220</v>
      </c>
      <c r="C57" s="278"/>
      <c r="D57" s="335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33</v>
      </c>
      <c r="F58" s="273">
        <v>2</v>
      </c>
      <c r="G58" s="273">
        <v>35</v>
      </c>
      <c r="H58" s="273">
        <v>8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35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35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35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35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36" t="s">
        <v>626</v>
      </c>
      <c r="D63" s="335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10</v>
      </c>
      <c r="G64" s="273">
        <v>23</v>
      </c>
      <c r="H64" s="273">
        <v>1</v>
      </c>
      <c r="I64" s="273">
        <v>24</v>
      </c>
      <c r="J64" s="273">
        <v>0</v>
      </c>
      <c r="K64" s="281">
        <v>24</v>
      </c>
      <c r="L64" s="94"/>
    </row>
    <row r="65" spans="1:12">
      <c r="A65" s="76"/>
      <c r="B65" s="56"/>
      <c r="C65" s="586" t="s">
        <v>643</v>
      </c>
      <c r="D65" s="335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35" t="s">
        <v>49</v>
      </c>
      <c r="E67" s="271">
        <v>4</v>
      </c>
      <c r="F67" s="271">
        <v>3</v>
      </c>
      <c r="G67" s="271">
        <v>7</v>
      </c>
      <c r="H67" s="271">
        <v>0</v>
      </c>
      <c r="I67" s="271">
        <v>7</v>
      </c>
      <c r="J67" s="271"/>
      <c r="K67" s="277">
        <v>7</v>
      </c>
    </row>
    <row r="68" spans="1:12">
      <c r="A68" s="75">
        <v>32000</v>
      </c>
      <c r="B68" s="46">
        <v>32020</v>
      </c>
      <c r="C68" s="586" t="s">
        <v>647</v>
      </c>
      <c r="D68" s="335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35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52</v>
      </c>
    </row>
    <row r="72" spans="1:12">
      <c r="C72" s="584" t="s">
        <v>617</v>
      </c>
      <c r="D72" s="585"/>
      <c r="E72" s="273">
        <v>38</v>
      </c>
      <c r="F72" s="273">
        <v>4</v>
      </c>
      <c r="G72" s="273">
        <v>42</v>
      </c>
      <c r="H72" s="273">
        <v>10</v>
      </c>
      <c r="I72" s="273">
        <v>52</v>
      </c>
      <c r="J72" s="273">
        <v>0</v>
      </c>
      <c r="K72" s="281">
        <v>52</v>
      </c>
      <c r="L72" s="37"/>
    </row>
    <row r="73" spans="1:12">
      <c r="B73" s="56"/>
      <c r="C73" s="586" t="s">
        <v>643</v>
      </c>
      <c r="D73" s="335" t="s">
        <v>53</v>
      </c>
      <c r="E73" s="271">
        <v>12</v>
      </c>
      <c r="F73" s="271">
        <v>1</v>
      </c>
      <c r="G73" s="271">
        <v>13</v>
      </c>
      <c r="H73" s="271">
        <v>4</v>
      </c>
      <c r="I73" s="271">
        <v>17</v>
      </c>
      <c r="J73" s="271"/>
      <c r="K73" s="277">
        <v>17</v>
      </c>
    </row>
    <row r="74" spans="1:12">
      <c r="C74" s="575"/>
      <c r="D74" s="335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35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35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35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35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388</v>
      </c>
      <c r="F79" s="282">
        <v>51</v>
      </c>
      <c r="G79" s="282">
        <v>439</v>
      </c>
      <c r="H79" s="282">
        <v>95</v>
      </c>
      <c r="I79" s="282">
        <v>534</v>
      </c>
      <c r="J79" s="282">
        <v>0</v>
      </c>
      <c r="K79" s="283">
        <v>534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37" t="s">
        <v>69</v>
      </c>
      <c r="F82" s="337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42" t="s">
        <v>912</v>
      </c>
      <c r="L86" s="264" t="s">
        <v>853</v>
      </c>
      <c r="M86" s="264" t="s">
        <v>858</v>
      </c>
    </row>
    <row r="87" spans="3:16">
      <c r="D87" s="342" t="s">
        <v>915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8" spans="3:16">
      <c r="D88" s="342" t="s">
        <v>916</v>
      </c>
    </row>
    <row r="89" spans="3:16">
      <c r="D89" s="342" t="s">
        <v>917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8"/>
  <sheetViews>
    <sheetView topLeftCell="A65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31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905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327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327"/>
      <c r="C5" s="576"/>
      <c r="D5" s="577"/>
      <c r="E5" s="328" t="s">
        <v>69</v>
      </c>
      <c r="F5" s="32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327">
        <v>202</v>
      </c>
      <c r="C6" s="329"/>
      <c r="D6" s="328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327">
        <v>211</v>
      </c>
      <c r="C7" s="329"/>
      <c r="D7" s="328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28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28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</v>
      </c>
    </row>
    <row r="12" spans="1:11">
      <c r="A12" s="76">
        <v>1000</v>
      </c>
      <c r="B12" s="46">
        <v>1020</v>
      </c>
      <c r="C12" s="278"/>
      <c r="D12" s="328" t="s">
        <v>218</v>
      </c>
      <c r="E12" s="271">
        <v>1</v>
      </c>
      <c r="F12" s="271">
        <v>0</v>
      </c>
      <c r="G12" s="271">
        <v>1</v>
      </c>
      <c r="H12" s="271">
        <v>0</v>
      </c>
      <c r="I12" s="271">
        <v>1</v>
      </c>
      <c r="J12" s="271"/>
      <c r="K12" s="277">
        <v>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14</v>
      </c>
    </row>
    <row r="14" spans="1:11">
      <c r="A14" s="76"/>
      <c r="B14" s="56"/>
      <c r="C14" s="279"/>
      <c r="D14" s="328" t="s">
        <v>648</v>
      </c>
      <c r="E14" s="271">
        <v>1</v>
      </c>
      <c r="F14" s="271">
        <v>2</v>
      </c>
      <c r="G14" s="271">
        <v>3</v>
      </c>
      <c r="H14" s="271">
        <v>1</v>
      </c>
      <c r="I14" s="271">
        <v>4</v>
      </c>
      <c r="J14" s="271"/>
      <c r="K14" s="277">
        <v>4</v>
      </c>
    </row>
    <row r="15" spans="1:11">
      <c r="A15" s="75">
        <v>50000</v>
      </c>
      <c r="B15" s="46">
        <v>50020</v>
      </c>
      <c r="C15" s="279"/>
      <c r="D15" s="328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28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328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328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32" t="s">
        <v>647</v>
      </c>
      <c r="D21" s="328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28" t="s">
        <v>172</v>
      </c>
      <c r="E23" s="271">
        <v>41</v>
      </c>
      <c r="F23" s="271">
        <v>3</v>
      </c>
      <c r="G23" s="271">
        <v>44</v>
      </c>
      <c r="H23" s="271">
        <v>9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125</v>
      </c>
      <c r="F25" s="273">
        <v>9</v>
      </c>
      <c r="G25" s="273">
        <v>134</v>
      </c>
      <c r="H25" s="273">
        <v>34</v>
      </c>
      <c r="I25" s="273">
        <v>168</v>
      </c>
      <c r="J25" s="273">
        <v>0</v>
      </c>
      <c r="K25" s="281">
        <v>168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28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28" t="s">
        <v>349</v>
      </c>
      <c r="E27" s="271">
        <v>16</v>
      </c>
      <c r="F27" s="271">
        <v>0</v>
      </c>
      <c r="G27" s="271">
        <v>16</v>
      </c>
      <c r="H27" s="271">
        <v>3</v>
      </c>
      <c r="I27" s="271">
        <v>19</v>
      </c>
      <c r="J27" s="285"/>
      <c r="K27" s="277">
        <v>19</v>
      </c>
    </row>
    <row r="28" spans="1:15">
      <c r="A28" s="75">
        <v>43211</v>
      </c>
      <c r="B28" s="46">
        <v>43221</v>
      </c>
      <c r="C28" s="576"/>
      <c r="D28" s="328" t="s">
        <v>258</v>
      </c>
      <c r="E28" s="271">
        <v>21</v>
      </c>
      <c r="F28" s="271">
        <v>0</v>
      </c>
      <c r="G28" s="271">
        <v>21</v>
      </c>
      <c r="H28" s="271">
        <v>4</v>
      </c>
      <c r="I28" s="271">
        <v>25</v>
      </c>
      <c r="J28" s="285"/>
      <c r="K28" s="277">
        <v>25</v>
      </c>
    </row>
    <row r="29" spans="1:15">
      <c r="A29" s="75">
        <v>43311</v>
      </c>
      <c r="B29" s="46">
        <v>43321</v>
      </c>
      <c r="C29" s="571" t="s">
        <v>626</v>
      </c>
      <c r="D29" s="328" t="s">
        <v>305</v>
      </c>
      <c r="E29" s="271">
        <v>18</v>
      </c>
      <c r="F29" s="271">
        <v>1</v>
      </c>
      <c r="G29" s="271">
        <v>19</v>
      </c>
      <c r="H29" s="271">
        <v>5</v>
      </c>
      <c r="I29" s="271">
        <v>24</v>
      </c>
      <c r="J29" s="285"/>
      <c r="K29" s="277">
        <v>24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28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28"/>
      <c r="E31" s="271"/>
      <c r="F31" s="271"/>
      <c r="G31" s="271"/>
      <c r="H31" s="271"/>
      <c r="I31" s="271"/>
      <c r="J31" s="285"/>
      <c r="K31" s="277"/>
      <c r="L31" s="333"/>
      <c r="M31" s="333"/>
      <c r="N31" s="333"/>
      <c r="O31" s="333"/>
    </row>
    <row r="32" spans="1:15">
      <c r="A32" s="75">
        <v>40400</v>
      </c>
      <c r="B32" s="46">
        <v>40420</v>
      </c>
      <c r="C32" s="571"/>
      <c r="D32" s="328" t="s">
        <v>318</v>
      </c>
      <c r="E32" s="271">
        <v>12</v>
      </c>
      <c r="F32" s="271">
        <v>0</v>
      </c>
      <c r="G32" s="271">
        <v>12</v>
      </c>
      <c r="H32" s="271">
        <v>1</v>
      </c>
      <c r="I32" s="271">
        <v>13</v>
      </c>
      <c r="J32" s="285"/>
      <c r="K32" s="277">
        <v>13</v>
      </c>
    </row>
    <row r="33" spans="1:14">
      <c r="A33" s="75">
        <v>40000</v>
      </c>
      <c r="B33" s="46">
        <v>40020</v>
      </c>
      <c r="C33" s="571"/>
      <c r="D33" s="328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328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28" t="s">
        <v>364</v>
      </c>
      <c r="E35" s="271">
        <v>10</v>
      </c>
      <c r="F35" s="271">
        <v>7</v>
      </c>
      <c r="G35" s="271">
        <v>17</v>
      </c>
      <c r="H35" s="271">
        <v>5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328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28" t="s">
        <v>103</v>
      </c>
      <c r="E37" s="271">
        <v>9</v>
      </c>
      <c r="F37" s="271">
        <v>0</v>
      </c>
      <c r="G37" s="271">
        <v>9</v>
      </c>
      <c r="H37" s="271">
        <v>6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28" t="s">
        <v>98</v>
      </c>
      <c r="E38" s="271">
        <v>2</v>
      </c>
      <c r="F38" s="271">
        <v>0</v>
      </c>
      <c r="G38" s="271">
        <v>2</v>
      </c>
      <c r="H38" s="271">
        <v>2</v>
      </c>
      <c r="I38" s="271">
        <v>4</v>
      </c>
      <c r="J38" s="285"/>
      <c r="K38" s="277">
        <v>4</v>
      </c>
    </row>
    <row r="39" spans="1:14">
      <c r="A39" s="75">
        <v>64011</v>
      </c>
      <c r="B39" s="46">
        <v>64021</v>
      </c>
      <c r="C39" s="278"/>
      <c r="D39" s="328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98</v>
      </c>
      <c r="F40" s="273">
        <v>10</v>
      </c>
      <c r="G40" s="273">
        <v>108</v>
      </c>
      <c r="H40" s="273">
        <v>25</v>
      </c>
      <c r="I40" s="273">
        <v>133</v>
      </c>
      <c r="J40" s="273">
        <v>0</v>
      </c>
      <c r="K40" s="281">
        <v>133</v>
      </c>
    </row>
    <row r="41" spans="1:14">
      <c r="A41" s="75">
        <v>64211</v>
      </c>
      <c r="B41" s="46">
        <v>64221</v>
      </c>
      <c r="C41" s="586" t="s">
        <v>625</v>
      </c>
      <c r="D41" s="328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328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28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28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28" t="s">
        <v>416</v>
      </c>
      <c r="E45" s="271">
        <v>6</v>
      </c>
      <c r="F45" s="271">
        <v>0</v>
      </c>
      <c r="G45" s="271">
        <v>6</v>
      </c>
      <c r="H45" s="271">
        <v>3</v>
      </c>
      <c r="I45" s="271">
        <v>9</v>
      </c>
      <c r="J45" s="271"/>
      <c r="K45" s="277">
        <v>9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28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28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28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28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28" t="s">
        <v>485</v>
      </c>
      <c r="E50" s="271">
        <v>4</v>
      </c>
      <c r="F50" s="271">
        <v>1</v>
      </c>
      <c r="G50" s="271">
        <v>5</v>
      </c>
      <c r="H50" s="271">
        <v>0</v>
      </c>
      <c r="I50" s="271">
        <v>5</v>
      </c>
      <c r="J50" s="271"/>
      <c r="K50" s="277">
        <v>5</v>
      </c>
    </row>
    <row r="51" spans="1:12">
      <c r="A51" s="75">
        <v>61300</v>
      </c>
      <c r="B51" s="46">
        <v>61320</v>
      </c>
      <c r="C51" s="571"/>
      <c r="D51" s="328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28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28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28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28" t="s">
        <v>433</v>
      </c>
      <c r="E55" s="271">
        <v>14</v>
      </c>
      <c r="F55" s="271">
        <v>0</v>
      </c>
      <c r="G55" s="271">
        <v>14</v>
      </c>
      <c r="H55" s="271">
        <v>4</v>
      </c>
      <c r="I55" s="271">
        <v>18</v>
      </c>
      <c r="J55" s="271"/>
      <c r="K55" s="277">
        <v>18</v>
      </c>
    </row>
    <row r="56" spans="1:12">
      <c r="A56" s="75">
        <v>45111</v>
      </c>
      <c r="B56" s="46">
        <v>45121</v>
      </c>
      <c r="C56" s="571"/>
      <c r="D56" s="328" t="s">
        <v>449</v>
      </c>
      <c r="E56" s="271">
        <v>13</v>
      </c>
      <c r="F56" s="271">
        <v>4</v>
      </c>
      <c r="G56" s="271">
        <v>17</v>
      </c>
      <c r="H56" s="271">
        <v>3</v>
      </c>
      <c r="I56" s="271">
        <v>20</v>
      </c>
      <c r="J56" s="271"/>
      <c r="K56" s="277">
        <v>20</v>
      </c>
    </row>
    <row r="57" spans="1:12">
      <c r="A57" s="75">
        <v>44200</v>
      </c>
      <c r="B57" s="46">
        <v>44220</v>
      </c>
      <c r="C57" s="278"/>
      <c r="D57" s="328" t="s">
        <v>162</v>
      </c>
      <c r="E57" s="271">
        <v>6</v>
      </c>
      <c r="F57" s="271">
        <v>1</v>
      </c>
      <c r="G57" s="271">
        <v>7</v>
      </c>
      <c r="H57" s="271">
        <v>1</v>
      </c>
      <c r="I57" s="271">
        <v>8</v>
      </c>
      <c r="J57" s="271"/>
      <c r="K57" s="277">
        <v>8</v>
      </c>
    </row>
    <row r="58" spans="1:12">
      <c r="A58" s="76"/>
      <c r="B58" s="56"/>
      <c r="C58" s="584" t="s">
        <v>618</v>
      </c>
      <c r="D58" s="585"/>
      <c r="E58" s="273">
        <v>33</v>
      </c>
      <c r="F58" s="273">
        <v>2</v>
      </c>
      <c r="G58" s="273">
        <v>35</v>
      </c>
      <c r="H58" s="273">
        <v>8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28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28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28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28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29" t="s">
        <v>626</v>
      </c>
      <c r="D63" s="328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9</v>
      </c>
      <c r="G64" s="273">
        <v>22</v>
      </c>
      <c r="H64" s="273">
        <v>1</v>
      </c>
      <c r="I64" s="273">
        <v>23</v>
      </c>
      <c r="J64" s="273">
        <v>0</v>
      </c>
      <c r="K64" s="281">
        <v>23</v>
      </c>
      <c r="L64" s="94"/>
    </row>
    <row r="65" spans="1:12">
      <c r="A65" s="76"/>
      <c r="B65" s="56"/>
      <c r="C65" s="586" t="s">
        <v>643</v>
      </c>
      <c r="D65" s="328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28" t="s">
        <v>49</v>
      </c>
      <c r="E67" s="271">
        <v>4</v>
      </c>
      <c r="F67" s="271">
        <v>2</v>
      </c>
      <c r="G67" s="271">
        <v>6</v>
      </c>
      <c r="H67" s="271">
        <v>0</v>
      </c>
      <c r="I67" s="271">
        <v>6</v>
      </c>
      <c r="J67" s="271"/>
      <c r="K67" s="277">
        <v>6</v>
      </c>
    </row>
    <row r="68" spans="1:12">
      <c r="A68" s="75">
        <v>32000</v>
      </c>
      <c r="B68" s="46">
        <v>32020</v>
      </c>
      <c r="C68" s="586" t="s">
        <v>647</v>
      </c>
      <c r="D68" s="328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28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52</v>
      </c>
    </row>
    <row r="72" spans="1:12">
      <c r="C72" s="584" t="s">
        <v>617</v>
      </c>
      <c r="D72" s="585"/>
      <c r="E72" s="273">
        <v>38</v>
      </c>
      <c r="F72" s="273">
        <v>4</v>
      </c>
      <c r="G72" s="273">
        <v>42</v>
      </c>
      <c r="H72" s="273">
        <v>10</v>
      </c>
      <c r="I72" s="273">
        <v>52</v>
      </c>
      <c r="J72" s="273">
        <v>0</v>
      </c>
      <c r="K72" s="281">
        <v>52</v>
      </c>
      <c r="L72" s="37"/>
    </row>
    <row r="73" spans="1:12">
      <c r="B73" s="56"/>
      <c r="C73" s="586" t="s">
        <v>643</v>
      </c>
      <c r="D73" s="328" t="s">
        <v>53</v>
      </c>
      <c r="E73" s="271">
        <v>12</v>
      </c>
      <c r="F73" s="271">
        <v>1</v>
      </c>
      <c r="G73" s="271">
        <v>13</v>
      </c>
      <c r="H73" s="271">
        <v>4</v>
      </c>
      <c r="I73" s="271">
        <v>17</v>
      </c>
      <c r="J73" s="271"/>
      <c r="K73" s="277">
        <v>17</v>
      </c>
    </row>
    <row r="74" spans="1:12">
      <c r="C74" s="575"/>
      <c r="D74" s="328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28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28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28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28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381</v>
      </c>
      <c r="F79" s="282">
        <v>48</v>
      </c>
      <c r="G79" s="282">
        <v>429</v>
      </c>
      <c r="H79" s="282">
        <v>92</v>
      </c>
      <c r="I79" s="282">
        <v>521</v>
      </c>
      <c r="J79" s="282">
        <v>0</v>
      </c>
      <c r="K79" s="283">
        <v>521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30" t="s">
        <v>69</v>
      </c>
      <c r="F82" s="330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331" t="s">
        <v>908</v>
      </c>
      <c r="L86" s="264" t="s">
        <v>853</v>
      </c>
      <c r="M86" s="264" t="s">
        <v>858</v>
      </c>
    </row>
    <row r="87" spans="3:16">
      <c r="D87" s="331" t="s">
        <v>910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8" spans="3:16">
      <c r="D88" s="331" t="s">
        <v>907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94"/>
  <sheetViews>
    <sheetView topLeftCell="A75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303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903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99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99"/>
      <c r="C5" s="576"/>
      <c r="D5" s="577"/>
      <c r="E5" s="300" t="s">
        <v>69</v>
      </c>
      <c r="F5" s="300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99">
        <v>202</v>
      </c>
      <c r="C6" s="301"/>
      <c r="D6" s="300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299">
        <v>211</v>
      </c>
      <c r="C7" s="301"/>
      <c r="D7" s="300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11</v>
      </c>
    </row>
    <row r="9" spans="1:11">
      <c r="A9" s="75">
        <v>11000</v>
      </c>
      <c r="B9" s="46">
        <v>11020</v>
      </c>
      <c r="C9" s="278"/>
      <c r="D9" s="300" t="s">
        <v>26</v>
      </c>
      <c r="E9" s="271">
        <v>6</v>
      </c>
      <c r="F9" s="271">
        <v>4</v>
      </c>
      <c r="G9" s="271">
        <v>10</v>
      </c>
      <c r="H9" s="271">
        <v>1</v>
      </c>
      <c r="I9" s="271">
        <v>11</v>
      </c>
      <c r="J9" s="271"/>
      <c r="K9" s="277">
        <v>11</v>
      </c>
    </row>
    <row r="10" spans="1:11">
      <c r="A10" s="75">
        <v>90000</v>
      </c>
      <c r="B10" s="46">
        <v>90020</v>
      </c>
      <c r="C10" s="278"/>
      <c r="D10" s="300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</v>
      </c>
    </row>
    <row r="12" spans="1:11">
      <c r="A12" s="76">
        <v>1000</v>
      </c>
      <c r="B12" s="46">
        <v>1020</v>
      </c>
      <c r="C12" s="278"/>
      <c r="D12" s="300" t="s">
        <v>218</v>
      </c>
      <c r="E12" s="271">
        <v>1</v>
      </c>
      <c r="F12" s="271">
        <v>0</v>
      </c>
      <c r="G12" s="271">
        <v>1</v>
      </c>
      <c r="H12" s="271">
        <v>0</v>
      </c>
      <c r="I12" s="271">
        <v>1</v>
      </c>
      <c r="J12" s="271"/>
      <c r="K12" s="277">
        <v>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14</v>
      </c>
    </row>
    <row r="14" spans="1:11">
      <c r="A14" s="76"/>
      <c r="B14" s="56"/>
      <c r="C14" s="279"/>
      <c r="D14" s="300" t="s">
        <v>648</v>
      </c>
      <c r="E14" s="271">
        <v>1</v>
      </c>
      <c r="F14" s="271">
        <v>2</v>
      </c>
      <c r="G14" s="271">
        <v>3</v>
      </c>
      <c r="H14" s="271">
        <v>1</v>
      </c>
      <c r="I14" s="271">
        <v>4</v>
      </c>
      <c r="J14" s="271"/>
      <c r="K14" s="277">
        <v>4</v>
      </c>
    </row>
    <row r="15" spans="1:11">
      <c r="A15" s="75">
        <v>50000</v>
      </c>
      <c r="B15" s="46">
        <v>50020</v>
      </c>
      <c r="C15" s="279"/>
      <c r="D15" s="300" t="s">
        <v>17</v>
      </c>
      <c r="E15" s="271">
        <v>5</v>
      </c>
      <c r="F15" s="271">
        <v>1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300" t="s">
        <v>13</v>
      </c>
      <c r="E16" s="271">
        <v>1</v>
      </c>
      <c r="F16" s="271">
        <v>1</v>
      </c>
      <c r="G16" s="271">
        <v>2</v>
      </c>
      <c r="H16" s="271">
        <v>1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2</v>
      </c>
      <c r="G17" s="273">
        <v>8</v>
      </c>
      <c r="H17" s="273">
        <v>2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300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300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304" t="s">
        <v>647</v>
      </c>
      <c r="D21" s="300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300" t="s">
        <v>172</v>
      </c>
      <c r="E23" s="271">
        <v>41</v>
      </c>
      <c r="F23" s="271">
        <v>3</v>
      </c>
      <c r="G23" s="271">
        <v>44</v>
      </c>
      <c r="H23" s="271">
        <v>9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365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126</v>
      </c>
      <c r="F25" s="273">
        <v>9</v>
      </c>
      <c r="G25" s="273">
        <v>135</v>
      </c>
      <c r="H25" s="273">
        <v>31</v>
      </c>
      <c r="I25" s="273">
        <v>166</v>
      </c>
      <c r="J25" s="273">
        <v>0</v>
      </c>
      <c r="K25" s="281">
        <v>166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300" t="s">
        <v>280</v>
      </c>
      <c r="E26" s="271">
        <v>8</v>
      </c>
      <c r="F26" s="271">
        <v>0</v>
      </c>
      <c r="G26" s="271">
        <v>8</v>
      </c>
      <c r="H26" s="271">
        <v>3</v>
      </c>
      <c r="I26" s="271">
        <v>11</v>
      </c>
      <c r="J26" s="285"/>
      <c r="K26" s="277">
        <v>11</v>
      </c>
    </row>
    <row r="27" spans="1:15">
      <c r="A27" s="75">
        <v>42311</v>
      </c>
      <c r="B27" s="46">
        <v>42321</v>
      </c>
      <c r="C27" s="575"/>
      <c r="D27" s="300" t="s">
        <v>349</v>
      </c>
      <c r="E27" s="271">
        <v>17</v>
      </c>
      <c r="F27" s="271">
        <v>0</v>
      </c>
      <c r="G27" s="271">
        <v>17</v>
      </c>
      <c r="H27" s="271">
        <v>3</v>
      </c>
      <c r="I27" s="271">
        <v>20</v>
      </c>
      <c r="J27" s="285"/>
      <c r="K27" s="277">
        <v>20</v>
      </c>
    </row>
    <row r="28" spans="1:15">
      <c r="A28" s="75">
        <v>43211</v>
      </c>
      <c r="B28" s="46">
        <v>43221</v>
      </c>
      <c r="C28" s="576"/>
      <c r="D28" s="300" t="s">
        <v>258</v>
      </c>
      <c r="E28" s="271">
        <v>21</v>
      </c>
      <c r="F28" s="271">
        <v>0</v>
      </c>
      <c r="G28" s="271">
        <v>21</v>
      </c>
      <c r="H28" s="271">
        <v>3</v>
      </c>
      <c r="I28" s="271">
        <v>24</v>
      </c>
      <c r="J28" s="285"/>
      <c r="K28" s="277">
        <v>24</v>
      </c>
    </row>
    <row r="29" spans="1:15">
      <c r="A29" s="75">
        <v>43311</v>
      </c>
      <c r="B29" s="46">
        <v>43321</v>
      </c>
      <c r="C29" s="571" t="s">
        <v>626</v>
      </c>
      <c r="D29" s="300" t="s">
        <v>305</v>
      </c>
      <c r="E29" s="271">
        <v>18</v>
      </c>
      <c r="F29" s="271">
        <v>1</v>
      </c>
      <c r="G29" s="271">
        <v>19</v>
      </c>
      <c r="H29" s="271">
        <v>4</v>
      </c>
      <c r="I29" s="271">
        <v>23</v>
      </c>
      <c r="J29" s="285"/>
      <c r="K29" s="277">
        <v>23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300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300"/>
      <c r="E31" s="271"/>
      <c r="F31" s="271"/>
      <c r="G31" s="271"/>
      <c r="H31" s="271"/>
      <c r="I31" s="271"/>
      <c r="J31" s="285"/>
      <c r="K31" s="277"/>
      <c r="L31" s="305"/>
      <c r="M31" s="305"/>
      <c r="N31" s="305"/>
      <c r="O31" s="305"/>
    </row>
    <row r="32" spans="1:15">
      <c r="A32" s="75">
        <v>40400</v>
      </c>
      <c r="B32" s="46">
        <v>40420</v>
      </c>
      <c r="C32" s="571"/>
      <c r="D32" s="300" t="s">
        <v>318</v>
      </c>
      <c r="E32" s="271">
        <v>12</v>
      </c>
      <c r="F32" s="271">
        <v>0</v>
      </c>
      <c r="G32" s="271">
        <v>12</v>
      </c>
      <c r="H32" s="271">
        <v>1</v>
      </c>
      <c r="I32" s="271">
        <v>13</v>
      </c>
      <c r="J32" s="285"/>
      <c r="K32" s="277">
        <v>13</v>
      </c>
    </row>
    <row r="33" spans="1:14">
      <c r="A33" s="75">
        <v>40000</v>
      </c>
      <c r="B33" s="46">
        <v>40020</v>
      </c>
      <c r="C33" s="571"/>
      <c r="D33" s="300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300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300" t="s">
        <v>364</v>
      </c>
      <c r="E35" s="271">
        <v>10</v>
      </c>
      <c r="F35" s="271">
        <v>7</v>
      </c>
      <c r="G35" s="271">
        <v>17</v>
      </c>
      <c r="H35" s="271">
        <v>5</v>
      </c>
      <c r="I35" s="271">
        <v>22</v>
      </c>
      <c r="J35" s="285"/>
      <c r="K35" s="277">
        <v>22</v>
      </c>
      <c r="L35" s="264">
        <v>2</v>
      </c>
    </row>
    <row r="36" spans="1:14">
      <c r="A36" s="75">
        <v>68011</v>
      </c>
      <c r="B36" s="46">
        <v>68021</v>
      </c>
      <c r="C36" s="571"/>
      <c r="D36" s="300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300" t="s">
        <v>103</v>
      </c>
      <c r="E37" s="271">
        <v>9</v>
      </c>
      <c r="F37" s="271">
        <v>0</v>
      </c>
      <c r="G37" s="271">
        <v>9</v>
      </c>
      <c r="H37" s="271">
        <v>6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300" t="s">
        <v>98</v>
      </c>
      <c r="E38" s="271">
        <v>2</v>
      </c>
      <c r="F38" s="271">
        <v>0</v>
      </c>
      <c r="G38" s="271">
        <v>2</v>
      </c>
      <c r="H38" s="271">
        <v>1</v>
      </c>
      <c r="I38" s="271">
        <v>3</v>
      </c>
      <c r="J38" s="285"/>
      <c r="K38" s="277">
        <v>3</v>
      </c>
    </row>
    <row r="39" spans="1:14">
      <c r="A39" s="75">
        <v>64011</v>
      </c>
      <c r="B39" s="46">
        <v>64021</v>
      </c>
      <c r="C39" s="278"/>
      <c r="D39" s="300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99</v>
      </c>
      <c r="F40" s="273">
        <v>10</v>
      </c>
      <c r="G40" s="273">
        <v>109</v>
      </c>
      <c r="H40" s="273">
        <v>24</v>
      </c>
      <c r="I40" s="273">
        <v>133</v>
      </c>
      <c r="J40" s="273">
        <v>0</v>
      </c>
      <c r="K40" s="281">
        <v>133</v>
      </c>
    </row>
    <row r="41" spans="1:14">
      <c r="A41" s="75">
        <v>64211</v>
      </c>
      <c r="B41" s="46">
        <v>64221</v>
      </c>
      <c r="C41" s="586" t="s">
        <v>625</v>
      </c>
      <c r="D41" s="300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300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300" t="s">
        <v>508</v>
      </c>
      <c r="E43" s="271">
        <v>2</v>
      </c>
      <c r="F43" s="271">
        <v>0</v>
      </c>
      <c r="G43" s="27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300" t="s">
        <v>506</v>
      </c>
      <c r="E44" s="271">
        <v>1</v>
      </c>
      <c r="F44" s="271">
        <v>0</v>
      </c>
      <c r="G44" s="27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300" t="s">
        <v>416</v>
      </c>
      <c r="E45" s="271">
        <v>6</v>
      </c>
      <c r="F45" s="271">
        <v>0</v>
      </c>
      <c r="G45" s="271">
        <v>6</v>
      </c>
      <c r="H45" s="271">
        <v>3</v>
      </c>
      <c r="I45" s="271">
        <v>9</v>
      </c>
      <c r="J45" s="271"/>
      <c r="K45" s="277">
        <v>9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300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300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300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300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300" t="s">
        <v>485</v>
      </c>
      <c r="E50" s="271">
        <v>4</v>
      </c>
      <c r="F50" s="271">
        <v>1</v>
      </c>
      <c r="G50" s="271">
        <v>5</v>
      </c>
      <c r="H50" s="271">
        <v>0</v>
      </c>
      <c r="I50" s="271">
        <v>5</v>
      </c>
      <c r="J50" s="271"/>
      <c r="K50" s="277">
        <v>5</v>
      </c>
    </row>
    <row r="51" spans="1:12">
      <c r="A51" s="75">
        <v>61300</v>
      </c>
      <c r="B51" s="46">
        <v>61320</v>
      </c>
      <c r="C51" s="571"/>
      <c r="D51" s="300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300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300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300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300" t="s">
        <v>433</v>
      </c>
      <c r="E55" s="271">
        <v>14</v>
      </c>
      <c r="F55" s="271">
        <v>0</v>
      </c>
      <c r="G55" s="271">
        <v>14</v>
      </c>
      <c r="H55" s="271">
        <v>3</v>
      </c>
      <c r="I55" s="271">
        <v>17</v>
      </c>
      <c r="J55" s="271"/>
      <c r="K55" s="277">
        <v>17</v>
      </c>
    </row>
    <row r="56" spans="1:12">
      <c r="A56" s="75">
        <v>45111</v>
      </c>
      <c r="B56" s="46">
        <v>45121</v>
      </c>
      <c r="C56" s="571"/>
      <c r="D56" s="300" t="s">
        <v>449</v>
      </c>
      <c r="E56" s="271">
        <v>13</v>
      </c>
      <c r="F56" s="271">
        <v>4</v>
      </c>
      <c r="G56" s="271">
        <v>17</v>
      </c>
      <c r="H56" s="271">
        <v>3</v>
      </c>
      <c r="I56" s="271">
        <v>20</v>
      </c>
      <c r="J56" s="271"/>
      <c r="K56" s="277">
        <v>20</v>
      </c>
    </row>
    <row r="57" spans="1:12">
      <c r="A57" s="75">
        <v>44200</v>
      </c>
      <c r="B57" s="46">
        <v>44220</v>
      </c>
      <c r="C57" s="278"/>
      <c r="D57" s="300" t="s">
        <v>162</v>
      </c>
      <c r="E57" s="271">
        <v>7</v>
      </c>
      <c r="F57" s="271">
        <v>1</v>
      </c>
      <c r="G57" s="271">
        <v>8</v>
      </c>
      <c r="H57" s="271">
        <v>1</v>
      </c>
      <c r="I57" s="271">
        <v>9</v>
      </c>
      <c r="J57" s="271"/>
      <c r="K57" s="277">
        <v>9</v>
      </c>
    </row>
    <row r="58" spans="1:12">
      <c r="A58" s="76"/>
      <c r="B58" s="56"/>
      <c r="C58" s="584" t="s">
        <v>618</v>
      </c>
      <c r="D58" s="585"/>
      <c r="E58" s="273">
        <v>33</v>
      </c>
      <c r="F58" s="273">
        <v>2</v>
      </c>
      <c r="G58" s="273">
        <v>35</v>
      </c>
      <c r="H58" s="273">
        <v>8</v>
      </c>
      <c r="I58" s="273">
        <v>43</v>
      </c>
      <c r="J58" s="273">
        <v>0</v>
      </c>
      <c r="K58" s="281">
        <v>43</v>
      </c>
      <c r="L58" s="94"/>
    </row>
    <row r="59" spans="1:12">
      <c r="A59" s="75">
        <v>20000</v>
      </c>
      <c r="B59" s="46">
        <v>20020</v>
      </c>
      <c r="C59" s="586" t="s">
        <v>625</v>
      </c>
      <c r="D59" s="300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300" t="s">
        <v>383</v>
      </c>
      <c r="E60" s="271">
        <v>4</v>
      </c>
      <c r="F60" s="271">
        <v>0</v>
      </c>
      <c r="G60" s="271">
        <v>4</v>
      </c>
      <c r="H60" s="271">
        <v>1</v>
      </c>
      <c r="I60" s="271">
        <v>5</v>
      </c>
      <c r="J60" s="271"/>
      <c r="K60" s="277">
        <v>5</v>
      </c>
    </row>
    <row r="61" spans="1:12">
      <c r="A61" s="75">
        <v>22000</v>
      </c>
      <c r="B61" s="46">
        <v>22020</v>
      </c>
      <c r="C61" s="575"/>
      <c r="D61" s="300" t="s">
        <v>389</v>
      </c>
      <c r="E61" s="271">
        <v>6</v>
      </c>
      <c r="F61" s="271">
        <v>0</v>
      </c>
      <c r="G61" s="271">
        <v>6</v>
      </c>
      <c r="H61" s="271">
        <v>3</v>
      </c>
      <c r="I61" s="271">
        <v>9</v>
      </c>
      <c r="J61" s="271"/>
      <c r="K61" s="277">
        <v>9</v>
      </c>
    </row>
    <row r="62" spans="1:12">
      <c r="A62" s="75">
        <v>60000</v>
      </c>
      <c r="B62" s="46">
        <v>60020</v>
      </c>
      <c r="C62" s="576"/>
      <c r="D62" s="300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301" t="s">
        <v>626</v>
      </c>
      <c r="D63" s="300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9</v>
      </c>
      <c r="G64" s="273">
        <v>22</v>
      </c>
      <c r="H64" s="273">
        <v>1</v>
      </c>
      <c r="I64" s="273">
        <v>23</v>
      </c>
      <c r="J64" s="273">
        <v>0</v>
      </c>
      <c r="K64" s="281">
        <v>23</v>
      </c>
      <c r="L64" s="94"/>
    </row>
    <row r="65" spans="1:12">
      <c r="A65" s="76"/>
      <c r="B65" s="56"/>
      <c r="C65" s="586" t="s">
        <v>643</v>
      </c>
      <c r="D65" s="300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300" t="s">
        <v>49</v>
      </c>
      <c r="E67" s="271">
        <v>4</v>
      </c>
      <c r="F67" s="271">
        <v>2</v>
      </c>
      <c r="G67" s="271">
        <v>6</v>
      </c>
      <c r="H67" s="271">
        <v>0</v>
      </c>
      <c r="I67" s="271">
        <v>6</v>
      </c>
      <c r="J67" s="271"/>
      <c r="K67" s="277">
        <v>6</v>
      </c>
    </row>
    <row r="68" spans="1:12">
      <c r="A68" s="75">
        <v>32000</v>
      </c>
      <c r="B68" s="46">
        <v>32020</v>
      </c>
      <c r="C68" s="586" t="s">
        <v>647</v>
      </c>
      <c r="D68" s="300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300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52</v>
      </c>
    </row>
    <row r="72" spans="1:12">
      <c r="C72" s="584" t="s">
        <v>617</v>
      </c>
      <c r="D72" s="585"/>
      <c r="E72" s="273">
        <v>38</v>
      </c>
      <c r="F72" s="273">
        <v>4</v>
      </c>
      <c r="G72" s="273">
        <v>42</v>
      </c>
      <c r="H72" s="273">
        <v>10</v>
      </c>
      <c r="I72" s="273">
        <v>52</v>
      </c>
      <c r="J72" s="273">
        <v>0</v>
      </c>
      <c r="K72" s="281">
        <v>52</v>
      </c>
      <c r="L72" s="37"/>
    </row>
    <row r="73" spans="1:12">
      <c r="B73" s="56"/>
      <c r="C73" s="586" t="s">
        <v>643</v>
      </c>
      <c r="D73" s="300" t="s">
        <v>53</v>
      </c>
      <c r="E73" s="271">
        <v>12</v>
      </c>
      <c r="F73" s="271">
        <v>1</v>
      </c>
      <c r="G73" s="271">
        <v>13</v>
      </c>
      <c r="H73" s="271">
        <v>4</v>
      </c>
      <c r="I73" s="271">
        <v>17</v>
      </c>
      <c r="J73" s="271"/>
      <c r="K73" s="277">
        <v>17</v>
      </c>
    </row>
    <row r="74" spans="1:12">
      <c r="C74" s="575"/>
      <c r="D74" s="300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300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300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300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300" t="s">
        <v>158</v>
      </c>
      <c r="E78" s="271">
        <v>4</v>
      </c>
      <c r="F78" s="271">
        <v>1</v>
      </c>
      <c r="G78" s="271">
        <v>5</v>
      </c>
      <c r="H78" s="271">
        <v>3</v>
      </c>
      <c r="I78" s="271">
        <v>8</v>
      </c>
      <c r="J78" s="271"/>
      <c r="K78" s="277">
        <v>8</v>
      </c>
    </row>
    <row r="79" spans="1:12" ht="18.600000000000001" thickBot="1">
      <c r="C79" s="597" t="s">
        <v>642</v>
      </c>
      <c r="D79" s="598"/>
      <c r="E79" s="282">
        <v>383</v>
      </c>
      <c r="F79" s="282">
        <v>48</v>
      </c>
      <c r="G79" s="282">
        <v>431</v>
      </c>
      <c r="H79" s="282">
        <v>88</v>
      </c>
      <c r="I79" s="282">
        <v>519</v>
      </c>
      <c r="J79" s="282">
        <v>0</v>
      </c>
      <c r="K79" s="283">
        <v>519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302" t="s">
        <v>69</v>
      </c>
      <c r="F82" s="302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L86" s="264" t="s">
        <v>853</v>
      </c>
      <c r="M86" s="264" t="s">
        <v>858</v>
      </c>
    </row>
    <row r="87" spans="3:16">
      <c r="L87" s="264" t="s">
        <v>854</v>
      </c>
      <c r="M87" s="264" t="s">
        <v>855</v>
      </c>
      <c r="N87" s="264" t="s">
        <v>856</v>
      </c>
      <c r="O87" s="264" t="s">
        <v>857</v>
      </c>
    </row>
    <row r="91" spans="3:16">
      <c r="D91" s="303" t="s">
        <v>892</v>
      </c>
    </row>
    <row r="92" spans="3:16">
      <c r="D92" s="303" t="s">
        <v>893</v>
      </c>
    </row>
    <row r="93" spans="3:16">
      <c r="D93" s="303" t="s">
        <v>895</v>
      </c>
    </row>
    <row r="94" spans="3:16">
      <c r="D94" s="303" t="s">
        <v>894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8"/>
  <sheetViews>
    <sheetView topLeftCell="A6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96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883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93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93"/>
      <c r="C5" s="576"/>
      <c r="D5" s="577"/>
      <c r="E5" s="294" t="s">
        <v>69</v>
      </c>
      <c r="F5" s="294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93">
        <v>202</v>
      </c>
      <c r="C6" s="292"/>
      <c r="D6" s="294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293">
        <v>211</v>
      </c>
      <c r="C7" s="292"/>
      <c r="D7" s="294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10</v>
      </c>
    </row>
    <row r="9" spans="1:11">
      <c r="A9" s="75">
        <v>11000</v>
      </c>
      <c r="B9" s="46">
        <v>11020</v>
      </c>
      <c r="C9" s="278"/>
      <c r="D9" s="294" t="s">
        <v>26</v>
      </c>
      <c r="E9" s="271">
        <v>6</v>
      </c>
      <c r="F9" s="271">
        <v>4</v>
      </c>
      <c r="G9" s="271">
        <v>10</v>
      </c>
      <c r="H9" s="271">
        <v>0</v>
      </c>
      <c r="I9" s="271">
        <v>10</v>
      </c>
      <c r="J9" s="271"/>
      <c r="K9" s="277">
        <v>10</v>
      </c>
    </row>
    <row r="10" spans="1:11">
      <c r="A10" s="75">
        <v>90000</v>
      </c>
      <c r="B10" s="46">
        <v>90020</v>
      </c>
      <c r="C10" s="278"/>
      <c r="D10" s="294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11</v>
      </c>
    </row>
    <row r="12" spans="1:11">
      <c r="A12" s="76">
        <v>1000</v>
      </c>
      <c r="B12" s="46">
        <v>1020</v>
      </c>
      <c r="C12" s="278"/>
      <c r="D12" s="294" t="s">
        <v>218</v>
      </c>
      <c r="E12" s="271">
        <v>8</v>
      </c>
      <c r="F12" s="271">
        <v>3</v>
      </c>
      <c r="G12" s="271">
        <v>11</v>
      </c>
      <c r="H12" s="271">
        <v>0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14</v>
      </c>
    </row>
    <row r="14" spans="1:11">
      <c r="A14" s="76"/>
      <c r="B14" s="56"/>
      <c r="C14" s="279"/>
      <c r="D14" s="294" t="s">
        <v>648</v>
      </c>
      <c r="E14" s="271">
        <v>1</v>
      </c>
      <c r="F14" s="271">
        <v>2</v>
      </c>
      <c r="G14" s="271">
        <v>3</v>
      </c>
      <c r="H14" s="271">
        <v>1</v>
      </c>
      <c r="I14" s="271">
        <v>4</v>
      </c>
      <c r="J14" s="271"/>
      <c r="K14" s="277">
        <v>4</v>
      </c>
    </row>
    <row r="15" spans="1:11">
      <c r="A15" s="75">
        <v>50000</v>
      </c>
      <c r="B15" s="46">
        <v>50020</v>
      </c>
      <c r="C15" s="279"/>
      <c r="D15" s="294" t="s">
        <v>17</v>
      </c>
      <c r="E15" s="271">
        <v>4</v>
      </c>
      <c r="F15" s="271">
        <v>2</v>
      </c>
      <c r="G15" s="271">
        <v>6</v>
      </c>
      <c r="H15" s="271">
        <v>1</v>
      </c>
      <c r="I15" s="271">
        <v>7</v>
      </c>
      <c r="J15" s="271"/>
      <c r="K15" s="277">
        <v>7</v>
      </c>
    </row>
    <row r="16" spans="1:11">
      <c r="A16" s="75">
        <v>51000</v>
      </c>
      <c r="B16" s="46">
        <v>51020</v>
      </c>
      <c r="C16" s="279"/>
      <c r="D16" s="294" t="s">
        <v>13</v>
      </c>
      <c r="E16" s="271">
        <v>2</v>
      </c>
      <c r="F16" s="271">
        <v>1</v>
      </c>
      <c r="G16" s="271">
        <v>3</v>
      </c>
      <c r="H16" s="271">
        <v>0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3</v>
      </c>
      <c r="G17" s="273">
        <v>9</v>
      </c>
      <c r="H17" s="273">
        <v>1</v>
      </c>
      <c r="I17" s="273">
        <v>10</v>
      </c>
      <c r="J17" s="273">
        <v>0</v>
      </c>
      <c r="K17" s="281">
        <v>10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294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294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297" t="s">
        <v>647</v>
      </c>
      <c r="D21" s="294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294" t="s">
        <v>172</v>
      </c>
      <c r="E23" s="271">
        <v>41</v>
      </c>
      <c r="F23" s="271">
        <v>3</v>
      </c>
      <c r="G23" s="271">
        <v>44</v>
      </c>
      <c r="H23" s="271">
        <v>9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355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123</v>
      </c>
      <c r="F25" s="273">
        <v>7</v>
      </c>
      <c r="G25" s="273">
        <v>130</v>
      </c>
      <c r="H25" s="273">
        <v>31</v>
      </c>
      <c r="I25" s="273">
        <v>161</v>
      </c>
      <c r="J25" s="273">
        <v>0</v>
      </c>
      <c r="K25" s="281">
        <v>161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94" t="s">
        <v>280</v>
      </c>
      <c r="E26" s="271">
        <v>7</v>
      </c>
      <c r="F26" s="271">
        <v>0</v>
      </c>
      <c r="G26" s="271">
        <v>7</v>
      </c>
      <c r="H26" s="271">
        <v>3</v>
      </c>
      <c r="I26" s="271">
        <v>10</v>
      </c>
      <c r="J26" s="285"/>
      <c r="K26" s="277">
        <v>10</v>
      </c>
    </row>
    <row r="27" spans="1:15">
      <c r="A27" s="75">
        <v>42311</v>
      </c>
      <c r="B27" s="46">
        <v>42321</v>
      </c>
      <c r="C27" s="575"/>
      <c r="D27" s="294" t="s">
        <v>349</v>
      </c>
      <c r="E27" s="271">
        <v>17</v>
      </c>
      <c r="F27" s="271">
        <v>0</v>
      </c>
      <c r="G27" s="271">
        <v>17</v>
      </c>
      <c r="H27" s="271">
        <v>3</v>
      </c>
      <c r="I27" s="271">
        <v>20</v>
      </c>
      <c r="J27" s="285"/>
      <c r="K27" s="277">
        <v>20</v>
      </c>
    </row>
    <row r="28" spans="1:15">
      <c r="A28" s="75">
        <v>43211</v>
      </c>
      <c r="B28" s="46">
        <v>43221</v>
      </c>
      <c r="C28" s="576"/>
      <c r="D28" s="294" t="s">
        <v>258</v>
      </c>
      <c r="E28" s="271">
        <v>21</v>
      </c>
      <c r="F28" s="271">
        <v>0</v>
      </c>
      <c r="G28" s="271">
        <v>21</v>
      </c>
      <c r="H28" s="271">
        <v>3</v>
      </c>
      <c r="I28" s="271">
        <v>24</v>
      </c>
      <c r="J28" s="285"/>
      <c r="K28" s="277">
        <v>24</v>
      </c>
    </row>
    <row r="29" spans="1:15">
      <c r="A29" s="75">
        <v>43311</v>
      </c>
      <c r="B29" s="46">
        <v>43321</v>
      </c>
      <c r="C29" s="571" t="s">
        <v>626</v>
      </c>
      <c r="D29" s="294" t="s">
        <v>305</v>
      </c>
      <c r="E29" s="271">
        <v>17</v>
      </c>
      <c r="F29" s="271">
        <v>1</v>
      </c>
      <c r="G29" s="271">
        <v>18</v>
      </c>
      <c r="H29" s="271">
        <v>4</v>
      </c>
      <c r="I29" s="271">
        <v>22</v>
      </c>
      <c r="J29" s="285"/>
      <c r="K29" s="277">
        <v>22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94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294"/>
      <c r="E31" s="271"/>
      <c r="F31" s="271"/>
      <c r="G31" s="271"/>
      <c r="H31" s="271"/>
      <c r="I31" s="271"/>
      <c r="J31" s="285"/>
      <c r="K31" s="277"/>
      <c r="L31" s="298"/>
      <c r="M31" s="298"/>
      <c r="N31" s="298"/>
      <c r="O31" s="298"/>
    </row>
    <row r="32" spans="1:15">
      <c r="A32" s="75">
        <v>40400</v>
      </c>
      <c r="B32" s="46">
        <v>40420</v>
      </c>
      <c r="C32" s="571"/>
      <c r="D32" s="294" t="s">
        <v>318</v>
      </c>
      <c r="E32" s="271">
        <v>11</v>
      </c>
      <c r="F32" s="271">
        <v>0</v>
      </c>
      <c r="G32" s="271">
        <v>11</v>
      </c>
      <c r="H32" s="271">
        <v>1</v>
      </c>
      <c r="I32" s="271">
        <v>12</v>
      </c>
      <c r="J32" s="285"/>
      <c r="K32" s="277">
        <v>12</v>
      </c>
    </row>
    <row r="33" spans="1:14">
      <c r="A33" s="75">
        <v>40000</v>
      </c>
      <c r="B33" s="46">
        <v>40020</v>
      </c>
      <c r="C33" s="571"/>
      <c r="D33" s="294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294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294" t="s">
        <v>364</v>
      </c>
      <c r="E35" s="271">
        <v>10</v>
      </c>
      <c r="F35" s="271">
        <v>5</v>
      </c>
      <c r="G35" s="271">
        <v>15</v>
      </c>
      <c r="H35" s="271">
        <v>5</v>
      </c>
      <c r="I35" s="271">
        <v>20</v>
      </c>
      <c r="J35" s="285"/>
      <c r="K35" s="277">
        <v>20</v>
      </c>
      <c r="L35" s="264">
        <v>2</v>
      </c>
    </row>
    <row r="36" spans="1:14">
      <c r="A36" s="75">
        <v>68011</v>
      </c>
      <c r="B36" s="46">
        <v>68021</v>
      </c>
      <c r="C36" s="571"/>
      <c r="D36" s="294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294" t="s">
        <v>103</v>
      </c>
      <c r="E37" s="271">
        <v>9</v>
      </c>
      <c r="F37" s="271">
        <v>0</v>
      </c>
      <c r="G37" s="271">
        <v>9</v>
      </c>
      <c r="H37" s="271">
        <v>6</v>
      </c>
      <c r="I37" s="271">
        <v>15</v>
      </c>
      <c r="J37" s="285"/>
      <c r="K37" s="277">
        <v>15</v>
      </c>
    </row>
    <row r="38" spans="1:14">
      <c r="A38" s="75">
        <v>69111</v>
      </c>
      <c r="B38" s="46">
        <v>69121</v>
      </c>
      <c r="C38" s="571"/>
      <c r="D38" s="294" t="s">
        <v>98</v>
      </c>
      <c r="E38" s="271">
        <v>2</v>
      </c>
      <c r="F38" s="271">
        <v>0</v>
      </c>
      <c r="G38" s="271">
        <v>2</v>
      </c>
      <c r="H38" s="271">
        <v>1</v>
      </c>
      <c r="I38" s="271">
        <v>3</v>
      </c>
      <c r="J38" s="285"/>
      <c r="K38" s="277">
        <v>3</v>
      </c>
    </row>
    <row r="39" spans="1:14">
      <c r="A39" s="75">
        <v>64011</v>
      </c>
      <c r="B39" s="46">
        <v>64021</v>
      </c>
      <c r="C39" s="278"/>
      <c r="D39" s="294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99</v>
      </c>
      <c r="F40" s="273">
        <v>10</v>
      </c>
      <c r="G40" s="273">
        <v>109</v>
      </c>
      <c r="H40" s="273">
        <v>23</v>
      </c>
      <c r="I40" s="273">
        <v>132</v>
      </c>
      <c r="J40" s="273">
        <v>0</v>
      </c>
      <c r="K40" s="281">
        <v>132</v>
      </c>
    </row>
    <row r="41" spans="1:14">
      <c r="A41" s="75">
        <v>64211</v>
      </c>
      <c r="B41" s="46">
        <v>64221</v>
      </c>
      <c r="C41" s="586" t="s">
        <v>625</v>
      </c>
      <c r="D41" s="294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294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294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294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294" t="s">
        <v>416</v>
      </c>
      <c r="E45" s="271">
        <v>6</v>
      </c>
      <c r="F45" s="271">
        <v>0</v>
      </c>
      <c r="G45" s="271">
        <v>6</v>
      </c>
      <c r="H45" s="271">
        <v>3</v>
      </c>
      <c r="I45" s="271">
        <v>9</v>
      </c>
      <c r="J45" s="271"/>
      <c r="K45" s="277">
        <v>9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94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294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294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294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294" t="s">
        <v>485</v>
      </c>
      <c r="E50" s="271">
        <v>4</v>
      </c>
      <c r="F50" s="271">
        <v>1</v>
      </c>
      <c r="G50" s="271">
        <v>5</v>
      </c>
      <c r="H50" s="271">
        <v>0</v>
      </c>
      <c r="I50" s="271">
        <v>5</v>
      </c>
      <c r="J50" s="271"/>
      <c r="K50" s="277">
        <v>5</v>
      </c>
    </row>
    <row r="51" spans="1:12">
      <c r="A51" s="75">
        <v>61300</v>
      </c>
      <c r="B51" s="46">
        <v>61320</v>
      </c>
      <c r="C51" s="571"/>
      <c r="D51" s="294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294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294" t="s">
        <v>138</v>
      </c>
      <c r="E53" s="271">
        <v>7</v>
      </c>
      <c r="F53" s="271">
        <v>0</v>
      </c>
      <c r="G53" s="271">
        <v>7</v>
      </c>
      <c r="H53" s="271">
        <v>2</v>
      </c>
      <c r="I53" s="271">
        <v>9</v>
      </c>
      <c r="J53" s="271"/>
      <c r="K53" s="277">
        <v>9</v>
      </c>
    </row>
    <row r="54" spans="1:12">
      <c r="A54" s="75">
        <v>44111</v>
      </c>
      <c r="B54" s="46">
        <v>44121</v>
      </c>
      <c r="C54" s="571"/>
      <c r="D54" s="294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294" t="s">
        <v>433</v>
      </c>
      <c r="E55" s="271">
        <v>13</v>
      </c>
      <c r="F55" s="271">
        <v>0</v>
      </c>
      <c r="G55" s="271">
        <v>13</v>
      </c>
      <c r="H55" s="271">
        <v>3</v>
      </c>
      <c r="I55" s="271">
        <v>16</v>
      </c>
      <c r="J55" s="271"/>
      <c r="K55" s="277">
        <v>16</v>
      </c>
    </row>
    <row r="56" spans="1:12">
      <c r="A56" s="75">
        <v>45111</v>
      </c>
      <c r="B56" s="46">
        <v>45121</v>
      </c>
      <c r="C56" s="571"/>
      <c r="D56" s="294" t="s">
        <v>449</v>
      </c>
      <c r="E56" s="271">
        <v>14</v>
      </c>
      <c r="F56" s="271">
        <v>4</v>
      </c>
      <c r="G56" s="271">
        <v>18</v>
      </c>
      <c r="H56" s="271">
        <v>2</v>
      </c>
      <c r="I56" s="271">
        <v>20</v>
      </c>
      <c r="J56" s="271"/>
      <c r="K56" s="277">
        <v>20</v>
      </c>
    </row>
    <row r="57" spans="1:12">
      <c r="A57" s="75">
        <v>44200</v>
      </c>
      <c r="B57" s="46">
        <v>44220</v>
      </c>
      <c r="C57" s="278"/>
      <c r="D57" s="294" t="s">
        <v>162</v>
      </c>
      <c r="E57" s="271">
        <v>7</v>
      </c>
      <c r="F57" s="271">
        <v>1</v>
      </c>
      <c r="G57" s="271">
        <v>8</v>
      </c>
      <c r="H57" s="271">
        <v>1</v>
      </c>
      <c r="I57" s="271">
        <v>9</v>
      </c>
      <c r="J57" s="271"/>
      <c r="K57" s="277">
        <v>9</v>
      </c>
    </row>
    <row r="58" spans="1:12">
      <c r="A58" s="76"/>
      <c r="B58" s="56"/>
      <c r="C58" s="584" t="s">
        <v>618</v>
      </c>
      <c r="D58" s="585"/>
      <c r="E58" s="273">
        <v>31</v>
      </c>
      <c r="F58" s="273">
        <v>2</v>
      </c>
      <c r="G58" s="273">
        <v>33</v>
      </c>
      <c r="H58" s="273">
        <v>6</v>
      </c>
      <c r="I58" s="273">
        <v>39</v>
      </c>
      <c r="J58" s="273">
        <v>0</v>
      </c>
      <c r="K58" s="281">
        <v>39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94" t="s">
        <v>381</v>
      </c>
      <c r="E59" s="271">
        <v>3</v>
      </c>
      <c r="F59" s="271">
        <v>0</v>
      </c>
      <c r="G59" s="271">
        <v>3</v>
      </c>
      <c r="H59" s="271">
        <v>1</v>
      </c>
      <c r="I59" s="271">
        <v>4</v>
      </c>
      <c r="J59" s="271"/>
      <c r="K59" s="277">
        <v>4</v>
      </c>
    </row>
    <row r="60" spans="1:12">
      <c r="A60" s="75">
        <v>21000</v>
      </c>
      <c r="B60" s="46">
        <v>21020</v>
      </c>
      <c r="C60" s="575"/>
      <c r="D60" s="294" t="s">
        <v>383</v>
      </c>
      <c r="E60" s="271">
        <v>4</v>
      </c>
      <c r="F60" s="271">
        <v>0</v>
      </c>
      <c r="G60" s="271">
        <v>4</v>
      </c>
      <c r="H60" s="271">
        <v>0</v>
      </c>
      <c r="I60" s="271">
        <v>4</v>
      </c>
      <c r="J60" s="271"/>
      <c r="K60" s="277">
        <v>4</v>
      </c>
    </row>
    <row r="61" spans="1:12">
      <c r="A61" s="75">
        <v>22000</v>
      </c>
      <c r="B61" s="46">
        <v>22020</v>
      </c>
      <c r="C61" s="575"/>
      <c r="D61" s="294" t="s">
        <v>389</v>
      </c>
      <c r="E61" s="271">
        <v>5</v>
      </c>
      <c r="F61" s="271">
        <v>0</v>
      </c>
      <c r="G61" s="271">
        <v>5</v>
      </c>
      <c r="H61" s="271">
        <v>2</v>
      </c>
      <c r="I61" s="271">
        <v>7</v>
      </c>
      <c r="J61" s="271"/>
      <c r="K61" s="277">
        <v>7</v>
      </c>
    </row>
    <row r="62" spans="1:12">
      <c r="A62" s="75">
        <v>60000</v>
      </c>
      <c r="B62" s="46">
        <v>60020</v>
      </c>
      <c r="C62" s="576"/>
      <c r="D62" s="294" t="s">
        <v>396</v>
      </c>
      <c r="E62" s="271">
        <v>13</v>
      </c>
      <c r="F62" s="271">
        <v>0</v>
      </c>
      <c r="G62" s="271">
        <v>13</v>
      </c>
      <c r="H62" s="271">
        <v>1</v>
      </c>
      <c r="I62" s="271">
        <v>14</v>
      </c>
      <c r="J62" s="271"/>
      <c r="K62" s="277">
        <v>14</v>
      </c>
    </row>
    <row r="63" spans="1:12">
      <c r="A63" s="75">
        <v>60100</v>
      </c>
      <c r="B63" s="46">
        <v>60120</v>
      </c>
      <c r="C63" s="292" t="s">
        <v>626</v>
      </c>
      <c r="D63" s="294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9</v>
      </c>
      <c r="G64" s="273">
        <v>22</v>
      </c>
      <c r="H64" s="273">
        <v>1</v>
      </c>
      <c r="I64" s="273">
        <v>23</v>
      </c>
      <c r="J64" s="273">
        <v>0</v>
      </c>
      <c r="K64" s="281">
        <v>23</v>
      </c>
      <c r="L64" s="94"/>
    </row>
    <row r="65" spans="1:12">
      <c r="A65" s="76"/>
      <c r="B65" s="56"/>
      <c r="C65" s="586" t="s">
        <v>643</v>
      </c>
      <c r="D65" s="294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294" t="s">
        <v>49</v>
      </c>
      <c r="E67" s="271">
        <v>4</v>
      </c>
      <c r="F67" s="271">
        <v>2</v>
      </c>
      <c r="G67" s="271">
        <v>6</v>
      </c>
      <c r="H67" s="271">
        <v>0</v>
      </c>
      <c r="I67" s="271">
        <v>6</v>
      </c>
      <c r="J67" s="271"/>
      <c r="K67" s="277">
        <v>6</v>
      </c>
    </row>
    <row r="68" spans="1:12">
      <c r="A68" s="75">
        <v>32000</v>
      </c>
      <c r="B68" s="46">
        <v>32020</v>
      </c>
      <c r="C68" s="586" t="s">
        <v>647</v>
      </c>
      <c r="D68" s="294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294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54</v>
      </c>
    </row>
    <row r="72" spans="1:12">
      <c r="C72" s="584" t="s">
        <v>617</v>
      </c>
      <c r="D72" s="585"/>
      <c r="E72" s="273">
        <v>39</v>
      </c>
      <c r="F72" s="273">
        <v>4</v>
      </c>
      <c r="G72" s="273">
        <v>43</v>
      </c>
      <c r="H72" s="273">
        <v>11</v>
      </c>
      <c r="I72" s="273">
        <v>54</v>
      </c>
      <c r="J72" s="273">
        <v>0</v>
      </c>
      <c r="K72" s="281">
        <v>54</v>
      </c>
      <c r="L72" s="37"/>
    </row>
    <row r="73" spans="1:12">
      <c r="B73" s="56"/>
      <c r="C73" s="586" t="s">
        <v>643</v>
      </c>
      <c r="D73" s="294" t="s">
        <v>53</v>
      </c>
      <c r="E73" s="271">
        <v>12</v>
      </c>
      <c r="F73" s="271">
        <v>1</v>
      </c>
      <c r="G73" s="271">
        <v>13</v>
      </c>
      <c r="H73" s="271">
        <v>4</v>
      </c>
      <c r="I73" s="271">
        <v>17</v>
      </c>
      <c r="J73" s="271"/>
      <c r="K73" s="277">
        <v>17</v>
      </c>
    </row>
    <row r="74" spans="1:12">
      <c r="C74" s="575"/>
      <c r="D74" s="294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294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294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294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294" t="s">
        <v>158</v>
      </c>
      <c r="E78" s="271">
        <v>5</v>
      </c>
      <c r="F78" s="271">
        <v>1</v>
      </c>
      <c r="G78" s="271">
        <v>6</v>
      </c>
      <c r="H78" s="271">
        <v>4</v>
      </c>
      <c r="I78" s="271">
        <v>10</v>
      </c>
      <c r="J78" s="271"/>
      <c r="K78" s="277">
        <v>10</v>
      </c>
    </row>
    <row r="79" spans="1:12" ht="18.600000000000001" thickBot="1">
      <c r="C79" s="597" t="s">
        <v>642</v>
      </c>
      <c r="D79" s="598"/>
      <c r="E79" s="282">
        <v>386</v>
      </c>
      <c r="F79" s="282">
        <v>50</v>
      </c>
      <c r="G79" s="282">
        <v>436</v>
      </c>
      <c r="H79" s="282">
        <v>84</v>
      </c>
      <c r="I79" s="282">
        <v>520</v>
      </c>
      <c r="J79" s="282">
        <v>0</v>
      </c>
      <c r="K79" s="283">
        <v>520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295" t="s">
        <v>69</v>
      </c>
      <c r="F82" s="295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296" t="s">
        <v>878</v>
      </c>
      <c r="L86" s="264" t="s">
        <v>853</v>
      </c>
      <c r="M86" s="264" t="s">
        <v>858</v>
      </c>
    </row>
    <row r="87" spans="3:16">
      <c r="D87" s="296" t="s">
        <v>884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8" spans="3:16">
      <c r="D88" s="296" t="s">
        <v>877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89"/>
  <sheetViews>
    <sheetView topLeftCell="A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65" customWidth="1"/>
    <col min="5" max="10" width="6.3984375" style="264" customWidth="1"/>
    <col min="11" max="11" width="7.19921875" style="264" customWidth="1"/>
    <col min="12" max="16384" width="8.796875" style="264"/>
  </cols>
  <sheetData>
    <row r="1" spans="1:11" hidden="1"/>
    <row r="2" spans="1:11" ht="6.75" customHeight="1" thickBot="1"/>
    <row r="3" spans="1:11">
      <c r="C3" s="574"/>
      <c r="D3" s="572" t="s">
        <v>882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6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62"/>
      <c r="C5" s="576"/>
      <c r="D5" s="577"/>
      <c r="E5" s="272" t="s">
        <v>69</v>
      </c>
      <c r="F5" s="272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62">
        <v>202</v>
      </c>
      <c r="C6" s="276"/>
      <c r="D6" s="272" t="e">
        <v>#N/A</v>
      </c>
      <c r="E6" s="271">
        <v>1</v>
      </c>
      <c r="F6" s="271">
        <v>0</v>
      </c>
      <c r="G6" s="271">
        <v>1</v>
      </c>
      <c r="H6" s="271">
        <v>0</v>
      </c>
      <c r="I6" s="271">
        <v>1</v>
      </c>
      <c r="J6" s="271"/>
      <c r="K6" s="277">
        <v>1</v>
      </c>
    </row>
    <row r="7" spans="1:11" ht="16.5" hidden="1" customHeight="1">
      <c r="A7" s="77">
        <v>210</v>
      </c>
      <c r="B7" s="262">
        <v>211</v>
      </c>
      <c r="C7" s="276"/>
      <c r="D7" s="272" t="e">
        <v>#N/A</v>
      </c>
      <c r="E7" s="271">
        <v>0</v>
      </c>
      <c r="F7" s="271">
        <v>1</v>
      </c>
      <c r="G7" s="271">
        <v>1</v>
      </c>
      <c r="H7" s="271">
        <v>0</v>
      </c>
      <c r="I7" s="271">
        <v>1</v>
      </c>
      <c r="J7" s="271"/>
      <c r="K7" s="277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10</v>
      </c>
    </row>
    <row r="9" spans="1:11">
      <c r="A9" s="75">
        <v>11000</v>
      </c>
      <c r="B9" s="46">
        <v>11020</v>
      </c>
      <c r="C9" s="278"/>
      <c r="D9" s="272" t="s">
        <v>26</v>
      </c>
      <c r="E9" s="271">
        <v>6</v>
      </c>
      <c r="F9" s="271">
        <v>4</v>
      </c>
      <c r="G9" s="271">
        <v>10</v>
      </c>
      <c r="H9" s="271">
        <v>0</v>
      </c>
      <c r="I9" s="271">
        <v>10</v>
      </c>
      <c r="J9" s="271"/>
      <c r="K9" s="277">
        <v>10</v>
      </c>
    </row>
    <row r="10" spans="1:11">
      <c r="A10" s="75">
        <v>90000</v>
      </c>
      <c r="B10" s="46">
        <v>90020</v>
      </c>
      <c r="C10" s="278"/>
      <c r="D10" s="272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11</v>
      </c>
    </row>
    <row r="12" spans="1:11">
      <c r="A12" s="76">
        <v>1000</v>
      </c>
      <c r="B12" s="46">
        <v>1020</v>
      </c>
      <c r="C12" s="278"/>
      <c r="D12" s="272" t="s">
        <v>218</v>
      </c>
      <c r="E12" s="271">
        <v>8</v>
      </c>
      <c r="F12" s="271">
        <v>3</v>
      </c>
      <c r="G12" s="271">
        <v>11</v>
      </c>
      <c r="H12" s="271">
        <v>0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16</v>
      </c>
    </row>
    <row r="14" spans="1:11">
      <c r="A14" s="76"/>
      <c r="B14" s="56"/>
      <c r="C14" s="279"/>
      <c r="D14" s="272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272" t="s">
        <v>17</v>
      </c>
      <c r="E15" s="271">
        <v>4</v>
      </c>
      <c r="F15" s="271">
        <v>2</v>
      </c>
      <c r="G15" s="271">
        <v>6</v>
      </c>
      <c r="H15" s="271">
        <v>2</v>
      </c>
      <c r="I15" s="271">
        <v>8</v>
      </c>
      <c r="J15" s="271"/>
      <c r="K15" s="277">
        <v>8</v>
      </c>
    </row>
    <row r="16" spans="1:11">
      <c r="A16" s="75">
        <v>51000</v>
      </c>
      <c r="B16" s="46">
        <v>51020</v>
      </c>
      <c r="C16" s="279"/>
      <c r="D16" s="272" t="s">
        <v>13</v>
      </c>
      <c r="E16" s="271">
        <v>2</v>
      </c>
      <c r="F16" s="271">
        <v>1</v>
      </c>
      <c r="G16" s="271">
        <v>3</v>
      </c>
      <c r="H16" s="271">
        <v>0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3</v>
      </c>
      <c r="G17" s="273">
        <v>9</v>
      </c>
      <c r="H17" s="273">
        <v>2</v>
      </c>
      <c r="I17" s="273">
        <v>11</v>
      </c>
      <c r="J17" s="273">
        <v>0</v>
      </c>
      <c r="K17" s="281">
        <v>11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23</v>
      </c>
    </row>
    <row r="19" spans="1:15">
      <c r="A19" s="75">
        <v>80000</v>
      </c>
      <c r="B19" s="46">
        <v>80020</v>
      </c>
      <c r="C19" s="586" t="s">
        <v>643</v>
      </c>
      <c r="D19" s="272" t="s">
        <v>120</v>
      </c>
      <c r="E19" s="271">
        <v>3</v>
      </c>
      <c r="F19" s="271">
        <v>2</v>
      </c>
      <c r="G19" s="271">
        <v>5</v>
      </c>
      <c r="H19" s="271">
        <v>0</v>
      </c>
      <c r="I19" s="271">
        <v>5</v>
      </c>
      <c r="J19" s="271"/>
      <c r="K19" s="277">
        <v>5</v>
      </c>
    </row>
    <row r="20" spans="1:15">
      <c r="A20" s="75">
        <v>41111</v>
      </c>
      <c r="B20" s="46">
        <v>41121</v>
      </c>
      <c r="C20" s="576"/>
      <c r="D20" s="272" t="s">
        <v>124</v>
      </c>
      <c r="E20" s="271">
        <v>8</v>
      </c>
      <c r="F20" s="271">
        <v>0</v>
      </c>
      <c r="G20" s="271">
        <v>8</v>
      </c>
      <c r="H20" s="271">
        <v>0</v>
      </c>
      <c r="I20" s="271">
        <v>8</v>
      </c>
      <c r="J20" s="271"/>
      <c r="K20" s="277">
        <v>8</v>
      </c>
    </row>
    <row r="21" spans="1:15">
      <c r="A21" s="75">
        <v>43011</v>
      </c>
      <c r="B21" s="46">
        <v>43021</v>
      </c>
      <c r="C21" s="284" t="s">
        <v>647</v>
      </c>
      <c r="D21" s="272" t="s">
        <v>165</v>
      </c>
      <c r="E21" s="271">
        <v>8</v>
      </c>
      <c r="F21" s="271">
        <v>1</v>
      </c>
      <c r="G21" s="271">
        <v>9</v>
      </c>
      <c r="H21" s="271">
        <v>1</v>
      </c>
      <c r="I21" s="271">
        <v>10</v>
      </c>
      <c r="J21" s="271"/>
      <c r="K21" s="277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53</v>
      </c>
    </row>
    <row r="23" spans="1:15">
      <c r="A23" s="75">
        <v>42111</v>
      </c>
      <c r="B23" s="46">
        <v>42121</v>
      </c>
      <c r="C23" s="278"/>
      <c r="D23" s="272" t="s">
        <v>172</v>
      </c>
      <c r="E23" s="271">
        <v>41</v>
      </c>
      <c r="F23" s="271">
        <v>3</v>
      </c>
      <c r="G23" s="271">
        <v>44</v>
      </c>
      <c r="H23" s="271">
        <v>9</v>
      </c>
      <c r="I23" s="271">
        <v>53</v>
      </c>
      <c r="J23" s="271"/>
      <c r="K23" s="277">
        <v>53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351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124</v>
      </c>
      <c r="F25" s="273">
        <v>7</v>
      </c>
      <c r="G25" s="273">
        <v>131</v>
      </c>
      <c r="H25" s="273">
        <v>25</v>
      </c>
      <c r="I25" s="273">
        <v>156</v>
      </c>
      <c r="J25" s="273">
        <v>0</v>
      </c>
      <c r="K25" s="281">
        <v>156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72" t="s">
        <v>280</v>
      </c>
      <c r="E26" s="271">
        <v>7</v>
      </c>
      <c r="F26" s="271">
        <v>0</v>
      </c>
      <c r="G26" s="271">
        <v>7</v>
      </c>
      <c r="H26" s="271">
        <v>3</v>
      </c>
      <c r="I26" s="271">
        <v>10</v>
      </c>
      <c r="J26" s="285"/>
      <c r="K26" s="277">
        <v>10</v>
      </c>
    </row>
    <row r="27" spans="1:15">
      <c r="A27" s="75">
        <v>42311</v>
      </c>
      <c r="B27" s="46">
        <v>42321</v>
      </c>
      <c r="C27" s="575"/>
      <c r="D27" s="272" t="s">
        <v>349</v>
      </c>
      <c r="E27" s="271">
        <v>17</v>
      </c>
      <c r="F27" s="271">
        <v>0</v>
      </c>
      <c r="G27" s="271">
        <v>17</v>
      </c>
      <c r="H27" s="271">
        <v>2</v>
      </c>
      <c r="I27" s="271">
        <v>19</v>
      </c>
      <c r="J27" s="285"/>
      <c r="K27" s="277">
        <v>19</v>
      </c>
    </row>
    <row r="28" spans="1:15">
      <c r="A28" s="75">
        <v>43211</v>
      </c>
      <c r="B28" s="46">
        <v>43221</v>
      </c>
      <c r="C28" s="576"/>
      <c r="D28" s="272" t="s">
        <v>258</v>
      </c>
      <c r="E28" s="271">
        <v>21</v>
      </c>
      <c r="F28" s="271">
        <v>0</v>
      </c>
      <c r="G28" s="271">
        <v>21</v>
      </c>
      <c r="H28" s="271">
        <v>2</v>
      </c>
      <c r="I28" s="271">
        <v>23</v>
      </c>
      <c r="J28" s="285"/>
      <c r="K28" s="277">
        <v>23</v>
      </c>
    </row>
    <row r="29" spans="1:15">
      <c r="A29" s="75">
        <v>43311</v>
      </c>
      <c r="B29" s="46">
        <v>43321</v>
      </c>
      <c r="C29" s="571" t="s">
        <v>626</v>
      </c>
      <c r="D29" s="272" t="s">
        <v>305</v>
      </c>
      <c r="E29" s="271">
        <v>17</v>
      </c>
      <c r="F29" s="271">
        <v>1</v>
      </c>
      <c r="G29" s="271">
        <v>18</v>
      </c>
      <c r="H29" s="271">
        <v>3</v>
      </c>
      <c r="I29" s="271">
        <v>21</v>
      </c>
      <c r="J29" s="285"/>
      <c r="K29" s="277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72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272"/>
      <c r="E31" s="271"/>
      <c r="F31" s="271"/>
      <c r="G31" s="271"/>
      <c r="H31" s="271"/>
      <c r="I31" s="271"/>
      <c r="J31" s="285"/>
      <c r="K31" s="277"/>
      <c r="L31" s="263"/>
      <c r="M31" s="263"/>
      <c r="N31" s="263"/>
      <c r="O31" s="263"/>
    </row>
    <row r="32" spans="1:15">
      <c r="A32" s="75">
        <v>40400</v>
      </c>
      <c r="B32" s="46">
        <v>40420</v>
      </c>
      <c r="C32" s="571"/>
      <c r="D32" s="272" t="s">
        <v>318</v>
      </c>
      <c r="E32" s="271">
        <v>11</v>
      </c>
      <c r="F32" s="271">
        <v>0</v>
      </c>
      <c r="G32" s="271">
        <v>11</v>
      </c>
      <c r="H32" s="271">
        <v>1</v>
      </c>
      <c r="I32" s="271">
        <v>12</v>
      </c>
      <c r="J32" s="285"/>
      <c r="K32" s="277">
        <v>12</v>
      </c>
    </row>
    <row r="33" spans="1:14">
      <c r="A33" s="75">
        <v>40000</v>
      </c>
      <c r="B33" s="46">
        <v>40020</v>
      </c>
      <c r="C33" s="571"/>
      <c r="D33" s="272" t="s">
        <v>290</v>
      </c>
      <c r="E33" s="271">
        <v>12</v>
      </c>
      <c r="F33" s="271">
        <v>0</v>
      </c>
      <c r="G33" s="271">
        <v>12</v>
      </c>
      <c r="H33" s="271">
        <v>3</v>
      </c>
      <c r="I33" s="271">
        <v>15</v>
      </c>
      <c r="J33" s="285"/>
      <c r="K33" s="277">
        <v>15</v>
      </c>
    </row>
    <row r="34" spans="1:14">
      <c r="A34" s="76"/>
      <c r="B34" s="56"/>
      <c r="C34" s="571"/>
      <c r="D34" s="272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272" t="s">
        <v>364</v>
      </c>
      <c r="E35" s="271">
        <v>10</v>
      </c>
      <c r="F35" s="271">
        <v>5</v>
      </c>
      <c r="G35" s="271">
        <v>15</v>
      </c>
      <c r="H35" s="271">
        <v>4</v>
      </c>
      <c r="I35" s="271">
        <v>19</v>
      </c>
      <c r="J35" s="285"/>
      <c r="K35" s="277">
        <v>19</v>
      </c>
      <c r="L35" s="264">
        <v>2</v>
      </c>
    </row>
    <row r="36" spans="1:14">
      <c r="A36" s="75">
        <v>68011</v>
      </c>
      <c r="B36" s="46">
        <v>68021</v>
      </c>
      <c r="C36" s="571"/>
      <c r="D36" s="272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272" t="s">
        <v>103</v>
      </c>
      <c r="E37" s="271">
        <v>9</v>
      </c>
      <c r="F37" s="271">
        <v>0</v>
      </c>
      <c r="G37" s="271">
        <v>9</v>
      </c>
      <c r="H37" s="271">
        <v>5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272" t="s">
        <v>98</v>
      </c>
      <c r="E38" s="271">
        <v>2</v>
      </c>
      <c r="F38" s="271">
        <v>0</v>
      </c>
      <c r="G38" s="271">
        <v>2</v>
      </c>
      <c r="H38" s="271">
        <v>0</v>
      </c>
      <c r="I38" s="271">
        <v>2</v>
      </c>
      <c r="J38" s="285"/>
      <c r="K38" s="277">
        <v>2</v>
      </c>
    </row>
    <row r="39" spans="1:14">
      <c r="A39" s="75">
        <v>64011</v>
      </c>
      <c r="B39" s="46">
        <v>64021</v>
      </c>
      <c r="C39" s="278"/>
      <c r="D39" s="272" t="s">
        <v>87</v>
      </c>
      <c r="E39" s="271">
        <v>8</v>
      </c>
      <c r="F39" s="271">
        <v>1</v>
      </c>
      <c r="G39" s="271">
        <v>9</v>
      </c>
      <c r="H39" s="271">
        <v>0</v>
      </c>
      <c r="I39" s="271">
        <v>9</v>
      </c>
      <c r="J39" s="285"/>
      <c r="K39" s="277">
        <v>9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101</v>
      </c>
      <c r="F40" s="273">
        <v>10</v>
      </c>
      <c r="G40" s="273">
        <v>111</v>
      </c>
      <c r="H40" s="273">
        <v>23</v>
      </c>
      <c r="I40" s="273">
        <v>134</v>
      </c>
      <c r="J40" s="273">
        <v>0</v>
      </c>
      <c r="K40" s="281">
        <v>134</v>
      </c>
    </row>
    <row r="41" spans="1:14">
      <c r="A41" s="75">
        <v>64211</v>
      </c>
      <c r="B41" s="46">
        <v>64221</v>
      </c>
      <c r="C41" s="586" t="s">
        <v>625</v>
      </c>
      <c r="D41" s="272" t="s">
        <v>476</v>
      </c>
      <c r="E41" s="271">
        <v>6</v>
      </c>
      <c r="F41" s="271">
        <v>0</v>
      </c>
      <c r="G41" s="271">
        <v>6</v>
      </c>
      <c r="H41" s="271">
        <v>2</v>
      </c>
      <c r="I41" s="271">
        <v>8</v>
      </c>
      <c r="J41" s="271"/>
      <c r="K41" s="277">
        <v>8</v>
      </c>
    </row>
    <row r="42" spans="1:14">
      <c r="A42" s="75">
        <v>67011</v>
      </c>
      <c r="B42" s="46">
        <v>67021</v>
      </c>
      <c r="C42" s="575"/>
      <c r="D42" s="272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272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272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272" t="s">
        <v>416</v>
      </c>
      <c r="E45" s="271">
        <v>6</v>
      </c>
      <c r="F45" s="271">
        <v>0</v>
      </c>
      <c r="G45" s="271">
        <v>6</v>
      </c>
      <c r="H45" s="271">
        <v>3</v>
      </c>
      <c r="I45" s="271">
        <v>9</v>
      </c>
      <c r="J45" s="271"/>
      <c r="K45" s="277">
        <v>9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72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272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272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272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272" t="s">
        <v>485</v>
      </c>
      <c r="E50" s="271">
        <v>4</v>
      </c>
      <c r="F50" s="271">
        <v>1</v>
      </c>
      <c r="G50" s="271">
        <v>5</v>
      </c>
      <c r="H50" s="271">
        <v>0</v>
      </c>
      <c r="I50" s="271">
        <v>5</v>
      </c>
      <c r="J50" s="271"/>
      <c r="K50" s="277">
        <v>5</v>
      </c>
    </row>
    <row r="51" spans="1:12">
      <c r="A51" s="75">
        <v>61300</v>
      </c>
      <c r="B51" s="46">
        <v>61320</v>
      </c>
      <c r="C51" s="571"/>
      <c r="D51" s="272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272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272" t="s">
        <v>138</v>
      </c>
      <c r="E53" s="271">
        <v>8</v>
      </c>
      <c r="F53" s="271">
        <v>0</v>
      </c>
      <c r="G53" s="271">
        <v>8</v>
      </c>
      <c r="H53" s="271">
        <v>2</v>
      </c>
      <c r="I53" s="271">
        <v>10</v>
      </c>
      <c r="J53" s="271"/>
      <c r="K53" s="277">
        <v>10</v>
      </c>
    </row>
    <row r="54" spans="1:12">
      <c r="A54" s="75">
        <v>44111</v>
      </c>
      <c r="B54" s="46">
        <v>44121</v>
      </c>
      <c r="C54" s="571"/>
      <c r="D54" s="272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272" t="s">
        <v>433</v>
      </c>
      <c r="E55" s="271">
        <v>14</v>
      </c>
      <c r="F55" s="271">
        <v>0</v>
      </c>
      <c r="G55" s="271">
        <v>14</v>
      </c>
      <c r="H55" s="271">
        <v>3</v>
      </c>
      <c r="I55" s="271">
        <v>17</v>
      </c>
      <c r="J55" s="271"/>
      <c r="K55" s="277">
        <v>17</v>
      </c>
    </row>
    <row r="56" spans="1:12">
      <c r="A56" s="75">
        <v>45111</v>
      </c>
      <c r="B56" s="46">
        <v>45121</v>
      </c>
      <c r="C56" s="571"/>
      <c r="D56" s="272" t="s">
        <v>449</v>
      </c>
      <c r="E56" s="271">
        <v>14</v>
      </c>
      <c r="F56" s="271">
        <v>4</v>
      </c>
      <c r="G56" s="271">
        <v>18</v>
      </c>
      <c r="H56" s="271">
        <v>2</v>
      </c>
      <c r="I56" s="271">
        <v>20</v>
      </c>
      <c r="J56" s="271"/>
      <c r="K56" s="277">
        <v>20</v>
      </c>
    </row>
    <row r="57" spans="1:12">
      <c r="A57" s="75">
        <v>44200</v>
      </c>
      <c r="B57" s="46">
        <v>44220</v>
      </c>
      <c r="C57" s="278"/>
      <c r="D57" s="272" t="s">
        <v>162</v>
      </c>
      <c r="E57" s="271">
        <v>7</v>
      </c>
      <c r="F57" s="271">
        <v>1</v>
      </c>
      <c r="G57" s="271">
        <v>8</v>
      </c>
      <c r="H57" s="271">
        <v>1</v>
      </c>
      <c r="I57" s="271">
        <v>9</v>
      </c>
      <c r="J57" s="271"/>
      <c r="K57" s="277">
        <v>9</v>
      </c>
    </row>
    <row r="58" spans="1:12">
      <c r="A58" s="76"/>
      <c r="B58" s="56"/>
      <c r="C58" s="584" t="s">
        <v>618</v>
      </c>
      <c r="D58" s="585"/>
      <c r="E58" s="273">
        <v>31</v>
      </c>
      <c r="F58" s="273">
        <v>2</v>
      </c>
      <c r="G58" s="273">
        <v>33</v>
      </c>
      <c r="H58" s="273">
        <v>5</v>
      </c>
      <c r="I58" s="273">
        <v>38</v>
      </c>
      <c r="J58" s="273">
        <v>0</v>
      </c>
      <c r="K58" s="281">
        <v>38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72" t="s">
        <v>381</v>
      </c>
      <c r="E59" s="271">
        <v>4</v>
      </c>
      <c r="F59" s="271">
        <v>0</v>
      </c>
      <c r="G59" s="271">
        <v>4</v>
      </c>
      <c r="H59" s="271">
        <v>1</v>
      </c>
      <c r="I59" s="271">
        <v>5</v>
      </c>
      <c r="J59" s="271"/>
      <c r="K59" s="277">
        <v>5</v>
      </c>
    </row>
    <row r="60" spans="1:12">
      <c r="A60" s="75">
        <v>21000</v>
      </c>
      <c r="B60" s="46">
        <v>21020</v>
      </c>
      <c r="C60" s="575"/>
      <c r="D60" s="272" t="s">
        <v>383</v>
      </c>
      <c r="E60" s="271">
        <v>3</v>
      </c>
      <c r="F60" s="271">
        <v>0</v>
      </c>
      <c r="G60" s="271">
        <v>3</v>
      </c>
      <c r="H60" s="271">
        <v>0</v>
      </c>
      <c r="I60" s="271">
        <v>3</v>
      </c>
      <c r="J60" s="271"/>
      <c r="K60" s="277">
        <v>3</v>
      </c>
    </row>
    <row r="61" spans="1:12">
      <c r="A61" s="75">
        <v>22000</v>
      </c>
      <c r="B61" s="46">
        <v>22020</v>
      </c>
      <c r="C61" s="575"/>
      <c r="D61" s="272" t="s">
        <v>389</v>
      </c>
      <c r="E61" s="271">
        <v>4</v>
      </c>
      <c r="F61" s="271">
        <v>0</v>
      </c>
      <c r="G61" s="271">
        <v>4</v>
      </c>
      <c r="H61" s="271">
        <v>1</v>
      </c>
      <c r="I61" s="271">
        <v>5</v>
      </c>
      <c r="J61" s="271"/>
      <c r="K61" s="277">
        <v>5</v>
      </c>
    </row>
    <row r="62" spans="1:12">
      <c r="A62" s="75">
        <v>60000</v>
      </c>
      <c r="B62" s="46">
        <v>60020</v>
      </c>
      <c r="C62" s="576"/>
      <c r="D62" s="272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276" t="s">
        <v>626</v>
      </c>
      <c r="D63" s="272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13</v>
      </c>
      <c r="F64" s="273">
        <v>9</v>
      </c>
      <c r="G64" s="273">
        <v>22</v>
      </c>
      <c r="H64" s="273">
        <v>1</v>
      </c>
      <c r="I64" s="273">
        <v>23</v>
      </c>
      <c r="J64" s="273">
        <v>0</v>
      </c>
      <c r="K64" s="281">
        <v>23</v>
      </c>
      <c r="L64" s="94"/>
    </row>
    <row r="65" spans="1:12">
      <c r="A65" s="76"/>
      <c r="B65" s="56"/>
      <c r="C65" s="586" t="s">
        <v>643</v>
      </c>
      <c r="D65" s="272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272" t="s">
        <v>49</v>
      </c>
      <c r="E67" s="271">
        <v>4</v>
      </c>
      <c r="F67" s="271">
        <v>2</v>
      </c>
      <c r="G67" s="271">
        <v>6</v>
      </c>
      <c r="H67" s="271">
        <v>0</v>
      </c>
      <c r="I67" s="271">
        <v>6</v>
      </c>
      <c r="J67" s="271"/>
      <c r="K67" s="277">
        <v>6</v>
      </c>
    </row>
    <row r="68" spans="1:12">
      <c r="A68" s="75">
        <v>32000</v>
      </c>
      <c r="B68" s="46">
        <v>32020</v>
      </c>
      <c r="C68" s="586" t="s">
        <v>647</v>
      </c>
      <c r="D68" s="272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272" t="s">
        <v>134</v>
      </c>
      <c r="E70" s="271">
        <v>2</v>
      </c>
      <c r="F70" s="271">
        <v>1</v>
      </c>
      <c r="G70" s="271">
        <v>3</v>
      </c>
      <c r="H70" s="271">
        <v>0</v>
      </c>
      <c r="I70" s="271">
        <v>3</v>
      </c>
      <c r="J70" s="271"/>
      <c r="K70" s="277">
        <v>3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54</v>
      </c>
    </row>
    <row r="72" spans="1:12">
      <c r="C72" s="584" t="s">
        <v>617</v>
      </c>
      <c r="D72" s="585"/>
      <c r="E72" s="273">
        <v>39</v>
      </c>
      <c r="F72" s="273">
        <v>4</v>
      </c>
      <c r="G72" s="273">
        <v>43</v>
      </c>
      <c r="H72" s="273">
        <v>11</v>
      </c>
      <c r="I72" s="273">
        <v>54</v>
      </c>
      <c r="J72" s="273">
        <v>0</v>
      </c>
      <c r="K72" s="281">
        <v>54</v>
      </c>
      <c r="L72" s="37"/>
    </row>
    <row r="73" spans="1:12">
      <c r="B73" s="56"/>
      <c r="C73" s="586" t="s">
        <v>643</v>
      </c>
      <c r="D73" s="272" t="s">
        <v>53</v>
      </c>
      <c r="E73" s="271">
        <v>12</v>
      </c>
      <c r="F73" s="271">
        <v>1</v>
      </c>
      <c r="G73" s="271">
        <v>13</v>
      </c>
      <c r="H73" s="271">
        <v>4</v>
      </c>
      <c r="I73" s="271">
        <v>17</v>
      </c>
      <c r="J73" s="271"/>
      <c r="K73" s="277">
        <v>17</v>
      </c>
    </row>
    <row r="74" spans="1:12">
      <c r="C74" s="575"/>
      <c r="D74" s="272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272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272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272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272" t="s">
        <v>158</v>
      </c>
      <c r="E78" s="271">
        <v>5</v>
      </c>
      <c r="F78" s="271">
        <v>1</v>
      </c>
      <c r="G78" s="271">
        <v>6</v>
      </c>
      <c r="H78" s="271">
        <v>4</v>
      </c>
      <c r="I78" s="271">
        <v>10</v>
      </c>
      <c r="J78" s="271"/>
      <c r="K78" s="277">
        <v>10</v>
      </c>
    </row>
    <row r="79" spans="1:12" ht="18.600000000000001" thickBot="1">
      <c r="C79" s="597" t="s">
        <v>642</v>
      </c>
      <c r="D79" s="598"/>
      <c r="E79" s="282">
        <v>390</v>
      </c>
      <c r="F79" s="282">
        <v>50</v>
      </c>
      <c r="G79" s="282">
        <v>440</v>
      </c>
      <c r="H79" s="282">
        <v>78</v>
      </c>
      <c r="I79" s="282">
        <v>518</v>
      </c>
      <c r="J79" s="282">
        <v>0</v>
      </c>
      <c r="K79" s="283">
        <v>518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6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6" ht="15.75" customHeight="1" thickBot="1">
      <c r="C82" s="587"/>
      <c r="D82" s="553"/>
      <c r="E82" s="268" t="s">
        <v>69</v>
      </c>
      <c r="F82" s="268" t="s">
        <v>650</v>
      </c>
      <c r="G82" s="553"/>
      <c r="H82" s="553"/>
      <c r="I82" s="553"/>
      <c r="J82" s="580"/>
      <c r="K82" s="581"/>
      <c r="L82" s="37"/>
    </row>
    <row r="83" spans="3:16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6">
      <c r="L84" s="264" t="s">
        <v>843</v>
      </c>
      <c r="M84" s="264" t="s">
        <v>844</v>
      </c>
      <c r="N84" s="264" t="s">
        <v>845</v>
      </c>
      <c r="O84" s="264" t="s">
        <v>846</v>
      </c>
      <c r="P84" s="264" t="s">
        <v>847</v>
      </c>
    </row>
    <row r="85" spans="3:16">
      <c r="L85" s="264" t="s">
        <v>848</v>
      </c>
      <c r="M85" s="264" t="s">
        <v>849</v>
      </c>
      <c r="N85" s="264" t="s">
        <v>850</v>
      </c>
      <c r="O85" s="264" t="s">
        <v>851</v>
      </c>
      <c r="P85" s="264" t="s">
        <v>852</v>
      </c>
    </row>
    <row r="86" spans="3:16">
      <c r="D86" s="265" t="s">
        <v>876</v>
      </c>
      <c r="L86" s="264" t="s">
        <v>853</v>
      </c>
      <c r="M86" s="264" t="s">
        <v>858</v>
      </c>
    </row>
    <row r="87" spans="3:16">
      <c r="D87" s="265" t="s">
        <v>871</v>
      </c>
      <c r="L87" s="264" t="s">
        <v>854</v>
      </c>
      <c r="M87" s="264" t="s">
        <v>855</v>
      </c>
      <c r="N87" s="264" t="s">
        <v>856</v>
      </c>
      <c r="O87" s="264" t="s">
        <v>857</v>
      </c>
    </row>
    <row r="89" spans="3:16">
      <c r="D89" s="265" t="s">
        <v>872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7"/>
  <sheetViews>
    <sheetView topLeftCell="A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59" customWidth="1"/>
    <col min="5" max="10" width="6.3984375" customWidth="1"/>
    <col min="11" max="11" width="7.19921875" customWidth="1"/>
  </cols>
  <sheetData>
    <row r="1" spans="1:11" ht="18" hidden="1" customHeight="1">
      <c r="C1" s="264"/>
      <c r="D1" s="264"/>
      <c r="E1" s="264"/>
      <c r="F1" s="264"/>
      <c r="G1" s="264"/>
      <c r="H1" s="264"/>
      <c r="I1" s="264"/>
      <c r="J1" s="264"/>
      <c r="K1" s="264"/>
    </row>
    <row r="2" spans="1:11" ht="6.75" customHeight="1" thickBot="1">
      <c r="C2" s="264"/>
      <c r="D2" s="264"/>
      <c r="E2" s="264"/>
      <c r="F2" s="264"/>
      <c r="G2" s="264"/>
      <c r="H2" s="264"/>
      <c r="I2" s="264"/>
      <c r="J2" s="264"/>
      <c r="K2" s="264"/>
    </row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 ht="18" customHeight="1">
      <c r="A4" s="569" t="s">
        <v>610</v>
      </c>
      <c r="B4" s="258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58"/>
      <c r="C5" s="576"/>
      <c r="D5" s="577"/>
      <c r="E5" s="267" t="s">
        <v>15</v>
      </c>
      <c r="F5" s="267" t="s">
        <v>870</v>
      </c>
      <c r="G5" s="577"/>
      <c r="H5" s="577"/>
      <c r="I5" s="577"/>
      <c r="J5" s="590"/>
      <c r="K5" s="578"/>
    </row>
    <row r="6" spans="1:11" ht="18" hidden="1" customHeight="1">
      <c r="A6" s="77">
        <v>200</v>
      </c>
      <c r="B6" s="258">
        <v>202</v>
      </c>
      <c r="C6" s="269"/>
      <c r="D6" s="267" t="e">
        <v>#N/A</v>
      </c>
      <c r="E6" s="266">
        <v>1</v>
      </c>
      <c r="F6" s="266">
        <v>0</v>
      </c>
      <c r="G6" s="266">
        <v>1</v>
      </c>
      <c r="H6" s="266">
        <v>0</v>
      </c>
      <c r="I6" s="266">
        <v>1</v>
      </c>
      <c r="J6" s="266"/>
      <c r="K6" s="270">
        <v>1</v>
      </c>
    </row>
    <row r="7" spans="1:11" ht="16.5" hidden="1" customHeight="1">
      <c r="A7" s="77">
        <v>210</v>
      </c>
      <c r="B7" s="258">
        <v>211</v>
      </c>
      <c r="C7" s="269"/>
      <c r="D7" s="267" t="e">
        <v>#N/A</v>
      </c>
      <c r="E7" s="266">
        <v>0</v>
      </c>
      <c r="F7" s="266">
        <v>1</v>
      </c>
      <c r="G7" s="266">
        <v>1</v>
      </c>
      <c r="H7" s="266">
        <v>0</v>
      </c>
      <c r="I7" s="266">
        <v>1</v>
      </c>
      <c r="J7" s="266"/>
      <c r="K7" s="270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286">
        <v>10</v>
      </c>
    </row>
    <row r="9" spans="1:11">
      <c r="A9" s="75">
        <v>11000</v>
      </c>
      <c r="B9" s="46">
        <v>11020</v>
      </c>
      <c r="C9" s="278"/>
      <c r="D9" s="272" t="s">
        <v>26</v>
      </c>
      <c r="E9" s="271">
        <v>6</v>
      </c>
      <c r="F9" s="271">
        <v>4</v>
      </c>
      <c r="G9" s="271">
        <v>10</v>
      </c>
      <c r="H9" s="271">
        <v>0</v>
      </c>
      <c r="I9" s="271">
        <v>10</v>
      </c>
      <c r="J9" s="271"/>
      <c r="K9" s="277">
        <v>10</v>
      </c>
    </row>
    <row r="10" spans="1:11">
      <c r="A10" s="75">
        <v>90000</v>
      </c>
      <c r="B10" s="46">
        <v>90020</v>
      </c>
      <c r="C10" s="278"/>
      <c r="D10" s="272" t="s">
        <v>644</v>
      </c>
      <c r="E10" s="285">
        <v>0</v>
      </c>
      <c r="F10" s="271">
        <v>0</v>
      </c>
      <c r="G10" s="271">
        <v>0</v>
      </c>
      <c r="H10" s="271">
        <v>0</v>
      </c>
      <c r="I10" s="271">
        <v>0</v>
      </c>
      <c r="J10" s="271"/>
      <c r="K10" s="277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288">
        <v>11</v>
      </c>
    </row>
    <row r="12" spans="1:11">
      <c r="A12" s="76">
        <v>1000</v>
      </c>
      <c r="B12" s="46">
        <v>1020</v>
      </c>
      <c r="C12" s="278"/>
      <c r="D12" s="272" t="s">
        <v>218</v>
      </c>
      <c r="E12" s="271">
        <v>8</v>
      </c>
      <c r="F12" s="271">
        <v>3</v>
      </c>
      <c r="G12" s="271">
        <v>11</v>
      </c>
      <c r="H12" s="271">
        <v>0</v>
      </c>
      <c r="I12" s="271">
        <v>11</v>
      </c>
      <c r="J12" s="271"/>
      <c r="K12" s="277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289">
        <v>16</v>
      </c>
    </row>
    <row r="14" spans="1:11">
      <c r="A14" s="76"/>
      <c r="B14" s="56"/>
      <c r="C14" s="279"/>
      <c r="D14" s="272" t="s">
        <v>648</v>
      </c>
      <c r="E14" s="271">
        <v>2</v>
      </c>
      <c r="F14" s="271">
        <v>2</v>
      </c>
      <c r="G14" s="271">
        <v>4</v>
      </c>
      <c r="H14" s="271">
        <v>1</v>
      </c>
      <c r="I14" s="271">
        <v>5</v>
      </c>
      <c r="J14" s="271"/>
      <c r="K14" s="277">
        <v>5</v>
      </c>
    </row>
    <row r="15" spans="1:11">
      <c r="A15" s="75">
        <v>50000</v>
      </c>
      <c r="B15" s="46">
        <v>50020</v>
      </c>
      <c r="C15" s="279"/>
      <c r="D15" s="272" t="s">
        <v>17</v>
      </c>
      <c r="E15" s="271">
        <v>4</v>
      </c>
      <c r="F15" s="271">
        <v>2</v>
      </c>
      <c r="G15" s="271">
        <v>6</v>
      </c>
      <c r="H15" s="271">
        <v>2</v>
      </c>
      <c r="I15" s="271">
        <v>8</v>
      </c>
      <c r="J15" s="271"/>
      <c r="K15" s="277">
        <v>8</v>
      </c>
    </row>
    <row r="16" spans="1:11">
      <c r="A16" s="75">
        <v>51000</v>
      </c>
      <c r="B16" s="46">
        <v>51020</v>
      </c>
      <c r="C16" s="279"/>
      <c r="D16" s="272" t="s">
        <v>13</v>
      </c>
      <c r="E16" s="271">
        <v>2</v>
      </c>
      <c r="F16" s="271">
        <v>1</v>
      </c>
      <c r="G16" s="271">
        <v>3</v>
      </c>
      <c r="H16" s="271">
        <v>0</v>
      </c>
      <c r="I16" s="271">
        <v>3</v>
      </c>
      <c r="J16" s="271"/>
      <c r="K16" s="277">
        <v>3</v>
      </c>
    </row>
    <row r="17" spans="1:15">
      <c r="A17" s="75">
        <v>63000</v>
      </c>
      <c r="B17" s="46">
        <v>63020</v>
      </c>
      <c r="C17" s="280"/>
      <c r="D17" s="274" t="s">
        <v>629</v>
      </c>
      <c r="E17" s="273">
        <v>6</v>
      </c>
      <c r="F17" s="273">
        <v>3</v>
      </c>
      <c r="G17" s="273">
        <v>9</v>
      </c>
      <c r="H17" s="273">
        <v>2</v>
      </c>
      <c r="I17" s="273">
        <v>11</v>
      </c>
      <c r="J17" s="273">
        <v>0</v>
      </c>
      <c r="K17" s="281">
        <v>11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290">
        <v>22</v>
      </c>
    </row>
    <row r="19" spans="1:15">
      <c r="A19" s="75">
        <v>80000</v>
      </c>
      <c r="B19" s="46">
        <v>80020</v>
      </c>
      <c r="C19" s="586" t="s">
        <v>643</v>
      </c>
      <c r="D19" s="272" t="s">
        <v>120</v>
      </c>
      <c r="E19" s="271">
        <v>4</v>
      </c>
      <c r="F19" s="271">
        <v>2</v>
      </c>
      <c r="G19" s="271">
        <v>6</v>
      </c>
      <c r="H19" s="271">
        <v>0</v>
      </c>
      <c r="I19" s="271">
        <v>6</v>
      </c>
      <c r="J19" s="271"/>
      <c r="K19" s="277">
        <v>6</v>
      </c>
    </row>
    <row r="20" spans="1:15">
      <c r="A20" s="75">
        <v>41111</v>
      </c>
      <c r="B20" s="46">
        <v>41121</v>
      </c>
      <c r="C20" s="576"/>
      <c r="D20" s="272" t="s">
        <v>124</v>
      </c>
      <c r="E20" s="271">
        <v>7</v>
      </c>
      <c r="F20" s="271">
        <v>0</v>
      </c>
      <c r="G20" s="271">
        <v>7</v>
      </c>
      <c r="H20" s="271">
        <v>0</v>
      </c>
      <c r="I20" s="271">
        <v>7</v>
      </c>
      <c r="J20" s="271"/>
      <c r="K20" s="277">
        <v>7</v>
      </c>
    </row>
    <row r="21" spans="1:15">
      <c r="A21" s="75">
        <v>43011</v>
      </c>
      <c r="B21" s="46">
        <v>43021</v>
      </c>
      <c r="C21" s="284" t="s">
        <v>647</v>
      </c>
      <c r="D21" s="272" t="s">
        <v>165</v>
      </c>
      <c r="E21" s="271">
        <v>7</v>
      </c>
      <c r="F21" s="271">
        <v>1</v>
      </c>
      <c r="G21" s="271">
        <v>8</v>
      </c>
      <c r="H21" s="271">
        <v>1</v>
      </c>
      <c r="I21" s="271">
        <v>9</v>
      </c>
      <c r="J21" s="271"/>
      <c r="K21" s="277"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287">
        <v>51</v>
      </c>
    </row>
    <row r="23" spans="1:15">
      <c r="A23" s="75">
        <v>42111</v>
      </c>
      <c r="B23" s="46">
        <v>42121</v>
      </c>
      <c r="C23" s="278"/>
      <c r="D23" s="272" t="s">
        <v>172</v>
      </c>
      <c r="E23" s="271">
        <v>40</v>
      </c>
      <c r="F23" s="271">
        <v>3</v>
      </c>
      <c r="G23" s="271">
        <v>43</v>
      </c>
      <c r="H23" s="271">
        <v>8</v>
      </c>
      <c r="I23" s="271">
        <v>51</v>
      </c>
      <c r="J23" s="271"/>
      <c r="K23" s="277"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286">
        <v>354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273">
        <v>127</v>
      </c>
      <c r="F25" s="273">
        <v>7</v>
      </c>
      <c r="G25" s="273">
        <v>134</v>
      </c>
      <c r="H25" s="273">
        <v>24</v>
      </c>
      <c r="I25" s="273">
        <v>158</v>
      </c>
      <c r="J25" s="273">
        <v>0</v>
      </c>
      <c r="K25" s="281">
        <v>158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72" t="s">
        <v>280</v>
      </c>
      <c r="E26" s="271">
        <v>9</v>
      </c>
      <c r="F26" s="271">
        <v>0</v>
      </c>
      <c r="G26" s="271">
        <v>9</v>
      </c>
      <c r="H26" s="271">
        <v>3</v>
      </c>
      <c r="I26" s="271">
        <v>12</v>
      </c>
      <c r="J26" s="285"/>
      <c r="K26" s="277">
        <v>12</v>
      </c>
    </row>
    <row r="27" spans="1:15">
      <c r="A27" s="75">
        <v>42311</v>
      </c>
      <c r="B27" s="46">
        <v>42321</v>
      </c>
      <c r="C27" s="575"/>
      <c r="D27" s="272" t="s">
        <v>349</v>
      </c>
      <c r="E27" s="271">
        <v>17</v>
      </c>
      <c r="F27" s="271">
        <v>0</v>
      </c>
      <c r="G27" s="271">
        <v>17</v>
      </c>
      <c r="H27" s="271">
        <v>2</v>
      </c>
      <c r="I27" s="271">
        <v>19</v>
      </c>
      <c r="J27" s="285"/>
      <c r="K27" s="277">
        <v>19</v>
      </c>
    </row>
    <row r="28" spans="1:15">
      <c r="A28" s="75">
        <v>43211</v>
      </c>
      <c r="B28" s="46">
        <v>43221</v>
      </c>
      <c r="C28" s="576"/>
      <c r="D28" s="272" t="s">
        <v>258</v>
      </c>
      <c r="E28" s="271">
        <v>21</v>
      </c>
      <c r="F28" s="271">
        <v>0</v>
      </c>
      <c r="G28" s="271">
        <v>21</v>
      </c>
      <c r="H28" s="271">
        <v>2</v>
      </c>
      <c r="I28" s="271">
        <v>23</v>
      </c>
      <c r="J28" s="285"/>
      <c r="K28" s="277">
        <v>23</v>
      </c>
    </row>
    <row r="29" spans="1:15">
      <c r="A29" s="75">
        <v>43311</v>
      </c>
      <c r="B29" s="46">
        <v>43321</v>
      </c>
      <c r="C29" s="571" t="s">
        <v>626</v>
      </c>
      <c r="D29" s="272" t="s">
        <v>305</v>
      </c>
      <c r="E29" s="271">
        <v>17</v>
      </c>
      <c r="F29" s="271">
        <v>1</v>
      </c>
      <c r="G29" s="271">
        <v>18</v>
      </c>
      <c r="H29" s="271">
        <v>3</v>
      </c>
      <c r="I29" s="271">
        <v>21</v>
      </c>
      <c r="J29" s="285"/>
      <c r="K29" s="277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72" t="s">
        <v>339</v>
      </c>
      <c r="E30" s="271">
        <v>0</v>
      </c>
      <c r="F30" s="271">
        <v>0</v>
      </c>
      <c r="G30" s="271">
        <v>0</v>
      </c>
      <c r="H30" s="271">
        <v>0</v>
      </c>
      <c r="I30" s="271">
        <v>0</v>
      </c>
      <c r="J30" s="285"/>
      <c r="K30" s="277">
        <v>0</v>
      </c>
      <c r="L30" s="588"/>
      <c r="M30" s="589"/>
      <c r="N30" s="589"/>
      <c r="O30" s="589"/>
    </row>
    <row r="31" spans="1:15">
      <c r="A31" s="75"/>
      <c r="C31" s="571"/>
      <c r="D31" s="272"/>
      <c r="E31" s="271"/>
      <c r="F31" s="271"/>
      <c r="G31" s="271"/>
      <c r="H31" s="271"/>
      <c r="I31" s="271"/>
      <c r="J31" s="285"/>
      <c r="K31" s="277"/>
      <c r="L31" s="260"/>
      <c r="M31" s="260"/>
      <c r="N31" s="260"/>
      <c r="O31" s="260"/>
    </row>
    <row r="32" spans="1:15">
      <c r="A32" s="75">
        <v>40400</v>
      </c>
      <c r="B32" s="46">
        <v>40420</v>
      </c>
      <c r="C32" s="571"/>
      <c r="D32" s="272" t="s">
        <v>318</v>
      </c>
      <c r="E32" s="271">
        <v>11</v>
      </c>
      <c r="F32" s="271">
        <v>0</v>
      </c>
      <c r="G32" s="271">
        <v>11</v>
      </c>
      <c r="H32" s="271">
        <v>0</v>
      </c>
      <c r="I32" s="271">
        <v>11</v>
      </c>
      <c r="J32" s="285"/>
      <c r="K32" s="277">
        <v>11</v>
      </c>
    </row>
    <row r="33" spans="1:14">
      <c r="A33" s="75">
        <v>40000</v>
      </c>
      <c r="B33" s="46">
        <v>40020</v>
      </c>
      <c r="C33" s="571"/>
      <c r="D33" s="272" t="s">
        <v>290</v>
      </c>
      <c r="E33" s="271">
        <v>14</v>
      </c>
      <c r="F33" s="271">
        <v>0</v>
      </c>
      <c r="G33" s="271">
        <v>14</v>
      </c>
      <c r="H33" s="271">
        <v>3</v>
      </c>
      <c r="I33" s="271">
        <v>17</v>
      </c>
      <c r="J33" s="285"/>
      <c r="K33" s="277">
        <v>17</v>
      </c>
    </row>
    <row r="34" spans="1:14">
      <c r="A34" s="76"/>
      <c r="B34" s="56"/>
      <c r="C34" s="571"/>
      <c r="D34" s="272" t="s">
        <v>674</v>
      </c>
      <c r="E34" s="271">
        <v>7</v>
      </c>
      <c r="F34" s="271">
        <v>0</v>
      </c>
      <c r="G34" s="271">
        <v>7</v>
      </c>
      <c r="H34" s="271">
        <v>0</v>
      </c>
      <c r="I34" s="271">
        <v>7</v>
      </c>
      <c r="J34" s="285"/>
      <c r="K34" s="277">
        <v>7</v>
      </c>
    </row>
    <row r="35" spans="1:14">
      <c r="A35" s="75">
        <v>67211</v>
      </c>
      <c r="B35" s="46">
        <v>67221</v>
      </c>
      <c r="C35" s="571" t="s">
        <v>627</v>
      </c>
      <c r="D35" s="272" t="s">
        <v>364</v>
      </c>
      <c r="E35" s="271">
        <v>10</v>
      </c>
      <c r="F35" s="271">
        <v>5</v>
      </c>
      <c r="G35" s="271">
        <v>15</v>
      </c>
      <c r="H35" s="271">
        <v>4</v>
      </c>
      <c r="I35" s="271">
        <v>19</v>
      </c>
      <c r="J35" s="285"/>
      <c r="K35" s="277">
        <v>19</v>
      </c>
      <c r="L35">
        <v>2</v>
      </c>
    </row>
    <row r="36" spans="1:14">
      <c r="A36" s="75">
        <v>68011</v>
      </c>
      <c r="B36" s="46">
        <v>68021</v>
      </c>
      <c r="C36" s="571"/>
      <c r="D36" s="272" t="s">
        <v>377</v>
      </c>
      <c r="E36" s="271">
        <v>3</v>
      </c>
      <c r="F36" s="271">
        <v>0</v>
      </c>
      <c r="G36" s="271">
        <v>3</v>
      </c>
      <c r="H36" s="271">
        <v>2</v>
      </c>
      <c r="I36" s="271">
        <v>5</v>
      </c>
      <c r="J36" s="285"/>
      <c r="K36" s="277">
        <v>5</v>
      </c>
    </row>
    <row r="37" spans="1:14">
      <c r="A37" s="75">
        <v>69211</v>
      </c>
      <c r="B37" s="46">
        <v>69221</v>
      </c>
      <c r="C37" s="571"/>
      <c r="D37" s="272" t="s">
        <v>103</v>
      </c>
      <c r="E37" s="271">
        <v>9</v>
      </c>
      <c r="F37" s="271">
        <v>0</v>
      </c>
      <c r="G37" s="271">
        <v>9</v>
      </c>
      <c r="H37" s="271">
        <v>5</v>
      </c>
      <c r="I37" s="271">
        <v>14</v>
      </c>
      <c r="J37" s="285"/>
      <c r="K37" s="277">
        <v>14</v>
      </c>
    </row>
    <row r="38" spans="1:14">
      <c r="A38" s="75">
        <v>69111</v>
      </c>
      <c r="B38" s="46">
        <v>69121</v>
      </c>
      <c r="C38" s="571"/>
      <c r="D38" s="272" t="s">
        <v>98</v>
      </c>
      <c r="E38" s="271">
        <v>2</v>
      </c>
      <c r="F38" s="271">
        <v>0</v>
      </c>
      <c r="G38" s="271">
        <v>2</v>
      </c>
      <c r="H38" s="271">
        <v>0</v>
      </c>
      <c r="I38" s="271">
        <v>2</v>
      </c>
      <c r="J38" s="285"/>
      <c r="K38" s="277">
        <v>2</v>
      </c>
    </row>
    <row r="39" spans="1:14">
      <c r="A39" s="75">
        <v>64011</v>
      </c>
      <c r="B39" s="46">
        <v>64021</v>
      </c>
      <c r="C39" s="278"/>
      <c r="D39" s="272" t="s">
        <v>87</v>
      </c>
      <c r="E39" s="271">
        <v>7</v>
      </c>
      <c r="F39" s="271">
        <v>1</v>
      </c>
      <c r="G39" s="271">
        <v>8</v>
      </c>
      <c r="H39" s="271">
        <v>0</v>
      </c>
      <c r="I39" s="271">
        <v>8</v>
      </c>
      <c r="J39" s="285"/>
      <c r="K39" s="277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273">
        <v>101</v>
      </c>
      <c r="F40" s="273">
        <v>10</v>
      </c>
      <c r="G40" s="273">
        <v>111</v>
      </c>
      <c r="H40" s="273">
        <v>23</v>
      </c>
      <c r="I40" s="273">
        <v>134</v>
      </c>
      <c r="J40" s="273">
        <v>0</v>
      </c>
      <c r="K40" s="281">
        <v>134</v>
      </c>
    </row>
    <row r="41" spans="1:14">
      <c r="A41" s="75">
        <v>64211</v>
      </c>
      <c r="B41" s="46">
        <v>64221</v>
      </c>
      <c r="C41" s="586" t="s">
        <v>625</v>
      </c>
      <c r="D41" s="272" t="s">
        <v>476</v>
      </c>
      <c r="E41" s="271">
        <v>5</v>
      </c>
      <c r="F41" s="271">
        <v>0</v>
      </c>
      <c r="G41" s="271">
        <v>5</v>
      </c>
      <c r="H41" s="271">
        <v>2</v>
      </c>
      <c r="I41" s="271">
        <v>7</v>
      </c>
      <c r="J41" s="271"/>
      <c r="K41" s="277">
        <v>7</v>
      </c>
    </row>
    <row r="42" spans="1:14">
      <c r="A42" s="75">
        <v>67011</v>
      </c>
      <c r="B42" s="46">
        <v>67021</v>
      </c>
      <c r="C42" s="575"/>
      <c r="D42" s="272" t="s">
        <v>483</v>
      </c>
      <c r="E42" s="271">
        <v>3</v>
      </c>
      <c r="F42" s="271">
        <v>0</v>
      </c>
      <c r="G42" s="271">
        <v>3</v>
      </c>
      <c r="H42" s="271">
        <v>1</v>
      </c>
      <c r="I42" s="271">
        <v>4</v>
      </c>
      <c r="J42" s="271"/>
      <c r="K42" s="277">
        <v>4</v>
      </c>
    </row>
    <row r="43" spans="1:14">
      <c r="A43" s="75">
        <v>68111</v>
      </c>
      <c r="B43" s="46">
        <v>68121</v>
      </c>
      <c r="C43" s="575"/>
      <c r="D43" s="272" t="s">
        <v>508</v>
      </c>
      <c r="E43" s="271">
        <v>2</v>
      </c>
      <c r="F43" s="271">
        <v>0</v>
      </c>
      <c r="G43" s="291">
        <v>2</v>
      </c>
      <c r="H43" s="271">
        <v>2</v>
      </c>
      <c r="I43" s="271">
        <v>4</v>
      </c>
      <c r="J43" s="271"/>
      <c r="K43" s="277">
        <v>4</v>
      </c>
    </row>
    <row r="44" spans="1:14">
      <c r="A44" s="75">
        <v>64311</v>
      </c>
      <c r="B44" s="46">
        <v>64321</v>
      </c>
      <c r="C44" s="576"/>
      <c r="D44" s="272" t="s">
        <v>506</v>
      </c>
      <c r="E44" s="271">
        <v>1</v>
      </c>
      <c r="F44" s="271">
        <v>0</v>
      </c>
      <c r="G44" s="291">
        <v>1</v>
      </c>
      <c r="H44" s="271">
        <v>0</v>
      </c>
      <c r="I44" s="271">
        <v>1</v>
      </c>
      <c r="J44" s="271"/>
      <c r="K44" s="277">
        <v>1</v>
      </c>
    </row>
    <row r="45" spans="1:14">
      <c r="A45" s="75">
        <v>69011</v>
      </c>
      <c r="B45" s="46">
        <v>69021</v>
      </c>
      <c r="C45" s="571" t="s">
        <v>626</v>
      </c>
      <c r="D45" s="272" t="s">
        <v>416</v>
      </c>
      <c r="E45" s="271">
        <v>5</v>
      </c>
      <c r="F45" s="271">
        <v>0</v>
      </c>
      <c r="G45" s="271">
        <v>5</v>
      </c>
      <c r="H45" s="271">
        <v>3</v>
      </c>
      <c r="I45" s="271">
        <v>8</v>
      </c>
      <c r="J45" s="271"/>
      <c r="K45" s="277">
        <v>8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72" t="s">
        <v>422</v>
      </c>
      <c r="E46" s="271">
        <v>3</v>
      </c>
      <c r="F46" s="271">
        <v>1</v>
      </c>
      <c r="G46" s="271">
        <v>4</v>
      </c>
      <c r="H46" s="271">
        <v>1</v>
      </c>
      <c r="I46" s="271">
        <v>5</v>
      </c>
      <c r="J46" s="271"/>
      <c r="K46" s="277">
        <v>5</v>
      </c>
      <c r="L46" s="588"/>
      <c r="M46" s="570"/>
      <c r="N46" s="570"/>
    </row>
    <row r="47" spans="1:14">
      <c r="A47" s="75"/>
      <c r="C47" s="571"/>
      <c r="D47" s="272" t="s">
        <v>657</v>
      </c>
      <c r="E47" s="271"/>
      <c r="F47" s="271"/>
      <c r="G47" s="271"/>
      <c r="H47" s="271"/>
      <c r="I47" s="271"/>
      <c r="J47" s="271"/>
      <c r="K47" s="277"/>
    </row>
    <row r="48" spans="1:14">
      <c r="A48" s="75">
        <v>60411</v>
      </c>
      <c r="B48" s="46">
        <v>60421</v>
      </c>
      <c r="C48" s="571"/>
      <c r="D48" s="272" t="s">
        <v>429</v>
      </c>
      <c r="E48" s="271">
        <v>1</v>
      </c>
      <c r="F48" s="271">
        <v>0</v>
      </c>
      <c r="G48" s="271">
        <v>1</v>
      </c>
      <c r="H48" s="271">
        <v>0</v>
      </c>
      <c r="I48" s="271">
        <v>1</v>
      </c>
      <c r="J48" s="271"/>
      <c r="K48" s="277">
        <v>1</v>
      </c>
    </row>
    <row r="49" spans="1:12">
      <c r="A49" s="75">
        <v>65011</v>
      </c>
      <c r="B49" s="46">
        <v>65021</v>
      </c>
      <c r="C49" s="571"/>
      <c r="D49" s="272" t="s">
        <v>466</v>
      </c>
      <c r="E49" s="271">
        <v>9</v>
      </c>
      <c r="F49" s="271">
        <v>0</v>
      </c>
      <c r="G49" s="271">
        <v>9</v>
      </c>
      <c r="H49" s="271">
        <v>1</v>
      </c>
      <c r="I49" s="271">
        <v>10</v>
      </c>
      <c r="J49" s="271"/>
      <c r="K49" s="277">
        <v>10</v>
      </c>
    </row>
    <row r="50" spans="1:12">
      <c r="A50" s="75">
        <v>66011</v>
      </c>
      <c r="B50" s="46">
        <v>66021</v>
      </c>
      <c r="C50" s="571"/>
      <c r="D50" s="272" t="s">
        <v>485</v>
      </c>
      <c r="E50" s="271">
        <v>4</v>
      </c>
      <c r="F50" s="271">
        <v>1</v>
      </c>
      <c r="G50" s="271">
        <v>5</v>
      </c>
      <c r="H50" s="271">
        <v>0</v>
      </c>
      <c r="I50" s="271">
        <v>5</v>
      </c>
      <c r="J50" s="271"/>
      <c r="K50" s="277">
        <v>5</v>
      </c>
    </row>
    <row r="51" spans="1:12">
      <c r="A51" s="75">
        <v>61300</v>
      </c>
      <c r="B51" s="46">
        <v>61320</v>
      </c>
      <c r="C51" s="571"/>
      <c r="D51" s="272" t="s">
        <v>431</v>
      </c>
      <c r="E51" s="271">
        <v>1</v>
      </c>
      <c r="F51" s="271">
        <v>1</v>
      </c>
      <c r="G51" s="271">
        <v>2</v>
      </c>
      <c r="H51" s="271">
        <v>0</v>
      </c>
      <c r="I51" s="271">
        <v>2</v>
      </c>
      <c r="J51" s="271"/>
      <c r="K51" s="277">
        <v>2</v>
      </c>
    </row>
    <row r="52" spans="1:12">
      <c r="A52" s="76"/>
      <c r="B52" s="56"/>
      <c r="C52" s="571" t="s">
        <v>627</v>
      </c>
      <c r="D52" s="272" t="s">
        <v>489</v>
      </c>
      <c r="E52" s="271">
        <v>20</v>
      </c>
      <c r="F52" s="271">
        <v>1</v>
      </c>
      <c r="G52" s="271">
        <v>21</v>
      </c>
      <c r="H52" s="271">
        <v>2</v>
      </c>
      <c r="I52" s="271">
        <v>23</v>
      </c>
      <c r="J52" s="271"/>
      <c r="K52" s="277">
        <v>23</v>
      </c>
    </row>
    <row r="53" spans="1:12">
      <c r="A53" s="75">
        <v>44011</v>
      </c>
      <c r="B53" s="46">
        <v>44021</v>
      </c>
      <c r="C53" s="571"/>
      <c r="D53" s="272" t="s">
        <v>138</v>
      </c>
      <c r="E53" s="271">
        <v>8</v>
      </c>
      <c r="F53" s="271">
        <v>0</v>
      </c>
      <c r="G53" s="271">
        <v>8</v>
      </c>
      <c r="H53" s="271">
        <v>2</v>
      </c>
      <c r="I53" s="271">
        <v>10</v>
      </c>
      <c r="J53" s="271"/>
      <c r="K53" s="277">
        <v>10</v>
      </c>
    </row>
    <row r="54" spans="1:12">
      <c r="A54" s="75">
        <v>44111</v>
      </c>
      <c r="B54" s="46">
        <v>44121</v>
      </c>
      <c r="C54" s="571"/>
      <c r="D54" s="272" t="s">
        <v>411</v>
      </c>
      <c r="E54" s="271">
        <v>2</v>
      </c>
      <c r="F54" s="271">
        <v>1</v>
      </c>
      <c r="G54" s="271">
        <v>3</v>
      </c>
      <c r="H54" s="271">
        <v>3</v>
      </c>
      <c r="I54" s="271">
        <v>6</v>
      </c>
      <c r="J54" s="271"/>
      <c r="K54" s="277">
        <v>6</v>
      </c>
    </row>
    <row r="55" spans="1:12">
      <c r="A55" s="75">
        <v>44511</v>
      </c>
      <c r="B55" s="46">
        <v>44521</v>
      </c>
      <c r="C55" s="571" t="s">
        <v>628</v>
      </c>
      <c r="D55" s="272" t="s">
        <v>433</v>
      </c>
      <c r="E55" s="271">
        <v>14</v>
      </c>
      <c r="F55" s="271">
        <v>0</v>
      </c>
      <c r="G55" s="271">
        <v>14</v>
      </c>
      <c r="H55" s="271">
        <v>3</v>
      </c>
      <c r="I55" s="271">
        <v>17</v>
      </c>
      <c r="J55" s="271"/>
      <c r="K55" s="277">
        <v>17</v>
      </c>
    </row>
    <row r="56" spans="1:12">
      <c r="A56" s="75">
        <v>45111</v>
      </c>
      <c r="B56" s="46">
        <v>45121</v>
      </c>
      <c r="C56" s="571"/>
      <c r="D56" s="272" t="s">
        <v>449</v>
      </c>
      <c r="E56" s="271">
        <v>15</v>
      </c>
      <c r="F56" s="271">
        <v>4</v>
      </c>
      <c r="G56" s="271">
        <v>19</v>
      </c>
      <c r="H56" s="271">
        <v>2</v>
      </c>
      <c r="I56" s="271">
        <v>21</v>
      </c>
      <c r="J56" s="271"/>
      <c r="K56" s="277">
        <v>21</v>
      </c>
    </row>
    <row r="57" spans="1:12">
      <c r="A57" s="75">
        <v>44200</v>
      </c>
      <c r="B57" s="46">
        <v>44220</v>
      </c>
      <c r="C57" s="278"/>
      <c r="D57" s="272" t="s">
        <v>162</v>
      </c>
      <c r="E57" s="271">
        <v>8</v>
      </c>
      <c r="F57" s="271">
        <v>1</v>
      </c>
      <c r="G57" s="271">
        <v>9</v>
      </c>
      <c r="H57" s="271">
        <v>1</v>
      </c>
      <c r="I57" s="271">
        <v>10</v>
      </c>
      <c r="J57" s="271"/>
      <c r="K57" s="277">
        <v>10</v>
      </c>
    </row>
    <row r="58" spans="1:12">
      <c r="A58" s="76"/>
      <c r="B58" s="56"/>
      <c r="C58" s="584" t="s">
        <v>618</v>
      </c>
      <c r="D58" s="585"/>
      <c r="E58" s="273">
        <v>31</v>
      </c>
      <c r="F58" s="273">
        <v>2</v>
      </c>
      <c r="G58" s="273">
        <v>33</v>
      </c>
      <c r="H58" s="273">
        <v>5</v>
      </c>
      <c r="I58" s="273">
        <v>38</v>
      </c>
      <c r="J58" s="273">
        <v>0</v>
      </c>
      <c r="K58" s="281">
        <v>38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72" t="s">
        <v>381</v>
      </c>
      <c r="E59" s="271">
        <v>4</v>
      </c>
      <c r="F59" s="271">
        <v>0</v>
      </c>
      <c r="G59" s="271">
        <v>4</v>
      </c>
      <c r="H59" s="271">
        <v>1</v>
      </c>
      <c r="I59" s="271">
        <v>5</v>
      </c>
      <c r="J59" s="271"/>
      <c r="K59" s="277">
        <v>5</v>
      </c>
    </row>
    <row r="60" spans="1:12">
      <c r="A60" s="75">
        <v>21000</v>
      </c>
      <c r="B60" s="46">
        <v>21020</v>
      </c>
      <c r="C60" s="575"/>
      <c r="D60" s="272" t="s">
        <v>383</v>
      </c>
      <c r="E60" s="271">
        <v>3</v>
      </c>
      <c r="F60" s="271">
        <v>0</v>
      </c>
      <c r="G60" s="271">
        <v>3</v>
      </c>
      <c r="H60" s="271">
        <v>0</v>
      </c>
      <c r="I60" s="271">
        <v>3</v>
      </c>
      <c r="J60" s="271"/>
      <c r="K60" s="277">
        <v>3</v>
      </c>
    </row>
    <row r="61" spans="1:12">
      <c r="A61" s="75">
        <v>22000</v>
      </c>
      <c r="B61" s="46">
        <v>22020</v>
      </c>
      <c r="C61" s="575"/>
      <c r="D61" s="272" t="s">
        <v>389</v>
      </c>
      <c r="E61" s="271">
        <v>4</v>
      </c>
      <c r="F61" s="271">
        <v>0</v>
      </c>
      <c r="G61" s="271">
        <v>4</v>
      </c>
      <c r="H61" s="271">
        <v>1</v>
      </c>
      <c r="I61" s="271">
        <v>5</v>
      </c>
      <c r="J61" s="271"/>
      <c r="K61" s="277">
        <v>5</v>
      </c>
    </row>
    <row r="62" spans="1:12">
      <c r="A62" s="75">
        <v>60000</v>
      </c>
      <c r="B62" s="46">
        <v>60020</v>
      </c>
      <c r="C62" s="576"/>
      <c r="D62" s="272" t="s">
        <v>396</v>
      </c>
      <c r="E62" s="271">
        <v>14</v>
      </c>
      <c r="F62" s="271">
        <v>0</v>
      </c>
      <c r="G62" s="271">
        <v>14</v>
      </c>
      <c r="H62" s="271">
        <v>1</v>
      </c>
      <c r="I62" s="271">
        <v>15</v>
      </c>
      <c r="J62" s="271"/>
      <c r="K62" s="277">
        <v>15</v>
      </c>
    </row>
    <row r="63" spans="1:12">
      <c r="A63" s="75">
        <v>60100</v>
      </c>
      <c r="B63" s="46">
        <v>60120</v>
      </c>
      <c r="C63" s="276" t="s">
        <v>626</v>
      </c>
      <c r="D63" s="272" t="s">
        <v>114</v>
      </c>
      <c r="E63" s="271">
        <v>6</v>
      </c>
      <c r="F63" s="271">
        <v>2</v>
      </c>
      <c r="G63" s="271">
        <v>8</v>
      </c>
      <c r="H63" s="271">
        <v>2</v>
      </c>
      <c r="I63" s="271">
        <v>10</v>
      </c>
      <c r="J63" s="271"/>
      <c r="K63" s="277"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273">
        <v>14</v>
      </c>
      <c r="F64" s="273">
        <v>9</v>
      </c>
      <c r="G64" s="273">
        <v>23</v>
      </c>
      <c r="H64" s="273">
        <v>1</v>
      </c>
      <c r="I64" s="273">
        <v>24</v>
      </c>
      <c r="J64" s="273">
        <v>0</v>
      </c>
      <c r="K64" s="281">
        <v>24</v>
      </c>
      <c r="L64" s="94"/>
    </row>
    <row r="65" spans="1:12">
      <c r="A65" s="76"/>
      <c r="B65" s="56"/>
      <c r="C65" s="586" t="s">
        <v>643</v>
      </c>
      <c r="D65" s="272" t="s">
        <v>45</v>
      </c>
      <c r="E65" s="271">
        <v>2</v>
      </c>
      <c r="F65" s="271">
        <v>1</v>
      </c>
      <c r="G65" s="271">
        <v>3</v>
      </c>
      <c r="H65" s="271">
        <v>0</v>
      </c>
      <c r="I65" s="271">
        <v>3</v>
      </c>
      <c r="J65" s="271"/>
      <c r="K65" s="277">
        <v>3</v>
      </c>
    </row>
    <row r="66" spans="1:12">
      <c r="A66" s="75">
        <v>30000</v>
      </c>
      <c r="B66" s="46">
        <v>30020</v>
      </c>
      <c r="C66" s="575"/>
      <c r="D66" s="275" t="s">
        <v>638</v>
      </c>
      <c r="E66" s="271">
        <v>2</v>
      </c>
      <c r="F66" s="271">
        <v>1</v>
      </c>
      <c r="G66" s="271">
        <v>3</v>
      </c>
      <c r="H66" s="271">
        <v>0</v>
      </c>
      <c r="I66" s="271">
        <v>3</v>
      </c>
      <c r="J66" s="271"/>
      <c r="K66" s="277">
        <v>3</v>
      </c>
    </row>
    <row r="67" spans="1:12">
      <c r="A67" s="75">
        <v>31000</v>
      </c>
      <c r="B67" s="46">
        <v>31020</v>
      </c>
      <c r="C67" s="576"/>
      <c r="D67" s="272" t="s">
        <v>49</v>
      </c>
      <c r="E67" s="271">
        <v>4</v>
      </c>
      <c r="F67" s="271">
        <v>2</v>
      </c>
      <c r="G67" s="271">
        <v>6</v>
      </c>
      <c r="H67" s="271">
        <v>0</v>
      </c>
      <c r="I67" s="271">
        <v>6</v>
      </c>
      <c r="J67" s="271"/>
      <c r="K67" s="277">
        <v>6</v>
      </c>
    </row>
    <row r="68" spans="1:12">
      <c r="A68" s="75">
        <v>32000</v>
      </c>
      <c r="B68" s="46">
        <v>32020</v>
      </c>
      <c r="C68" s="586" t="s">
        <v>647</v>
      </c>
      <c r="D68" s="272" t="s">
        <v>131</v>
      </c>
      <c r="E68" s="271">
        <v>2</v>
      </c>
      <c r="F68" s="271">
        <v>1</v>
      </c>
      <c r="G68" s="271">
        <v>3</v>
      </c>
      <c r="H68" s="271">
        <v>1</v>
      </c>
      <c r="I68" s="271">
        <v>4</v>
      </c>
      <c r="J68" s="271"/>
      <c r="K68" s="277">
        <v>4</v>
      </c>
    </row>
    <row r="69" spans="1:12">
      <c r="A69" s="75">
        <v>33000</v>
      </c>
      <c r="B69" s="46">
        <v>33020</v>
      </c>
      <c r="C69" s="575"/>
      <c r="D69" s="275" t="s">
        <v>639</v>
      </c>
      <c r="E69" s="271">
        <v>1</v>
      </c>
      <c r="F69" s="271">
        <v>3</v>
      </c>
      <c r="G69" s="271">
        <v>4</v>
      </c>
      <c r="H69" s="271">
        <v>0</v>
      </c>
      <c r="I69" s="271">
        <v>4</v>
      </c>
      <c r="J69" s="271"/>
      <c r="K69" s="277">
        <v>4</v>
      </c>
    </row>
    <row r="70" spans="1:12">
      <c r="A70" s="75">
        <v>61000</v>
      </c>
      <c r="B70" s="46">
        <v>61020</v>
      </c>
      <c r="C70" s="576"/>
      <c r="D70" s="272" t="s">
        <v>134</v>
      </c>
      <c r="E70" s="271">
        <v>3</v>
      </c>
      <c r="F70" s="271">
        <v>1</v>
      </c>
      <c r="G70" s="271">
        <v>4</v>
      </c>
      <c r="H70" s="271">
        <v>0</v>
      </c>
      <c r="I70" s="271">
        <v>4</v>
      </c>
      <c r="J70" s="271"/>
      <c r="K70" s="277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287">
        <v>55</v>
      </c>
    </row>
    <row r="72" spans="1:12">
      <c r="C72" s="584" t="s">
        <v>617</v>
      </c>
      <c r="D72" s="585"/>
      <c r="E72" s="273">
        <v>40</v>
      </c>
      <c r="F72" s="273">
        <v>4</v>
      </c>
      <c r="G72" s="273">
        <v>44</v>
      </c>
      <c r="H72" s="273">
        <v>11</v>
      </c>
      <c r="I72" s="273">
        <v>55</v>
      </c>
      <c r="J72" s="273">
        <v>0</v>
      </c>
      <c r="K72" s="281">
        <v>55</v>
      </c>
      <c r="L72" s="37"/>
    </row>
    <row r="73" spans="1:12">
      <c r="B73" s="56"/>
      <c r="C73" s="586" t="s">
        <v>643</v>
      </c>
      <c r="D73" s="272" t="s">
        <v>53</v>
      </c>
      <c r="E73" s="271">
        <v>14</v>
      </c>
      <c r="F73" s="271">
        <v>1</v>
      </c>
      <c r="G73" s="271">
        <v>15</v>
      </c>
      <c r="H73" s="271">
        <v>4</v>
      </c>
      <c r="I73" s="271">
        <v>19</v>
      </c>
      <c r="J73" s="271"/>
      <c r="K73" s="277">
        <v>19</v>
      </c>
    </row>
    <row r="74" spans="1:12">
      <c r="C74" s="575"/>
      <c r="D74" s="272" t="s">
        <v>72</v>
      </c>
      <c r="E74" s="271">
        <v>7</v>
      </c>
      <c r="F74" s="271">
        <v>1</v>
      </c>
      <c r="G74" s="271">
        <v>8</v>
      </c>
      <c r="H74" s="271">
        <v>1</v>
      </c>
      <c r="I74" s="271">
        <v>9</v>
      </c>
      <c r="J74" s="271"/>
      <c r="K74" s="277">
        <v>9</v>
      </c>
    </row>
    <row r="75" spans="1:12">
      <c r="C75" s="575"/>
      <c r="D75" s="272" t="s">
        <v>81</v>
      </c>
      <c r="E75" s="271">
        <v>2</v>
      </c>
      <c r="F75" s="271">
        <v>0</v>
      </c>
      <c r="G75" s="271">
        <v>2</v>
      </c>
      <c r="H75" s="271">
        <v>0</v>
      </c>
      <c r="I75" s="271">
        <v>2</v>
      </c>
      <c r="J75" s="271"/>
      <c r="K75" s="277">
        <v>2</v>
      </c>
    </row>
    <row r="76" spans="1:12">
      <c r="C76" s="576"/>
      <c r="D76" s="272" t="s">
        <v>84</v>
      </c>
      <c r="E76" s="271">
        <v>2</v>
      </c>
      <c r="F76" s="271">
        <v>0</v>
      </c>
      <c r="G76" s="271">
        <v>2</v>
      </c>
      <c r="H76" s="271">
        <v>0</v>
      </c>
      <c r="I76" s="271">
        <v>2</v>
      </c>
      <c r="J76" s="271"/>
      <c r="K76" s="277">
        <v>2</v>
      </c>
    </row>
    <row r="77" spans="1:12">
      <c r="C77" s="586" t="s">
        <v>647</v>
      </c>
      <c r="D77" s="272" t="s">
        <v>147</v>
      </c>
      <c r="E77" s="271">
        <v>11</v>
      </c>
      <c r="F77" s="271">
        <v>1</v>
      </c>
      <c r="G77" s="271">
        <v>12</v>
      </c>
      <c r="H77" s="271">
        <v>2</v>
      </c>
      <c r="I77" s="271">
        <v>14</v>
      </c>
      <c r="J77" s="271"/>
      <c r="K77" s="277">
        <v>14</v>
      </c>
    </row>
    <row r="78" spans="1:12">
      <c r="C78" s="576"/>
      <c r="D78" s="272" t="s">
        <v>158</v>
      </c>
      <c r="E78" s="271">
        <v>4</v>
      </c>
      <c r="F78" s="271">
        <v>1</v>
      </c>
      <c r="G78" s="271">
        <v>5</v>
      </c>
      <c r="H78" s="271">
        <v>4</v>
      </c>
      <c r="I78" s="271">
        <v>9</v>
      </c>
      <c r="J78" s="271"/>
      <c r="K78" s="277">
        <v>9</v>
      </c>
    </row>
    <row r="79" spans="1:12" ht="18.600000000000001" thickBot="1">
      <c r="C79" s="597" t="s">
        <v>642</v>
      </c>
      <c r="D79" s="598"/>
      <c r="E79" s="282">
        <v>393</v>
      </c>
      <c r="F79" s="282">
        <v>50</v>
      </c>
      <c r="G79" s="282">
        <v>443</v>
      </c>
      <c r="H79" s="282">
        <v>76</v>
      </c>
      <c r="I79" s="282">
        <v>519</v>
      </c>
      <c r="J79" s="282">
        <v>0</v>
      </c>
      <c r="K79" s="283">
        <v>519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5" ht="18" customHeight="1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5" ht="15.75" customHeight="1" thickBot="1">
      <c r="C82" s="587"/>
      <c r="D82" s="553"/>
      <c r="E82" s="268" t="s">
        <v>15</v>
      </c>
      <c r="F82" s="268" t="s">
        <v>870</v>
      </c>
      <c r="G82" s="553"/>
      <c r="H82" s="553"/>
      <c r="I82" s="553"/>
      <c r="J82" s="580"/>
      <c r="K82" s="581"/>
      <c r="L82" s="37"/>
    </row>
    <row r="83" spans="3:15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5">
      <c r="C84" s="264"/>
      <c r="D84" s="264"/>
      <c r="E84" s="264"/>
      <c r="F84" s="264"/>
      <c r="G84" s="264"/>
      <c r="H84" s="264"/>
      <c r="I84" s="264"/>
      <c r="J84" s="264"/>
      <c r="K84" s="264"/>
      <c r="L84" t="s">
        <v>843</v>
      </c>
      <c r="M84" t="s">
        <v>844</v>
      </c>
      <c r="N84" t="s">
        <v>845</v>
      </c>
      <c r="O84" t="s">
        <v>846</v>
      </c>
    </row>
    <row r="85" spans="3:15">
      <c r="D85" s="261"/>
    </row>
    <row r="86" spans="3:15">
      <c r="C86" s="264"/>
      <c r="D86" s="265" t="s">
        <v>865</v>
      </c>
      <c r="E86" s="264"/>
      <c r="F86" s="264"/>
      <c r="G86" s="264"/>
      <c r="H86" s="264"/>
      <c r="I86" s="264"/>
      <c r="J86" s="264"/>
      <c r="K86" s="264"/>
    </row>
    <row r="87" spans="3:15">
      <c r="C87" s="264"/>
      <c r="D87" s="265" t="s">
        <v>866</v>
      </c>
      <c r="E87" s="264"/>
      <c r="F87" s="264"/>
      <c r="G87" s="264"/>
      <c r="H87" s="264"/>
      <c r="I87" s="264"/>
      <c r="J87" s="264"/>
      <c r="K87" s="264"/>
    </row>
  </sheetData>
  <mergeCells count="48">
    <mergeCell ref="L29:O30"/>
    <mergeCell ref="L45:N46"/>
    <mergeCell ref="I81:I82"/>
    <mergeCell ref="J81:J82"/>
    <mergeCell ref="C77:C78"/>
    <mergeCell ref="C79:D79"/>
    <mergeCell ref="K81:K82"/>
    <mergeCell ref="C72:D72"/>
    <mergeCell ref="C73:C76"/>
    <mergeCell ref="C71:J71"/>
    <mergeCell ref="C40:D40"/>
    <mergeCell ref="C41:C44"/>
    <mergeCell ref="C45:C51"/>
    <mergeCell ref="C52:C54"/>
    <mergeCell ref="C55:C56"/>
    <mergeCell ref="C58:D58"/>
    <mergeCell ref="A4:A5"/>
    <mergeCell ref="C3:C5"/>
    <mergeCell ref="D3:K3"/>
    <mergeCell ref="D4:D5"/>
    <mergeCell ref="E4:F4"/>
    <mergeCell ref="G4:G5"/>
    <mergeCell ref="H4:H5"/>
    <mergeCell ref="I4:I5"/>
    <mergeCell ref="J4:J5"/>
    <mergeCell ref="K4:K5"/>
    <mergeCell ref="C83:K83"/>
    <mergeCell ref="C80:C82"/>
    <mergeCell ref="D80:K80"/>
    <mergeCell ref="D81:D82"/>
    <mergeCell ref="E81:F81"/>
    <mergeCell ref="G81:G82"/>
    <mergeCell ref="H81:H82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7"/>
  <sheetViews>
    <sheetView topLeftCell="C69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55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51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51"/>
      <c r="C5" s="576"/>
      <c r="D5" s="577"/>
      <c r="E5" s="252" t="s">
        <v>69</v>
      </c>
      <c r="F5" s="252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51">
        <v>202</v>
      </c>
      <c r="C6" s="253"/>
      <c r="D6" s="252" t="e">
        <v>#N/A</v>
      </c>
      <c r="E6" s="22">
        <v>1</v>
      </c>
      <c r="F6" s="22">
        <v>0</v>
      </c>
      <c r="G6" s="22">
        <v>1</v>
      </c>
      <c r="H6" s="22">
        <v>0</v>
      </c>
      <c r="I6" s="22">
        <v>1</v>
      </c>
      <c r="J6" s="22"/>
      <c r="K6" s="83">
        <v>1</v>
      </c>
    </row>
    <row r="7" spans="1:11" ht="16.5" hidden="1" customHeight="1">
      <c r="A7" s="77">
        <v>210</v>
      </c>
      <c r="B7" s="251">
        <v>211</v>
      </c>
      <c r="C7" s="253"/>
      <c r="D7" s="252" t="e">
        <v>#N/A</v>
      </c>
      <c r="E7" s="22">
        <v>0</v>
      </c>
      <c r="F7" s="22">
        <v>1</v>
      </c>
      <c r="G7" s="22">
        <v>1</v>
      </c>
      <c r="H7" s="22">
        <v>0</v>
      </c>
      <c r="I7" s="22">
        <v>1</v>
      </c>
      <c r="J7" s="22"/>
      <c r="K7" s="83">
        <v>1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10</v>
      </c>
    </row>
    <row r="9" spans="1:11">
      <c r="A9" s="75">
        <v>11000</v>
      </c>
      <c r="B9" s="46">
        <v>11020</v>
      </c>
      <c r="C9" s="84"/>
      <c r="D9" s="252" t="s">
        <v>26</v>
      </c>
      <c r="E9" s="22">
        <v>6</v>
      </c>
      <c r="F9" s="22">
        <v>4</v>
      </c>
      <c r="G9" s="22">
        <v>10</v>
      </c>
      <c r="H9" s="22">
        <v>0</v>
      </c>
      <c r="I9" s="22">
        <v>10</v>
      </c>
      <c r="J9" s="22">
        <v>0</v>
      </c>
      <c r="K9" s="83">
        <v>10</v>
      </c>
    </row>
    <row r="10" spans="1:11">
      <c r="A10" s="75">
        <v>90000</v>
      </c>
      <c r="B10" s="46">
        <v>90020</v>
      </c>
      <c r="C10" s="84"/>
      <c r="D10" s="252" t="s">
        <v>644</v>
      </c>
      <c r="E10" s="101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83"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11</v>
      </c>
    </row>
    <row r="12" spans="1:11">
      <c r="A12" s="76">
        <v>1000</v>
      </c>
      <c r="B12" s="46">
        <v>1020</v>
      </c>
      <c r="C12" s="84"/>
      <c r="D12" s="252" t="s">
        <v>218</v>
      </c>
      <c r="E12" s="22">
        <v>8</v>
      </c>
      <c r="F12" s="22">
        <v>3</v>
      </c>
      <c r="G12" s="22">
        <v>11</v>
      </c>
      <c r="H12" s="22">
        <v>0</v>
      </c>
      <c r="I12" s="22">
        <v>11</v>
      </c>
      <c r="J12" s="22">
        <v>0</v>
      </c>
      <c r="K12" s="83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21</v>
      </c>
    </row>
    <row r="14" spans="1:11">
      <c r="A14" s="76"/>
      <c r="B14" s="56"/>
      <c r="C14" s="85"/>
      <c r="D14" s="252" t="s">
        <v>648</v>
      </c>
      <c r="E14" s="22">
        <v>2</v>
      </c>
      <c r="F14" s="22">
        <v>2</v>
      </c>
      <c r="G14" s="22">
        <v>4</v>
      </c>
      <c r="H14" s="22">
        <v>1</v>
      </c>
      <c r="I14" s="22">
        <v>5</v>
      </c>
      <c r="J14" s="22">
        <v>0</v>
      </c>
      <c r="K14" s="83">
        <v>5</v>
      </c>
    </row>
    <row r="15" spans="1:11">
      <c r="A15" s="75">
        <v>50000</v>
      </c>
      <c r="B15" s="46">
        <v>50020</v>
      </c>
      <c r="C15" s="85"/>
      <c r="D15" s="252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252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22</v>
      </c>
    </row>
    <row r="19" spans="1:15">
      <c r="A19" s="75">
        <v>80000</v>
      </c>
      <c r="B19" s="46">
        <v>80020</v>
      </c>
      <c r="C19" s="586" t="s">
        <v>643</v>
      </c>
      <c r="D19" s="252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>
        <v>0</v>
      </c>
      <c r="K19" s="83">
        <v>6</v>
      </c>
    </row>
    <row r="20" spans="1:15">
      <c r="A20" s="75">
        <v>41111</v>
      </c>
      <c r="B20" s="46">
        <v>41121</v>
      </c>
      <c r="C20" s="576"/>
      <c r="D20" s="252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>
        <v>0</v>
      </c>
      <c r="K20" s="83">
        <v>7</v>
      </c>
    </row>
    <row r="21" spans="1:15">
      <c r="A21" s="75">
        <v>43011</v>
      </c>
      <c r="B21" s="46">
        <v>43021</v>
      </c>
      <c r="C21" s="256" t="s">
        <v>647</v>
      </c>
      <c r="D21" s="252" t="s">
        <v>165</v>
      </c>
      <c r="E21" s="22">
        <v>7</v>
      </c>
      <c r="F21" s="22">
        <v>1</v>
      </c>
      <c r="G21" s="22">
        <v>8</v>
      </c>
      <c r="H21" s="22">
        <v>1</v>
      </c>
      <c r="I21" s="22">
        <v>9</v>
      </c>
      <c r="J21" s="22">
        <v>0</v>
      </c>
      <c r="K21" s="83"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51</v>
      </c>
    </row>
    <row r="23" spans="1:15">
      <c r="A23" s="75">
        <v>42111</v>
      </c>
      <c r="B23" s="46">
        <v>42121</v>
      </c>
      <c r="C23" s="84"/>
      <c r="D23" s="252" t="s">
        <v>172</v>
      </c>
      <c r="E23" s="22">
        <v>40</v>
      </c>
      <c r="F23" s="22">
        <v>3</v>
      </c>
      <c r="G23" s="22">
        <v>43</v>
      </c>
      <c r="H23" s="22">
        <v>8</v>
      </c>
      <c r="I23" s="22">
        <v>51</v>
      </c>
      <c r="J23" s="22">
        <v>0</v>
      </c>
      <c r="K23" s="83"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557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127</v>
      </c>
      <c r="F25" s="78">
        <v>7</v>
      </c>
      <c r="G25" s="78">
        <v>134</v>
      </c>
      <c r="H25" s="78">
        <v>21</v>
      </c>
      <c r="I25" s="78">
        <v>155</v>
      </c>
      <c r="J25" s="78">
        <v>77</v>
      </c>
      <c r="K25" s="87">
        <v>232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52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3</v>
      </c>
      <c r="K26" s="83">
        <v>15</v>
      </c>
    </row>
    <row r="27" spans="1:15">
      <c r="A27" s="75">
        <v>42311</v>
      </c>
      <c r="B27" s="46">
        <v>42321</v>
      </c>
      <c r="C27" s="575"/>
      <c r="D27" s="252" t="s">
        <v>349</v>
      </c>
      <c r="E27" s="22">
        <v>17</v>
      </c>
      <c r="F27" s="22">
        <v>0</v>
      </c>
      <c r="G27" s="22">
        <v>17</v>
      </c>
      <c r="H27" s="22">
        <v>2</v>
      </c>
      <c r="I27" s="22">
        <v>19</v>
      </c>
      <c r="J27" s="101">
        <v>7</v>
      </c>
      <c r="K27" s="83">
        <v>26</v>
      </c>
    </row>
    <row r="28" spans="1:15">
      <c r="A28" s="75">
        <v>43211</v>
      </c>
      <c r="B28" s="46">
        <v>43221</v>
      </c>
      <c r="C28" s="576"/>
      <c r="D28" s="252" t="s">
        <v>258</v>
      </c>
      <c r="E28" s="22">
        <v>21</v>
      </c>
      <c r="F28" s="22">
        <v>0</v>
      </c>
      <c r="G28" s="22">
        <v>21</v>
      </c>
      <c r="H28" s="22">
        <v>2</v>
      </c>
      <c r="I28" s="22">
        <v>23</v>
      </c>
      <c r="J28" s="101">
        <v>9</v>
      </c>
      <c r="K28" s="83">
        <v>32</v>
      </c>
    </row>
    <row r="29" spans="1:15">
      <c r="A29" s="75">
        <v>43311</v>
      </c>
      <c r="B29" s="46">
        <v>43321</v>
      </c>
      <c r="C29" s="571" t="s">
        <v>626</v>
      </c>
      <c r="D29" s="252" t="s">
        <v>305</v>
      </c>
      <c r="E29" s="22">
        <v>17</v>
      </c>
      <c r="F29" s="22">
        <v>1</v>
      </c>
      <c r="G29" s="22">
        <v>18</v>
      </c>
      <c r="H29" s="22">
        <v>2</v>
      </c>
      <c r="I29" s="22">
        <v>20</v>
      </c>
      <c r="J29" s="101">
        <v>16</v>
      </c>
      <c r="K29" s="83">
        <v>36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52" t="s">
        <v>339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101"/>
      <c r="K30" s="83">
        <v>0</v>
      </c>
      <c r="L30" s="588"/>
      <c r="M30" s="589"/>
      <c r="N30" s="589"/>
      <c r="O30" s="589"/>
    </row>
    <row r="31" spans="1:15">
      <c r="A31" s="75"/>
      <c r="C31" s="571"/>
      <c r="D31" s="252"/>
      <c r="E31" s="22"/>
      <c r="F31" s="22"/>
      <c r="G31" s="22"/>
      <c r="H31" s="22"/>
      <c r="I31" s="22"/>
      <c r="J31" s="101"/>
      <c r="K31" s="83"/>
      <c r="L31" s="257"/>
      <c r="M31" s="257"/>
      <c r="N31" s="257"/>
      <c r="O31" s="257"/>
    </row>
    <row r="32" spans="1:15">
      <c r="A32" s="75">
        <v>40400</v>
      </c>
      <c r="B32" s="46">
        <v>40420</v>
      </c>
      <c r="C32" s="571"/>
      <c r="D32" s="252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252" t="s">
        <v>290</v>
      </c>
      <c r="E33" s="22">
        <v>14</v>
      </c>
      <c r="F33" s="22">
        <v>0</v>
      </c>
      <c r="G33" s="22">
        <v>14</v>
      </c>
      <c r="H33" s="22">
        <v>2</v>
      </c>
      <c r="I33" s="22">
        <v>16</v>
      </c>
      <c r="J33" s="101">
        <v>11</v>
      </c>
      <c r="K33" s="83">
        <v>27</v>
      </c>
    </row>
    <row r="34" spans="1:14">
      <c r="A34" s="76"/>
      <c r="B34" s="56"/>
      <c r="C34" s="571"/>
      <c r="D34" s="252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6</v>
      </c>
      <c r="K34" s="83">
        <v>13</v>
      </c>
    </row>
    <row r="35" spans="1:14">
      <c r="A35" s="75">
        <v>67211</v>
      </c>
      <c r="B35" s="46">
        <v>67221</v>
      </c>
      <c r="C35" s="571" t="s">
        <v>627</v>
      </c>
      <c r="D35" s="252" t="s">
        <v>364</v>
      </c>
      <c r="E35" s="22">
        <v>10</v>
      </c>
      <c r="F35" s="22">
        <v>5</v>
      </c>
      <c r="G35" s="22">
        <v>15</v>
      </c>
      <c r="H35" s="22">
        <v>3</v>
      </c>
      <c r="I35" s="22">
        <v>18</v>
      </c>
      <c r="J35" s="101">
        <v>18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1"/>
      <c r="D36" s="252" t="s">
        <v>377</v>
      </c>
      <c r="E36" s="22">
        <v>3</v>
      </c>
      <c r="F36" s="22">
        <v>0</v>
      </c>
      <c r="G36" s="22">
        <v>3</v>
      </c>
      <c r="H36" s="22">
        <v>2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252" t="s">
        <v>103</v>
      </c>
      <c r="E37" s="22">
        <v>9</v>
      </c>
      <c r="F37" s="22">
        <v>0</v>
      </c>
      <c r="G37" s="22">
        <v>9</v>
      </c>
      <c r="H37" s="22">
        <v>5</v>
      </c>
      <c r="I37" s="22">
        <v>14</v>
      </c>
      <c r="J37" s="101">
        <v>3</v>
      </c>
      <c r="K37" s="83">
        <v>17</v>
      </c>
    </row>
    <row r="38" spans="1:14">
      <c r="A38" s="75">
        <v>69111</v>
      </c>
      <c r="B38" s="46">
        <v>69121</v>
      </c>
      <c r="C38" s="571"/>
      <c r="D38" s="252" t="s">
        <v>98</v>
      </c>
      <c r="E38" s="22">
        <v>2</v>
      </c>
      <c r="F38" s="22">
        <v>0</v>
      </c>
      <c r="G38" s="22">
        <v>2</v>
      </c>
      <c r="H38" s="22">
        <v>0</v>
      </c>
      <c r="I38" s="22">
        <v>2</v>
      </c>
      <c r="J38" s="101">
        <v>0</v>
      </c>
      <c r="K38" s="83">
        <v>2</v>
      </c>
    </row>
    <row r="39" spans="1:14">
      <c r="A39" s="75">
        <v>64011</v>
      </c>
      <c r="B39" s="46">
        <v>64021</v>
      </c>
      <c r="C39" s="84"/>
      <c r="D39" s="252" t="s">
        <v>87</v>
      </c>
      <c r="E39" s="22">
        <v>7</v>
      </c>
      <c r="F39" s="22">
        <v>1</v>
      </c>
      <c r="G39" s="22">
        <v>8</v>
      </c>
      <c r="H39" s="22">
        <v>0</v>
      </c>
      <c r="I39" s="22">
        <v>8</v>
      </c>
      <c r="J39" s="101">
        <v>0</v>
      </c>
      <c r="K39" s="83">
        <v>8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100</v>
      </c>
      <c r="F40" s="78">
        <v>10</v>
      </c>
      <c r="G40" s="78">
        <v>110</v>
      </c>
      <c r="H40" s="78">
        <v>23</v>
      </c>
      <c r="I40" s="78">
        <v>133</v>
      </c>
      <c r="J40" s="78">
        <v>114</v>
      </c>
      <c r="K40" s="87">
        <v>247</v>
      </c>
    </row>
    <row r="41" spans="1:14">
      <c r="A41" s="75">
        <v>64211</v>
      </c>
      <c r="B41" s="46">
        <v>64221</v>
      </c>
      <c r="C41" s="586" t="s">
        <v>625</v>
      </c>
      <c r="D41" s="252" t="s">
        <v>476</v>
      </c>
      <c r="E41" s="22">
        <v>5</v>
      </c>
      <c r="F41" s="22">
        <v>0</v>
      </c>
      <c r="G41" s="22">
        <v>5</v>
      </c>
      <c r="H41" s="22">
        <v>2</v>
      </c>
      <c r="I41" s="22">
        <v>7</v>
      </c>
      <c r="J41" s="22">
        <v>5</v>
      </c>
      <c r="K41" s="83">
        <v>12</v>
      </c>
    </row>
    <row r="42" spans="1:14">
      <c r="A42" s="75">
        <v>67011</v>
      </c>
      <c r="B42" s="46">
        <v>67021</v>
      </c>
      <c r="C42" s="575"/>
      <c r="D42" s="252" t="s">
        <v>483</v>
      </c>
      <c r="E42" s="22">
        <v>3</v>
      </c>
      <c r="F42" s="22">
        <v>0</v>
      </c>
      <c r="G42" s="22">
        <v>3</v>
      </c>
      <c r="H42" s="22">
        <v>1</v>
      </c>
      <c r="I42" s="22">
        <v>4</v>
      </c>
      <c r="J42" s="22">
        <v>8</v>
      </c>
      <c r="K42" s="83">
        <v>12</v>
      </c>
    </row>
    <row r="43" spans="1:14">
      <c r="A43" s="75">
        <v>68111</v>
      </c>
      <c r="B43" s="46">
        <v>68121</v>
      </c>
      <c r="C43" s="575"/>
      <c r="D43" s="252" t="s">
        <v>508</v>
      </c>
      <c r="E43" s="22">
        <v>2</v>
      </c>
      <c r="F43" s="22">
        <v>0</v>
      </c>
      <c r="G43" s="108">
        <v>2</v>
      </c>
      <c r="H43" s="22">
        <v>2</v>
      </c>
      <c r="I43" s="22">
        <v>4</v>
      </c>
      <c r="J43" s="22">
        <v>0</v>
      </c>
      <c r="K43" s="83">
        <v>4</v>
      </c>
    </row>
    <row r="44" spans="1:14">
      <c r="A44" s="75">
        <v>64311</v>
      </c>
      <c r="B44" s="46">
        <v>64321</v>
      </c>
      <c r="C44" s="576"/>
      <c r="D44" s="252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0</v>
      </c>
      <c r="K44" s="83">
        <v>1</v>
      </c>
    </row>
    <row r="45" spans="1:14">
      <c r="A45" s="75">
        <v>69011</v>
      </c>
      <c r="B45" s="46">
        <v>69021</v>
      </c>
      <c r="C45" s="571" t="s">
        <v>626</v>
      </c>
      <c r="D45" s="252" t="s">
        <v>416</v>
      </c>
      <c r="E45" s="22">
        <v>5</v>
      </c>
      <c r="F45" s="22">
        <v>0</v>
      </c>
      <c r="G45" s="22">
        <v>5</v>
      </c>
      <c r="H45" s="22">
        <v>3</v>
      </c>
      <c r="I45" s="22">
        <v>8</v>
      </c>
      <c r="J45" s="22">
        <v>3</v>
      </c>
      <c r="K45" s="83">
        <v>11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52" t="s">
        <v>422</v>
      </c>
      <c r="E46" s="22">
        <v>3</v>
      </c>
      <c r="F46" s="22">
        <v>1</v>
      </c>
      <c r="G46" s="22">
        <v>4</v>
      </c>
      <c r="H46" s="22">
        <v>1</v>
      </c>
      <c r="I46" s="22">
        <v>5</v>
      </c>
      <c r="J46" s="22"/>
      <c r="K46" s="83">
        <v>5</v>
      </c>
      <c r="L46" s="588"/>
      <c r="M46" s="570"/>
      <c r="N46" s="570"/>
    </row>
    <row r="47" spans="1:14">
      <c r="A47" s="75"/>
      <c r="C47" s="571"/>
      <c r="D47" s="252" t="s">
        <v>657</v>
      </c>
      <c r="E47" s="22"/>
      <c r="F47" s="22"/>
      <c r="G47" s="22"/>
      <c r="H47" s="22"/>
      <c r="I47" s="22"/>
      <c r="J47" s="22"/>
      <c r="K47" s="83"/>
    </row>
    <row r="48" spans="1:14">
      <c r="A48" s="75">
        <v>60411</v>
      </c>
      <c r="B48" s="46">
        <v>60421</v>
      </c>
      <c r="C48" s="571"/>
      <c r="D48" s="252" t="s">
        <v>429</v>
      </c>
      <c r="E48" s="22">
        <v>1</v>
      </c>
      <c r="F48" s="22">
        <v>0</v>
      </c>
      <c r="G48" s="22">
        <v>1</v>
      </c>
      <c r="H48" s="22">
        <v>0</v>
      </c>
      <c r="I48" s="22">
        <v>1</v>
      </c>
      <c r="J48" s="22">
        <v>0</v>
      </c>
      <c r="K48" s="83">
        <v>1</v>
      </c>
    </row>
    <row r="49" spans="1:12">
      <c r="A49" s="75">
        <v>65011</v>
      </c>
      <c r="B49" s="46">
        <v>65021</v>
      </c>
      <c r="C49" s="571"/>
      <c r="D49" s="252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2</v>
      </c>
      <c r="K49" s="83">
        <v>12</v>
      </c>
    </row>
    <row r="50" spans="1:12">
      <c r="A50" s="75">
        <v>66011</v>
      </c>
      <c r="B50" s="46">
        <v>66021</v>
      </c>
      <c r="C50" s="571"/>
      <c r="D50" s="252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>
        <v>0</v>
      </c>
      <c r="K50" s="83">
        <v>5</v>
      </c>
    </row>
    <row r="51" spans="1:12">
      <c r="A51" s="75">
        <v>61300</v>
      </c>
      <c r="B51" s="46">
        <v>61320</v>
      </c>
      <c r="C51" s="571"/>
      <c r="D51" s="252" t="s">
        <v>431</v>
      </c>
      <c r="E51" s="22">
        <v>1</v>
      </c>
      <c r="F51" s="22">
        <v>1</v>
      </c>
      <c r="G51" s="22">
        <v>2</v>
      </c>
      <c r="H51" s="22">
        <v>0</v>
      </c>
      <c r="I51" s="22">
        <v>2</v>
      </c>
      <c r="J51" s="22">
        <v>3</v>
      </c>
      <c r="K51" s="83">
        <v>5</v>
      </c>
    </row>
    <row r="52" spans="1:12">
      <c r="A52" s="76"/>
      <c r="B52" s="56"/>
      <c r="C52" s="571" t="s">
        <v>627</v>
      </c>
      <c r="D52" s="252" t="s">
        <v>489</v>
      </c>
      <c r="E52" s="22">
        <v>19</v>
      </c>
      <c r="F52" s="22">
        <v>1</v>
      </c>
      <c r="G52" s="22">
        <v>20</v>
      </c>
      <c r="H52" s="22">
        <v>2</v>
      </c>
      <c r="I52" s="22">
        <v>22</v>
      </c>
      <c r="J52" s="22">
        <v>25</v>
      </c>
      <c r="K52" s="83">
        <v>47</v>
      </c>
    </row>
    <row r="53" spans="1:12">
      <c r="A53" s="75">
        <v>44011</v>
      </c>
      <c r="B53" s="46">
        <v>44021</v>
      </c>
      <c r="C53" s="571"/>
      <c r="D53" s="252" t="s">
        <v>138</v>
      </c>
      <c r="E53" s="22">
        <v>8</v>
      </c>
      <c r="F53" s="22">
        <v>0</v>
      </c>
      <c r="G53" s="22">
        <v>8</v>
      </c>
      <c r="H53" s="22">
        <v>2</v>
      </c>
      <c r="I53" s="22">
        <v>10</v>
      </c>
      <c r="J53" s="22">
        <v>6</v>
      </c>
      <c r="K53" s="83">
        <v>16</v>
      </c>
    </row>
    <row r="54" spans="1:12">
      <c r="A54" s="75">
        <v>44111</v>
      </c>
      <c r="B54" s="46">
        <v>44121</v>
      </c>
      <c r="C54" s="571"/>
      <c r="D54" s="252" t="s">
        <v>411</v>
      </c>
      <c r="E54" s="22">
        <v>2</v>
      </c>
      <c r="F54" s="22">
        <v>1</v>
      </c>
      <c r="G54" s="22">
        <v>3</v>
      </c>
      <c r="H54" s="22">
        <v>3</v>
      </c>
      <c r="I54" s="22">
        <v>6</v>
      </c>
      <c r="J54" s="22">
        <v>3</v>
      </c>
      <c r="K54" s="83">
        <v>9</v>
      </c>
    </row>
    <row r="55" spans="1:12">
      <c r="A55" s="75">
        <v>44511</v>
      </c>
      <c r="B55" s="46">
        <v>44521</v>
      </c>
      <c r="C55" s="571" t="s">
        <v>628</v>
      </c>
      <c r="D55" s="252" t="s">
        <v>433</v>
      </c>
      <c r="E55" s="22">
        <v>14</v>
      </c>
      <c r="F55" s="22">
        <v>0</v>
      </c>
      <c r="G55" s="22">
        <v>14</v>
      </c>
      <c r="H55" s="22">
        <v>3</v>
      </c>
      <c r="I55" s="22">
        <v>17</v>
      </c>
      <c r="J55" s="22">
        <v>51</v>
      </c>
      <c r="K55" s="83">
        <v>68</v>
      </c>
    </row>
    <row r="56" spans="1:12">
      <c r="A56" s="75">
        <v>45111</v>
      </c>
      <c r="B56" s="46">
        <v>45121</v>
      </c>
      <c r="C56" s="571"/>
      <c r="D56" s="252" t="s">
        <v>449</v>
      </c>
      <c r="E56" s="22">
        <v>15</v>
      </c>
      <c r="F56" s="22">
        <v>4</v>
      </c>
      <c r="G56" s="22">
        <v>19</v>
      </c>
      <c r="H56" s="22">
        <v>2</v>
      </c>
      <c r="I56" s="22">
        <v>21</v>
      </c>
      <c r="J56" s="22">
        <v>8</v>
      </c>
      <c r="K56" s="83">
        <v>29</v>
      </c>
    </row>
    <row r="57" spans="1:12">
      <c r="A57" s="75">
        <v>44200</v>
      </c>
      <c r="B57" s="46">
        <v>44220</v>
      </c>
      <c r="C57" s="84"/>
      <c r="D57" s="252" t="s">
        <v>162</v>
      </c>
      <c r="E57" s="22">
        <v>8</v>
      </c>
      <c r="F57" s="22">
        <v>1</v>
      </c>
      <c r="G57" s="22">
        <v>9</v>
      </c>
      <c r="H57" s="22">
        <v>1</v>
      </c>
      <c r="I57" s="22">
        <v>10</v>
      </c>
      <c r="J57" s="22"/>
      <c r="K57" s="83">
        <v>10</v>
      </c>
    </row>
    <row r="58" spans="1:12">
      <c r="A58" s="76"/>
      <c r="B58" s="56"/>
      <c r="C58" s="584" t="s">
        <v>618</v>
      </c>
      <c r="D58" s="585"/>
      <c r="E58" s="78">
        <v>31</v>
      </c>
      <c r="F58" s="78">
        <v>2</v>
      </c>
      <c r="G58" s="78">
        <v>33</v>
      </c>
      <c r="H58" s="78">
        <v>5</v>
      </c>
      <c r="I58" s="78">
        <v>38</v>
      </c>
      <c r="J58" s="78">
        <v>14</v>
      </c>
      <c r="K58" s="87">
        <v>52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52" t="s">
        <v>381</v>
      </c>
      <c r="E59" s="22">
        <v>4</v>
      </c>
      <c r="F59" s="22">
        <v>0</v>
      </c>
      <c r="G59" s="22">
        <v>4</v>
      </c>
      <c r="H59" s="22">
        <v>1</v>
      </c>
      <c r="I59" s="22">
        <v>5</v>
      </c>
      <c r="J59" s="22">
        <v>1</v>
      </c>
      <c r="K59" s="83">
        <v>6</v>
      </c>
    </row>
    <row r="60" spans="1:12">
      <c r="A60" s="75">
        <v>21000</v>
      </c>
      <c r="B60" s="46">
        <v>21020</v>
      </c>
      <c r="C60" s="575"/>
      <c r="D60" s="252" t="s">
        <v>383</v>
      </c>
      <c r="E60" s="22">
        <v>3</v>
      </c>
      <c r="F60" s="22">
        <v>0</v>
      </c>
      <c r="G60" s="22">
        <v>3</v>
      </c>
      <c r="H60" s="22">
        <v>0</v>
      </c>
      <c r="I60" s="22">
        <v>3</v>
      </c>
      <c r="J60" s="22">
        <v>0</v>
      </c>
      <c r="K60" s="83">
        <v>3</v>
      </c>
    </row>
    <row r="61" spans="1:12">
      <c r="A61" s="75">
        <v>22000</v>
      </c>
      <c r="B61" s="46">
        <v>22020</v>
      </c>
      <c r="C61" s="575"/>
      <c r="D61" s="252" t="s">
        <v>389</v>
      </c>
      <c r="E61" s="22">
        <v>4</v>
      </c>
      <c r="F61" s="22">
        <v>0</v>
      </c>
      <c r="G61" s="22">
        <v>4</v>
      </c>
      <c r="H61" s="22">
        <v>1</v>
      </c>
      <c r="I61" s="22">
        <v>5</v>
      </c>
      <c r="J61" s="22">
        <v>3</v>
      </c>
      <c r="K61" s="83">
        <v>8</v>
      </c>
    </row>
    <row r="62" spans="1:12">
      <c r="A62" s="75">
        <v>60000</v>
      </c>
      <c r="B62" s="46">
        <v>60020</v>
      </c>
      <c r="C62" s="576"/>
      <c r="D62" s="252" t="s">
        <v>396</v>
      </c>
      <c r="E62" s="22">
        <v>14</v>
      </c>
      <c r="F62" s="22">
        <v>0</v>
      </c>
      <c r="G62" s="22">
        <v>14</v>
      </c>
      <c r="H62" s="22">
        <v>1</v>
      </c>
      <c r="I62" s="22">
        <v>15</v>
      </c>
      <c r="J62" s="22">
        <v>9</v>
      </c>
      <c r="K62" s="83">
        <v>24</v>
      </c>
    </row>
    <row r="63" spans="1:12">
      <c r="A63" s="75">
        <v>60100</v>
      </c>
      <c r="B63" s="46">
        <v>60120</v>
      </c>
      <c r="C63" s="253" t="s">
        <v>626</v>
      </c>
      <c r="D63" s="252" t="s">
        <v>114</v>
      </c>
      <c r="E63" s="22">
        <v>6</v>
      </c>
      <c r="F63" s="22">
        <v>2</v>
      </c>
      <c r="G63" s="22">
        <v>8</v>
      </c>
      <c r="H63" s="22">
        <v>2</v>
      </c>
      <c r="I63" s="22">
        <v>10</v>
      </c>
      <c r="J63" s="22">
        <v>1</v>
      </c>
      <c r="K63" s="83">
        <v>11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14</v>
      </c>
      <c r="F64" s="78">
        <v>9</v>
      </c>
      <c r="G64" s="78">
        <v>23</v>
      </c>
      <c r="H64" s="78">
        <v>1</v>
      </c>
      <c r="I64" s="78">
        <v>24</v>
      </c>
      <c r="J64" s="78">
        <v>2</v>
      </c>
      <c r="K64" s="87">
        <v>26</v>
      </c>
      <c r="L64" s="94"/>
    </row>
    <row r="65" spans="1:12">
      <c r="A65" s="76"/>
      <c r="B65" s="56"/>
      <c r="C65" s="586" t="s">
        <v>643</v>
      </c>
      <c r="D65" s="252" t="s">
        <v>45</v>
      </c>
      <c r="E65" s="22">
        <v>2</v>
      </c>
      <c r="F65" s="22">
        <v>1</v>
      </c>
      <c r="G65" s="22">
        <v>3</v>
      </c>
      <c r="H65" s="22">
        <v>0</v>
      </c>
      <c r="I65" s="22">
        <v>3</v>
      </c>
      <c r="J65" s="22">
        <v>0</v>
      </c>
      <c r="K65" s="83">
        <v>3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2</v>
      </c>
      <c r="F66" s="22">
        <v>1</v>
      </c>
      <c r="G66" s="22">
        <v>3</v>
      </c>
      <c r="H66" s="22">
        <v>0</v>
      </c>
      <c r="I66" s="22">
        <v>3</v>
      </c>
      <c r="J66" s="22">
        <v>1</v>
      </c>
      <c r="K66" s="83">
        <v>4</v>
      </c>
    </row>
    <row r="67" spans="1:12">
      <c r="A67" s="75">
        <v>31000</v>
      </c>
      <c r="B67" s="46">
        <v>31020</v>
      </c>
      <c r="C67" s="576"/>
      <c r="D67" s="252" t="s">
        <v>49</v>
      </c>
      <c r="E67" s="22">
        <v>4</v>
      </c>
      <c r="F67" s="22">
        <v>2</v>
      </c>
      <c r="G67" s="22">
        <v>6</v>
      </c>
      <c r="H67" s="22">
        <v>0</v>
      </c>
      <c r="I67" s="22">
        <v>6</v>
      </c>
      <c r="J67" s="22">
        <v>1</v>
      </c>
      <c r="K67" s="83">
        <v>7</v>
      </c>
    </row>
    <row r="68" spans="1:12">
      <c r="A68" s="75">
        <v>32000</v>
      </c>
      <c r="B68" s="46">
        <v>32020</v>
      </c>
      <c r="C68" s="586" t="s">
        <v>647</v>
      </c>
      <c r="D68" s="252" t="s">
        <v>131</v>
      </c>
      <c r="E68" s="22">
        <v>2</v>
      </c>
      <c r="F68" s="22">
        <v>1</v>
      </c>
      <c r="G68" s="22">
        <v>3</v>
      </c>
      <c r="H68" s="22">
        <v>1</v>
      </c>
      <c r="I68" s="22">
        <v>4</v>
      </c>
      <c r="J68" s="22">
        <v>0</v>
      </c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3</v>
      </c>
      <c r="G69" s="22">
        <v>4</v>
      </c>
      <c r="H69" s="22">
        <v>0</v>
      </c>
      <c r="I69" s="22">
        <v>4</v>
      </c>
      <c r="J69" s="22">
        <v>0</v>
      </c>
      <c r="K69" s="83">
        <v>4</v>
      </c>
    </row>
    <row r="70" spans="1:12">
      <c r="A70" s="75">
        <v>61000</v>
      </c>
      <c r="B70" s="46">
        <v>61020</v>
      </c>
      <c r="C70" s="576"/>
      <c r="D70" s="252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>
        <v>0</v>
      </c>
      <c r="K70" s="83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60</v>
      </c>
    </row>
    <row r="72" spans="1:12">
      <c r="C72" s="584" t="s">
        <v>617</v>
      </c>
      <c r="D72" s="585"/>
      <c r="E72" s="78">
        <v>40</v>
      </c>
      <c r="F72" s="78">
        <v>4</v>
      </c>
      <c r="G72" s="78">
        <v>44</v>
      </c>
      <c r="H72" s="78">
        <v>10</v>
      </c>
      <c r="I72" s="78">
        <v>54</v>
      </c>
      <c r="J72" s="78">
        <v>6</v>
      </c>
      <c r="K72" s="87">
        <v>60</v>
      </c>
      <c r="L72" s="37"/>
    </row>
    <row r="73" spans="1:12">
      <c r="B73" s="56"/>
      <c r="C73" s="586" t="s">
        <v>643</v>
      </c>
      <c r="D73" s="252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252" t="s">
        <v>72</v>
      </c>
      <c r="E74" s="22">
        <v>7</v>
      </c>
      <c r="F74" s="22">
        <v>1</v>
      </c>
      <c r="G74" s="22">
        <v>8</v>
      </c>
      <c r="H74" s="22">
        <v>1</v>
      </c>
      <c r="I74" s="22">
        <v>9</v>
      </c>
      <c r="J74" s="22">
        <v>0</v>
      </c>
      <c r="K74" s="83">
        <v>9</v>
      </c>
    </row>
    <row r="75" spans="1:12">
      <c r="C75" s="575"/>
      <c r="D75" s="252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252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252" t="s">
        <v>147</v>
      </c>
      <c r="E77" s="22">
        <v>11</v>
      </c>
      <c r="F77" s="22">
        <v>1</v>
      </c>
      <c r="G77" s="22">
        <v>12</v>
      </c>
      <c r="H77" s="22">
        <v>2</v>
      </c>
      <c r="I77" s="22">
        <v>14</v>
      </c>
      <c r="J77" s="22">
        <v>0</v>
      </c>
      <c r="K77" s="83">
        <v>14</v>
      </c>
    </row>
    <row r="78" spans="1:12">
      <c r="C78" s="576"/>
      <c r="D78" s="252" t="s">
        <v>158</v>
      </c>
      <c r="E78" s="22">
        <v>4</v>
      </c>
      <c r="F78" s="22">
        <v>1</v>
      </c>
      <c r="G78" s="22">
        <v>5</v>
      </c>
      <c r="H78" s="22">
        <v>4</v>
      </c>
      <c r="I78" s="22">
        <v>9</v>
      </c>
      <c r="J78" s="22">
        <v>2</v>
      </c>
      <c r="K78" s="83">
        <v>11</v>
      </c>
    </row>
    <row r="79" spans="1:12" ht="18.600000000000001" thickBot="1">
      <c r="C79" s="597" t="s">
        <v>642</v>
      </c>
      <c r="D79" s="598"/>
      <c r="E79" s="92">
        <v>392</v>
      </c>
      <c r="F79" s="92">
        <v>50</v>
      </c>
      <c r="G79" s="92">
        <v>442</v>
      </c>
      <c r="H79" s="92">
        <v>73</v>
      </c>
      <c r="I79" s="92">
        <v>515</v>
      </c>
      <c r="J79" s="92">
        <v>217</v>
      </c>
      <c r="K79" s="93">
        <v>732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5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5" ht="15.75" customHeight="1" thickBot="1">
      <c r="C82" s="587"/>
      <c r="D82" s="553"/>
      <c r="E82" s="254" t="s">
        <v>69</v>
      </c>
      <c r="F82" s="254" t="s">
        <v>650</v>
      </c>
      <c r="G82" s="553"/>
      <c r="H82" s="553"/>
      <c r="I82" s="553"/>
      <c r="J82" s="580"/>
      <c r="K82" s="581"/>
      <c r="L82" s="37"/>
    </row>
    <row r="83" spans="3:15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4" spans="3:15">
      <c r="L84" t="s">
        <v>843</v>
      </c>
      <c r="M84" t="s">
        <v>844</v>
      </c>
      <c r="N84" t="s">
        <v>845</v>
      </c>
      <c r="O84" t="s">
        <v>846</v>
      </c>
    </row>
    <row r="86" spans="3:15">
      <c r="D86" s="255" t="s">
        <v>825</v>
      </c>
    </row>
    <row r="87" spans="3:15">
      <c r="D87" s="255" t="s">
        <v>826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7"/>
  <sheetViews>
    <sheetView topLeftCell="A6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48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820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4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45"/>
      <c r="C5" s="576"/>
      <c r="D5" s="577"/>
      <c r="E5" s="246" t="s">
        <v>69</v>
      </c>
      <c r="F5" s="246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45">
        <v>202</v>
      </c>
      <c r="C6" s="244"/>
      <c r="D6" s="246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245">
        <v>211</v>
      </c>
      <c r="C7" s="244"/>
      <c r="D7" s="246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7</v>
      </c>
    </row>
    <row r="9" spans="1:11">
      <c r="A9" s="75">
        <v>11000</v>
      </c>
      <c r="B9" s="46">
        <v>11020</v>
      </c>
      <c r="C9" s="84"/>
      <c r="D9" s="246" t="s">
        <v>26</v>
      </c>
      <c r="E9" s="22">
        <v>2</v>
      </c>
      <c r="F9" s="22">
        <v>4</v>
      </c>
      <c r="G9" s="22">
        <v>6</v>
      </c>
      <c r="H9" s="22">
        <v>0</v>
      </c>
      <c r="I9" s="22">
        <v>6</v>
      </c>
      <c r="J9" s="22">
        <v>0</v>
      </c>
      <c r="K9" s="83">
        <v>6</v>
      </c>
    </row>
    <row r="10" spans="1:11">
      <c r="A10" s="75">
        <v>90000</v>
      </c>
      <c r="B10" s="46">
        <v>90020</v>
      </c>
      <c r="C10" s="84"/>
      <c r="D10" s="246" t="s">
        <v>644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11</v>
      </c>
    </row>
    <row r="12" spans="1:11">
      <c r="A12" s="76">
        <v>1000</v>
      </c>
      <c r="B12" s="46">
        <v>1020</v>
      </c>
      <c r="C12" s="84"/>
      <c r="D12" s="246" t="s">
        <v>218</v>
      </c>
      <c r="E12" s="22">
        <v>8</v>
      </c>
      <c r="F12" s="22">
        <v>3</v>
      </c>
      <c r="G12" s="22">
        <v>11</v>
      </c>
      <c r="H12" s="22">
        <v>0</v>
      </c>
      <c r="I12" s="22">
        <v>11</v>
      </c>
      <c r="J12" s="22">
        <v>0</v>
      </c>
      <c r="K12" s="83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21</v>
      </c>
    </row>
    <row r="14" spans="1:11">
      <c r="A14" s="76"/>
      <c r="B14" s="56"/>
      <c r="C14" s="85"/>
      <c r="D14" s="246" t="s">
        <v>648</v>
      </c>
      <c r="E14" s="22">
        <v>2</v>
      </c>
      <c r="F14" s="22">
        <v>2</v>
      </c>
      <c r="G14" s="22">
        <v>4</v>
      </c>
      <c r="H14" s="22">
        <v>1</v>
      </c>
      <c r="I14" s="22">
        <v>5</v>
      </c>
      <c r="J14" s="22"/>
      <c r="K14" s="83">
        <v>5</v>
      </c>
    </row>
    <row r="15" spans="1:11">
      <c r="A15" s="75">
        <v>50000</v>
      </c>
      <c r="B15" s="46">
        <v>50020</v>
      </c>
      <c r="C15" s="85"/>
      <c r="D15" s="246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246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/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22</v>
      </c>
    </row>
    <row r="19" spans="1:15">
      <c r="A19" s="75">
        <v>80000</v>
      </c>
      <c r="B19" s="46">
        <v>80020</v>
      </c>
      <c r="C19" s="586" t="s">
        <v>643</v>
      </c>
      <c r="D19" s="246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/>
      <c r="K19" s="83">
        <v>6</v>
      </c>
    </row>
    <row r="20" spans="1:15">
      <c r="A20" s="75">
        <v>41111</v>
      </c>
      <c r="B20" s="46">
        <v>41121</v>
      </c>
      <c r="C20" s="576"/>
      <c r="D20" s="246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/>
      <c r="K20" s="83">
        <v>7</v>
      </c>
    </row>
    <row r="21" spans="1:15">
      <c r="A21" s="75">
        <v>43011</v>
      </c>
      <c r="B21" s="46">
        <v>43021</v>
      </c>
      <c r="C21" s="249" t="s">
        <v>647</v>
      </c>
      <c r="D21" s="246" t="s">
        <v>165</v>
      </c>
      <c r="E21" s="22">
        <v>7</v>
      </c>
      <c r="F21" s="22">
        <v>1</v>
      </c>
      <c r="G21" s="22">
        <v>8</v>
      </c>
      <c r="H21" s="22">
        <v>1</v>
      </c>
      <c r="I21" s="22">
        <v>9</v>
      </c>
      <c r="J21" s="22"/>
      <c r="K21" s="83"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51</v>
      </c>
    </row>
    <row r="23" spans="1:15">
      <c r="A23" s="75">
        <v>42111</v>
      </c>
      <c r="B23" s="46">
        <v>42121</v>
      </c>
      <c r="C23" s="84"/>
      <c r="D23" s="246" t="s">
        <v>172</v>
      </c>
      <c r="E23" s="22">
        <v>40</v>
      </c>
      <c r="F23" s="22">
        <v>3</v>
      </c>
      <c r="G23" s="22">
        <v>43</v>
      </c>
      <c r="H23" s="22">
        <v>8</v>
      </c>
      <c r="I23" s="22">
        <v>51</v>
      </c>
      <c r="J23" s="22"/>
      <c r="K23" s="83"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553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129</v>
      </c>
      <c r="F25" s="78">
        <v>7</v>
      </c>
      <c r="G25" s="78">
        <v>136</v>
      </c>
      <c r="H25" s="78">
        <v>20</v>
      </c>
      <c r="I25" s="78">
        <v>156</v>
      </c>
      <c r="J25" s="78">
        <v>78</v>
      </c>
      <c r="K25" s="87">
        <v>234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46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3</v>
      </c>
      <c r="K26" s="83">
        <v>15</v>
      </c>
    </row>
    <row r="27" spans="1:15">
      <c r="A27" s="75">
        <v>42311</v>
      </c>
      <c r="B27" s="46">
        <v>42321</v>
      </c>
      <c r="C27" s="575"/>
      <c r="D27" s="246" t="s">
        <v>349</v>
      </c>
      <c r="E27" s="22">
        <v>17</v>
      </c>
      <c r="F27" s="22">
        <v>0</v>
      </c>
      <c r="G27" s="22">
        <v>17</v>
      </c>
      <c r="H27" s="22">
        <v>1</v>
      </c>
      <c r="I27" s="22">
        <v>18</v>
      </c>
      <c r="J27" s="101">
        <v>7</v>
      </c>
      <c r="K27" s="83">
        <v>25</v>
      </c>
    </row>
    <row r="28" spans="1:15">
      <c r="A28" s="75">
        <v>43211</v>
      </c>
      <c r="B28" s="46">
        <v>43221</v>
      </c>
      <c r="C28" s="576"/>
      <c r="D28" s="246" t="s">
        <v>258</v>
      </c>
      <c r="E28" s="22">
        <v>21</v>
      </c>
      <c r="F28" s="22">
        <v>0</v>
      </c>
      <c r="G28" s="22">
        <v>21</v>
      </c>
      <c r="H28" s="22">
        <v>2</v>
      </c>
      <c r="I28" s="22">
        <v>23</v>
      </c>
      <c r="J28" s="101">
        <v>9</v>
      </c>
      <c r="K28" s="83">
        <v>32</v>
      </c>
    </row>
    <row r="29" spans="1:15">
      <c r="A29" s="75">
        <v>43311</v>
      </c>
      <c r="B29" s="46">
        <v>43321</v>
      </c>
      <c r="C29" s="571" t="s">
        <v>626</v>
      </c>
      <c r="D29" s="246" t="s">
        <v>305</v>
      </c>
      <c r="E29" s="22"/>
      <c r="F29" s="22"/>
      <c r="G29" s="22"/>
      <c r="H29" s="22"/>
      <c r="I29" s="22"/>
      <c r="J29" s="101"/>
      <c r="K29" s="83">
        <v>0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46" t="s">
        <v>339</v>
      </c>
      <c r="E30" s="22"/>
      <c r="F30" s="22"/>
      <c r="G30" s="22"/>
      <c r="H30" s="22"/>
      <c r="I30" s="22"/>
      <c r="J30" s="101"/>
      <c r="K30" s="83">
        <v>0</v>
      </c>
      <c r="L30" s="588"/>
      <c r="M30" s="589"/>
      <c r="N30" s="589"/>
      <c r="O30" s="589"/>
    </row>
    <row r="31" spans="1:15">
      <c r="A31" s="75"/>
      <c r="C31" s="571"/>
      <c r="D31" s="246"/>
      <c r="E31" s="22">
        <v>17</v>
      </c>
      <c r="F31" s="22">
        <v>1</v>
      </c>
      <c r="G31" s="22">
        <v>18</v>
      </c>
      <c r="H31" s="22">
        <v>2</v>
      </c>
      <c r="I31" s="22">
        <v>20</v>
      </c>
      <c r="J31" s="101">
        <v>16</v>
      </c>
      <c r="K31" s="83">
        <v>36</v>
      </c>
      <c r="L31" s="250"/>
      <c r="M31" s="250"/>
      <c r="N31" s="250"/>
      <c r="O31" s="250"/>
    </row>
    <row r="32" spans="1:15">
      <c r="A32" s="75">
        <v>40400</v>
      </c>
      <c r="B32" s="46">
        <v>40420</v>
      </c>
      <c r="C32" s="571"/>
      <c r="D32" s="246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246" t="s">
        <v>290</v>
      </c>
      <c r="E33" s="22">
        <v>15</v>
      </c>
      <c r="F33" s="22">
        <v>0</v>
      </c>
      <c r="G33" s="22">
        <v>15</v>
      </c>
      <c r="H33" s="22">
        <v>2</v>
      </c>
      <c r="I33" s="22">
        <v>17</v>
      </c>
      <c r="J33" s="101">
        <v>12</v>
      </c>
      <c r="K33" s="83">
        <v>29</v>
      </c>
    </row>
    <row r="34" spans="1:14">
      <c r="A34" s="76"/>
      <c r="B34" s="56"/>
      <c r="C34" s="571"/>
      <c r="D34" s="246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6</v>
      </c>
      <c r="K34" s="83">
        <v>13</v>
      </c>
    </row>
    <row r="35" spans="1:14">
      <c r="A35" s="75">
        <v>67211</v>
      </c>
      <c r="B35" s="46">
        <v>67221</v>
      </c>
      <c r="C35" s="571" t="s">
        <v>627</v>
      </c>
      <c r="D35" s="246" t="s">
        <v>364</v>
      </c>
      <c r="E35" s="22">
        <v>10</v>
      </c>
      <c r="F35" s="22">
        <v>5</v>
      </c>
      <c r="G35" s="22">
        <v>15</v>
      </c>
      <c r="H35" s="22">
        <v>3</v>
      </c>
      <c r="I35" s="22">
        <v>18</v>
      </c>
      <c r="J35" s="101">
        <v>18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1"/>
      <c r="D36" s="246" t="s">
        <v>377</v>
      </c>
      <c r="E36" s="22">
        <v>3</v>
      </c>
      <c r="F36" s="22">
        <v>0</v>
      </c>
      <c r="G36" s="22">
        <v>3</v>
      </c>
      <c r="H36" s="22">
        <v>2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246" t="s">
        <v>103</v>
      </c>
      <c r="E37" s="22">
        <v>9</v>
      </c>
      <c r="F37" s="22">
        <v>0</v>
      </c>
      <c r="G37" s="22">
        <v>9</v>
      </c>
      <c r="H37" s="22">
        <v>5</v>
      </c>
      <c r="I37" s="22">
        <v>14</v>
      </c>
      <c r="J37" s="101">
        <v>3</v>
      </c>
      <c r="K37" s="83">
        <v>17</v>
      </c>
    </row>
    <row r="38" spans="1:14">
      <c r="A38" s="75">
        <v>69111</v>
      </c>
      <c r="B38" s="46">
        <v>69121</v>
      </c>
      <c r="C38" s="571"/>
      <c r="D38" s="246" t="s">
        <v>98</v>
      </c>
      <c r="E38" s="22">
        <v>2</v>
      </c>
      <c r="F38" s="22">
        <v>0</v>
      </c>
      <c r="G38" s="22">
        <v>2</v>
      </c>
      <c r="H38" s="22">
        <v>0</v>
      </c>
      <c r="I38" s="22">
        <v>2</v>
      </c>
      <c r="J38" s="101">
        <v>0</v>
      </c>
      <c r="K38" s="83">
        <v>2</v>
      </c>
    </row>
    <row r="39" spans="1:14">
      <c r="A39" s="75">
        <v>64011</v>
      </c>
      <c r="B39" s="46">
        <v>64021</v>
      </c>
      <c r="C39" s="84"/>
      <c r="D39" s="246" t="s">
        <v>87</v>
      </c>
      <c r="E39" s="22">
        <v>8</v>
      </c>
      <c r="F39" s="22">
        <v>1</v>
      </c>
      <c r="G39" s="22">
        <v>9</v>
      </c>
      <c r="H39" s="22">
        <v>0</v>
      </c>
      <c r="I39" s="22">
        <v>9</v>
      </c>
      <c r="J39" s="101">
        <v>0</v>
      </c>
      <c r="K39" s="83">
        <v>9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101</v>
      </c>
      <c r="F40" s="78">
        <v>10</v>
      </c>
      <c r="G40" s="78">
        <v>111</v>
      </c>
      <c r="H40" s="78">
        <v>22</v>
      </c>
      <c r="I40" s="78">
        <v>133</v>
      </c>
      <c r="J40" s="78">
        <v>109</v>
      </c>
      <c r="K40" s="87">
        <v>242</v>
      </c>
    </row>
    <row r="41" spans="1:14">
      <c r="A41" s="75">
        <v>64211</v>
      </c>
      <c r="B41" s="46">
        <v>64221</v>
      </c>
      <c r="C41" s="586" t="s">
        <v>625</v>
      </c>
      <c r="D41" s="246" t="s">
        <v>476</v>
      </c>
      <c r="E41" s="22">
        <v>5</v>
      </c>
      <c r="F41" s="22">
        <v>0</v>
      </c>
      <c r="G41" s="22">
        <v>5</v>
      </c>
      <c r="H41" s="22">
        <v>2</v>
      </c>
      <c r="I41" s="22">
        <v>7</v>
      </c>
      <c r="J41" s="22">
        <v>5</v>
      </c>
      <c r="K41" s="83">
        <v>12</v>
      </c>
    </row>
    <row r="42" spans="1:14">
      <c r="A42" s="75">
        <v>67011</v>
      </c>
      <c r="B42" s="46">
        <v>67021</v>
      </c>
      <c r="C42" s="575"/>
      <c r="D42" s="246" t="s">
        <v>483</v>
      </c>
      <c r="E42" s="22">
        <v>3</v>
      </c>
      <c r="F42" s="22">
        <v>0</v>
      </c>
      <c r="G42" s="22">
        <v>3</v>
      </c>
      <c r="H42" s="22">
        <v>1</v>
      </c>
      <c r="I42" s="22">
        <v>4</v>
      </c>
      <c r="J42" s="22">
        <v>7</v>
      </c>
      <c r="K42" s="83">
        <v>11</v>
      </c>
    </row>
    <row r="43" spans="1:14">
      <c r="A43" s="75">
        <v>68111</v>
      </c>
      <c r="B43" s="46">
        <v>68121</v>
      </c>
      <c r="C43" s="575"/>
      <c r="D43" s="246" t="s">
        <v>508</v>
      </c>
      <c r="E43" s="22">
        <v>3</v>
      </c>
      <c r="F43" s="22">
        <v>0</v>
      </c>
      <c r="G43" s="108">
        <v>3</v>
      </c>
      <c r="H43" s="22">
        <v>1</v>
      </c>
      <c r="I43" s="22">
        <v>4</v>
      </c>
      <c r="J43" s="22"/>
      <c r="K43" s="83">
        <v>4</v>
      </c>
    </row>
    <row r="44" spans="1:14">
      <c r="A44" s="75">
        <v>64311</v>
      </c>
      <c r="B44" s="46">
        <v>64321</v>
      </c>
      <c r="C44" s="576"/>
      <c r="D44" s="246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1</v>
      </c>
      <c r="K44" s="83">
        <v>2</v>
      </c>
    </row>
    <row r="45" spans="1:14">
      <c r="A45" s="75">
        <v>69011</v>
      </c>
      <c r="B45" s="46">
        <v>69021</v>
      </c>
      <c r="C45" s="571" t="s">
        <v>626</v>
      </c>
      <c r="D45" s="246" t="s">
        <v>416</v>
      </c>
      <c r="E45" s="22"/>
      <c r="F45" s="22"/>
      <c r="G45" s="22"/>
      <c r="H45" s="22"/>
      <c r="I45" s="22"/>
      <c r="J45" s="22"/>
      <c r="K45" s="83">
        <v>0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46" t="s">
        <v>422</v>
      </c>
      <c r="E46" s="22"/>
      <c r="F46" s="22"/>
      <c r="G46" s="22"/>
      <c r="H46" s="22"/>
      <c r="I46" s="22"/>
      <c r="J46" s="22"/>
      <c r="K46" s="83">
        <v>0</v>
      </c>
      <c r="L46" s="588"/>
      <c r="M46" s="570"/>
      <c r="N46" s="570"/>
    </row>
    <row r="47" spans="1:14">
      <c r="A47" s="75"/>
      <c r="C47" s="571"/>
      <c r="D47" s="246" t="s">
        <v>657</v>
      </c>
      <c r="E47" s="22">
        <v>8</v>
      </c>
      <c r="F47" s="22">
        <v>1</v>
      </c>
      <c r="G47" s="22">
        <v>9</v>
      </c>
      <c r="H47" s="22">
        <v>4</v>
      </c>
      <c r="I47" s="22">
        <v>13</v>
      </c>
      <c r="J47" s="22">
        <v>4</v>
      </c>
      <c r="K47" s="83">
        <v>17</v>
      </c>
    </row>
    <row r="48" spans="1:14">
      <c r="A48" s="75">
        <v>60411</v>
      </c>
      <c r="B48" s="46">
        <v>60421</v>
      </c>
      <c r="C48" s="571"/>
      <c r="D48" s="246" t="s">
        <v>429</v>
      </c>
      <c r="E48" s="22">
        <v>1</v>
      </c>
      <c r="F48" s="22">
        <v>0</v>
      </c>
      <c r="G48" s="22">
        <v>1</v>
      </c>
      <c r="H48" s="22">
        <v>0</v>
      </c>
      <c r="I48" s="22">
        <v>1</v>
      </c>
      <c r="J48" s="22"/>
      <c r="K48" s="83">
        <v>1</v>
      </c>
    </row>
    <row r="49" spans="1:12">
      <c r="A49" s="75">
        <v>65011</v>
      </c>
      <c r="B49" s="46">
        <v>65021</v>
      </c>
      <c r="C49" s="571"/>
      <c r="D49" s="246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2</v>
      </c>
      <c r="K49" s="83">
        <v>12</v>
      </c>
    </row>
    <row r="50" spans="1:12">
      <c r="A50" s="75">
        <v>66011</v>
      </c>
      <c r="B50" s="46">
        <v>66021</v>
      </c>
      <c r="C50" s="571"/>
      <c r="D50" s="246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1"/>
      <c r="D51" s="246" t="s">
        <v>431</v>
      </c>
      <c r="E51" s="22">
        <v>1</v>
      </c>
      <c r="F51" s="22">
        <v>1</v>
      </c>
      <c r="G51" s="22">
        <v>2</v>
      </c>
      <c r="H51" s="22">
        <v>0</v>
      </c>
      <c r="I51" s="22">
        <v>2</v>
      </c>
      <c r="J51" s="22">
        <v>3</v>
      </c>
      <c r="K51" s="83">
        <v>5</v>
      </c>
    </row>
    <row r="52" spans="1:12">
      <c r="A52" s="76"/>
      <c r="B52" s="56"/>
      <c r="C52" s="571" t="s">
        <v>627</v>
      </c>
      <c r="D52" s="246" t="s">
        <v>489</v>
      </c>
      <c r="E52" s="22">
        <v>19</v>
      </c>
      <c r="F52" s="22">
        <v>1</v>
      </c>
      <c r="G52" s="22">
        <v>20</v>
      </c>
      <c r="H52" s="22">
        <v>2</v>
      </c>
      <c r="I52" s="22">
        <v>22</v>
      </c>
      <c r="J52" s="22">
        <v>19</v>
      </c>
      <c r="K52" s="83">
        <v>41</v>
      </c>
    </row>
    <row r="53" spans="1:12">
      <c r="A53" s="75">
        <v>44011</v>
      </c>
      <c r="B53" s="46">
        <v>44021</v>
      </c>
      <c r="C53" s="571"/>
      <c r="D53" s="246" t="s">
        <v>138</v>
      </c>
      <c r="E53" s="22">
        <v>8</v>
      </c>
      <c r="F53" s="22">
        <v>0</v>
      </c>
      <c r="G53" s="22">
        <v>8</v>
      </c>
      <c r="H53" s="22">
        <v>2</v>
      </c>
      <c r="I53" s="22">
        <v>10</v>
      </c>
      <c r="J53" s="22">
        <v>6</v>
      </c>
      <c r="K53" s="83">
        <v>16</v>
      </c>
    </row>
    <row r="54" spans="1:12">
      <c r="A54" s="75">
        <v>44111</v>
      </c>
      <c r="B54" s="46">
        <v>44121</v>
      </c>
      <c r="C54" s="571"/>
      <c r="D54" s="246" t="s">
        <v>411</v>
      </c>
      <c r="E54" s="22">
        <v>2</v>
      </c>
      <c r="F54" s="22">
        <v>1</v>
      </c>
      <c r="G54" s="22">
        <v>3</v>
      </c>
      <c r="H54" s="22">
        <v>3</v>
      </c>
      <c r="I54" s="22">
        <v>6</v>
      </c>
      <c r="J54" s="22">
        <v>3</v>
      </c>
      <c r="K54" s="83">
        <v>9</v>
      </c>
    </row>
    <row r="55" spans="1:12">
      <c r="A55" s="75">
        <v>44511</v>
      </c>
      <c r="B55" s="46">
        <v>44521</v>
      </c>
      <c r="C55" s="571" t="s">
        <v>628</v>
      </c>
      <c r="D55" s="246" t="s">
        <v>433</v>
      </c>
      <c r="E55" s="22">
        <v>14</v>
      </c>
      <c r="F55" s="22">
        <v>0</v>
      </c>
      <c r="G55" s="22">
        <v>14</v>
      </c>
      <c r="H55" s="22">
        <v>3</v>
      </c>
      <c r="I55" s="22">
        <v>17</v>
      </c>
      <c r="J55" s="22">
        <v>53</v>
      </c>
      <c r="K55" s="83">
        <v>70</v>
      </c>
    </row>
    <row r="56" spans="1:12">
      <c r="A56" s="75">
        <v>45111</v>
      </c>
      <c r="B56" s="46">
        <v>45121</v>
      </c>
      <c r="C56" s="571"/>
      <c r="D56" s="246" t="s">
        <v>449</v>
      </c>
      <c r="E56" s="22">
        <v>15</v>
      </c>
      <c r="F56" s="22">
        <v>4</v>
      </c>
      <c r="G56" s="22">
        <v>19</v>
      </c>
      <c r="H56" s="22">
        <v>2</v>
      </c>
      <c r="I56" s="22">
        <v>21</v>
      </c>
      <c r="J56" s="22">
        <v>6</v>
      </c>
      <c r="K56" s="83">
        <v>27</v>
      </c>
    </row>
    <row r="57" spans="1:12">
      <c r="A57" s="75">
        <v>44200</v>
      </c>
      <c r="B57" s="46">
        <v>44220</v>
      </c>
      <c r="C57" s="84"/>
      <c r="D57" s="246" t="s">
        <v>162</v>
      </c>
      <c r="E57" s="22">
        <v>8</v>
      </c>
      <c r="F57" s="22">
        <v>1</v>
      </c>
      <c r="G57" s="22">
        <v>9</v>
      </c>
      <c r="H57" s="22">
        <v>1</v>
      </c>
      <c r="I57" s="22">
        <v>10</v>
      </c>
      <c r="J57" s="22"/>
      <c r="K57" s="83">
        <v>10</v>
      </c>
    </row>
    <row r="58" spans="1:12">
      <c r="A58" s="76"/>
      <c r="B58" s="56"/>
      <c r="C58" s="584" t="s">
        <v>618</v>
      </c>
      <c r="D58" s="585"/>
      <c r="E58" s="78">
        <v>31</v>
      </c>
      <c r="F58" s="78">
        <v>2</v>
      </c>
      <c r="G58" s="78">
        <v>33</v>
      </c>
      <c r="H58" s="78">
        <v>5</v>
      </c>
      <c r="I58" s="78">
        <v>38</v>
      </c>
      <c r="J58" s="78">
        <v>14</v>
      </c>
      <c r="K58" s="87">
        <v>52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46" t="s">
        <v>381</v>
      </c>
      <c r="E59" s="22">
        <v>4</v>
      </c>
      <c r="F59" s="22">
        <v>0</v>
      </c>
      <c r="G59" s="22">
        <v>4</v>
      </c>
      <c r="H59" s="22">
        <v>1</v>
      </c>
      <c r="I59" s="22">
        <v>5</v>
      </c>
      <c r="J59" s="22">
        <v>1</v>
      </c>
      <c r="K59" s="83">
        <v>6</v>
      </c>
    </row>
    <row r="60" spans="1:12">
      <c r="A60" s="75">
        <v>21000</v>
      </c>
      <c r="B60" s="46">
        <v>21020</v>
      </c>
      <c r="C60" s="575"/>
      <c r="D60" s="246" t="s">
        <v>383</v>
      </c>
      <c r="E60" s="22">
        <v>3</v>
      </c>
      <c r="F60" s="22">
        <v>0</v>
      </c>
      <c r="G60" s="22">
        <v>3</v>
      </c>
      <c r="H60" s="22">
        <v>0</v>
      </c>
      <c r="I60" s="22">
        <v>3</v>
      </c>
      <c r="J60" s="22">
        <v>0</v>
      </c>
      <c r="K60" s="83">
        <v>3</v>
      </c>
    </row>
    <row r="61" spans="1:12">
      <c r="A61" s="75">
        <v>22000</v>
      </c>
      <c r="B61" s="46">
        <v>22020</v>
      </c>
      <c r="C61" s="575"/>
      <c r="D61" s="246" t="s">
        <v>389</v>
      </c>
      <c r="E61" s="22">
        <v>4</v>
      </c>
      <c r="F61" s="22">
        <v>0</v>
      </c>
      <c r="G61" s="22">
        <v>4</v>
      </c>
      <c r="H61" s="22">
        <v>1</v>
      </c>
      <c r="I61" s="22">
        <v>5</v>
      </c>
      <c r="J61" s="22">
        <v>3</v>
      </c>
      <c r="K61" s="83">
        <v>8</v>
      </c>
    </row>
    <row r="62" spans="1:12">
      <c r="A62" s="75">
        <v>60000</v>
      </c>
      <c r="B62" s="46">
        <v>60020</v>
      </c>
      <c r="C62" s="576"/>
      <c r="D62" s="246" t="s">
        <v>396</v>
      </c>
      <c r="E62" s="22">
        <v>14</v>
      </c>
      <c r="F62" s="22">
        <v>0</v>
      </c>
      <c r="G62" s="22">
        <v>14</v>
      </c>
      <c r="H62" s="22">
        <v>1</v>
      </c>
      <c r="I62" s="22">
        <v>15</v>
      </c>
      <c r="J62" s="22">
        <v>9</v>
      </c>
      <c r="K62" s="83">
        <v>24</v>
      </c>
    </row>
    <row r="63" spans="1:12">
      <c r="A63" s="75">
        <v>60100</v>
      </c>
      <c r="B63" s="46">
        <v>60120</v>
      </c>
      <c r="C63" s="244" t="s">
        <v>626</v>
      </c>
      <c r="D63" s="246" t="s">
        <v>114</v>
      </c>
      <c r="E63" s="22">
        <v>6</v>
      </c>
      <c r="F63" s="22">
        <v>2</v>
      </c>
      <c r="G63" s="22">
        <v>8</v>
      </c>
      <c r="H63" s="22">
        <v>2</v>
      </c>
      <c r="I63" s="22">
        <v>10</v>
      </c>
      <c r="J63" s="22">
        <v>1</v>
      </c>
      <c r="K63" s="83">
        <v>11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13</v>
      </c>
      <c r="F64" s="78">
        <v>9</v>
      </c>
      <c r="G64" s="78">
        <v>22</v>
      </c>
      <c r="H64" s="78">
        <v>1</v>
      </c>
      <c r="I64" s="78">
        <v>23</v>
      </c>
      <c r="J64" s="78">
        <v>2</v>
      </c>
      <c r="K64" s="87">
        <v>25</v>
      </c>
      <c r="L64" s="94"/>
    </row>
    <row r="65" spans="1:12">
      <c r="A65" s="76"/>
      <c r="B65" s="56"/>
      <c r="C65" s="586" t="s">
        <v>643</v>
      </c>
      <c r="D65" s="246" t="s">
        <v>45</v>
      </c>
      <c r="E65" s="22">
        <v>2</v>
      </c>
      <c r="F65" s="22">
        <v>1</v>
      </c>
      <c r="G65" s="22">
        <v>3</v>
      </c>
      <c r="H65" s="22">
        <v>0</v>
      </c>
      <c r="I65" s="22">
        <v>3</v>
      </c>
      <c r="J65" s="22">
        <v>0</v>
      </c>
      <c r="K65" s="83">
        <v>3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2</v>
      </c>
      <c r="F66" s="22">
        <v>1</v>
      </c>
      <c r="G66" s="22">
        <v>3</v>
      </c>
      <c r="H66" s="22">
        <v>0</v>
      </c>
      <c r="I66" s="22">
        <v>3</v>
      </c>
      <c r="J66" s="22">
        <v>1</v>
      </c>
      <c r="K66" s="83">
        <v>4</v>
      </c>
    </row>
    <row r="67" spans="1:12">
      <c r="A67" s="75">
        <v>31000</v>
      </c>
      <c r="B67" s="46">
        <v>31020</v>
      </c>
      <c r="C67" s="576"/>
      <c r="D67" s="246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246" t="s">
        <v>131</v>
      </c>
      <c r="E68" s="22">
        <v>2</v>
      </c>
      <c r="F68" s="22">
        <v>2</v>
      </c>
      <c r="G68" s="22">
        <v>4</v>
      </c>
      <c r="H68" s="22">
        <v>1</v>
      </c>
      <c r="I68" s="22">
        <v>5</v>
      </c>
      <c r="J68" s="22">
        <v>0</v>
      </c>
      <c r="K68" s="83">
        <v>5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>
        <v>0</v>
      </c>
      <c r="K69" s="83">
        <v>3</v>
      </c>
    </row>
    <row r="70" spans="1:12">
      <c r="A70" s="75">
        <v>61000</v>
      </c>
      <c r="B70" s="46">
        <v>61020</v>
      </c>
      <c r="C70" s="576"/>
      <c r="D70" s="246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>
        <v>0</v>
      </c>
      <c r="K70" s="83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60</v>
      </c>
    </row>
    <row r="72" spans="1:12">
      <c r="C72" s="584" t="s">
        <v>617</v>
      </c>
      <c r="D72" s="585"/>
      <c r="E72" s="78">
        <v>40</v>
      </c>
      <c r="F72" s="78">
        <v>4</v>
      </c>
      <c r="G72" s="78">
        <v>44</v>
      </c>
      <c r="H72" s="78">
        <v>10</v>
      </c>
      <c r="I72" s="78">
        <v>54</v>
      </c>
      <c r="J72" s="78">
        <v>6</v>
      </c>
      <c r="K72" s="87">
        <v>60</v>
      </c>
      <c r="L72" s="37"/>
    </row>
    <row r="73" spans="1:12">
      <c r="B73" s="56"/>
      <c r="C73" s="586" t="s">
        <v>643</v>
      </c>
      <c r="D73" s="246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246" t="s">
        <v>72</v>
      </c>
      <c r="E74" s="22">
        <v>7</v>
      </c>
      <c r="F74" s="22">
        <v>1</v>
      </c>
      <c r="G74" s="22">
        <v>8</v>
      </c>
      <c r="H74" s="22">
        <v>1</v>
      </c>
      <c r="I74" s="22">
        <v>9</v>
      </c>
      <c r="J74" s="22">
        <v>0</v>
      </c>
      <c r="K74" s="83">
        <v>9</v>
      </c>
    </row>
    <row r="75" spans="1:12">
      <c r="C75" s="575"/>
      <c r="D75" s="246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246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246" t="s">
        <v>147</v>
      </c>
      <c r="E77" s="22">
        <v>11</v>
      </c>
      <c r="F77" s="22">
        <v>1</v>
      </c>
      <c r="G77" s="22">
        <v>12</v>
      </c>
      <c r="H77" s="22">
        <v>2</v>
      </c>
      <c r="I77" s="22">
        <v>14</v>
      </c>
      <c r="J77" s="22">
        <v>0</v>
      </c>
      <c r="K77" s="83">
        <v>14</v>
      </c>
    </row>
    <row r="78" spans="1:12">
      <c r="C78" s="576"/>
      <c r="D78" s="246" t="s">
        <v>158</v>
      </c>
      <c r="E78" s="22">
        <v>4</v>
      </c>
      <c r="F78" s="22">
        <v>1</v>
      </c>
      <c r="G78" s="22">
        <v>5</v>
      </c>
      <c r="H78" s="22">
        <v>4</v>
      </c>
      <c r="I78" s="22">
        <v>9</v>
      </c>
      <c r="J78" s="22">
        <v>2</v>
      </c>
      <c r="K78" s="83">
        <v>11</v>
      </c>
    </row>
    <row r="79" spans="1:12" ht="18.600000000000001" thickBot="1">
      <c r="C79" s="597" t="s">
        <v>642</v>
      </c>
      <c r="D79" s="598"/>
      <c r="E79" s="92">
        <v>391</v>
      </c>
      <c r="F79" s="92">
        <v>50</v>
      </c>
      <c r="G79" s="92">
        <v>441</v>
      </c>
      <c r="H79" s="92">
        <v>71</v>
      </c>
      <c r="I79" s="92">
        <v>512</v>
      </c>
      <c r="J79" s="92">
        <v>213</v>
      </c>
      <c r="K79" s="93">
        <v>725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247" t="s">
        <v>69</v>
      </c>
      <c r="F82" s="247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248" t="s">
        <v>818</v>
      </c>
    </row>
    <row r="87" spans="3:12">
      <c r="D87" s="248" t="s">
        <v>819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87"/>
  <sheetViews>
    <sheetView topLeftCell="D50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41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816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37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37"/>
      <c r="C5" s="576"/>
      <c r="D5" s="577"/>
      <c r="E5" s="238" t="s">
        <v>69</v>
      </c>
      <c r="F5" s="23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37">
        <v>202</v>
      </c>
      <c r="C6" s="239"/>
      <c r="D6" s="238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237">
        <v>211</v>
      </c>
      <c r="C7" s="239"/>
      <c r="D7" s="238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7</v>
      </c>
    </row>
    <row r="9" spans="1:11">
      <c r="A9" s="75">
        <v>11000</v>
      </c>
      <c r="B9" s="46">
        <v>11020</v>
      </c>
      <c r="C9" s="84"/>
      <c r="D9" s="238" t="s">
        <v>26</v>
      </c>
      <c r="E9" s="22">
        <v>2</v>
      </c>
      <c r="F9" s="22">
        <v>4</v>
      </c>
      <c r="G9" s="22">
        <v>6</v>
      </c>
      <c r="H9" s="22">
        <v>0</v>
      </c>
      <c r="I9" s="22">
        <v>6</v>
      </c>
      <c r="J9" s="22">
        <v>0</v>
      </c>
      <c r="K9" s="83">
        <v>6</v>
      </c>
    </row>
    <row r="10" spans="1:11">
      <c r="A10" s="75">
        <v>90000</v>
      </c>
      <c r="B10" s="46">
        <v>90020</v>
      </c>
      <c r="C10" s="84"/>
      <c r="D10" s="238" t="s">
        <v>644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11</v>
      </c>
    </row>
    <row r="12" spans="1:11">
      <c r="A12" s="76">
        <v>1000</v>
      </c>
      <c r="B12" s="46">
        <v>1020</v>
      </c>
      <c r="C12" s="84"/>
      <c r="D12" s="238" t="s">
        <v>218</v>
      </c>
      <c r="E12" s="22">
        <v>8</v>
      </c>
      <c r="F12" s="22">
        <v>3</v>
      </c>
      <c r="G12" s="22">
        <v>11</v>
      </c>
      <c r="H12" s="22">
        <v>0</v>
      </c>
      <c r="I12" s="22">
        <v>11</v>
      </c>
      <c r="J12" s="22">
        <v>0</v>
      </c>
      <c r="K12" s="83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21</v>
      </c>
    </row>
    <row r="14" spans="1:11">
      <c r="A14" s="76"/>
      <c r="B14" s="56"/>
      <c r="C14" s="85"/>
      <c r="D14" s="238" t="s">
        <v>648</v>
      </c>
      <c r="E14" s="22">
        <v>2</v>
      </c>
      <c r="F14" s="22">
        <v>2</v>
      </c>
      <c r="G14" s="22">
        <v>4</v>
      </c>
      <c r="H14" s="22">
        <v>1</v>
      </c>
      <c r="I14" s="22">
        <v>5</v>
      </c>
      <c r="J14" s="22">
        <v>0</v>
      </c>
      <c r="K14" s="83">
        <v>5</v>
      </c>
    </row>
    <row r="15" spans="1:11">
      <c r="A15" s="75">
        <v>50000</v>
      </c>
      <c r="B15" s="46">
        <v>50020</v>
      </c>
      <c r="C15" s="85"/>
      <c r="D15" s="238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238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22</v>
      </c>
    </row>
    <row r="19" spans="1:15">
      <c r="A19" s="75">
        <v>80000</v>
      </c>
      <c r="B19" s="46">
        <v>80020</v>
      </c>
      <c r="C19" s="586" t="s">
        <v>643</v>
      </c>
      <c r="D19" s="238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>
        <v>0</v>
      </c>
      <c r="K19" s="83">
        <v>6</v>
      </c>
    </row>
    <row r="20" spans="1:15">
      <c r="A20" s="75">
        <v>41111</v>
      </c>
      <c r="B20" s="46">
        <v>41121</v>
      </c>
      <c r="C20" s="576"/>
      <c r="D20" s="238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>
        <v>0</v>
      </c>
      <c r="K20" s="83">
        <v>7</v>
      </c>
    </row>
    <row r="21" spans="1:15">
      <c r="A21" s="75">
        <v>43011</v>
      </c>
      <c r="B21" s="46">
        <v>43021</v>
      </c>
      <c r="C21" s="242" t="s">
        <v>647</v>
      </c>
      <c r="D21" s="238" t="s">
        <v>165</v>
      </c>
      <c r="E21" s="22">
        <v>7</v>
      </c>
      <c r="F21" s="22">
        <v>1</v>
      </c>
      <c r="G21" s="22">
        <v>8</v>
      </c>
      <c r="H21" s="22">
        <v>1</v>
      </c>
      <c r="I21" s="22">
        <v>9</v>
      </c>
      <c r="J21" s="22"/>
      <c r="K21" s="83"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51</v>
      </c>
    </row>
    <row r="23" spans="1:15">
      <c r="A23" s="75">
        <v>42111</v>
      </c>
      <c r="B23" s="46">
        <v>42121</v>
      </c>
      <c r="C23" s="84"/>
      <c r="D23" s="238" t="s">
        <v>172</v>
      </c>
      <c r="E23" s="22">
        <v>40</v>
      </c>
      <c r="F23" s="22">
        <v>3</v>
      </c>
      <c r="G23" s="22">
        <v>43</v>
      </c>
      <c r="H23" s="22">
        <v>8</v>
      </c>
      <c r="I23" s="22">
        <v>51</v>
      </c>
      <c r="J23" s="22"/>
      <c r="K23" s="83"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538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129</v>
      </c>
      <c r="F25" s="78">
        <v>7</v>
      </c>
      <c r="G25" s="78">
        <v>136</v>
      </c>
      <c r="H25" s="78">
        <v>20</v>
      </c>
      <c r="I25" s="78">
        <v>156</v>
      </c>
      <c r="J25" s="78">
        <v>70</v>
      </c>
      <c r="K25" s="87">
        <v>226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38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4</v>
      </c>
      <c r="K26" s="83">
        <v>16</v>
      </c>
    </row>
    <row r="27" spans="1:15">
      <c r="A27" s="75">
        <v>42311</v>
      </c>
      <c r="B27" s="46">
        <v>42321</v>
      </c>
      <c r="C27" s="575"/>
      <c r="D27" s="238" t="s">
        <v>349</v>
      </c>
      <c r="E27" s="22">
        <v>16</v>
      </c>
      <c r="F27" s="22">
        <v>0</v>
      </c>
      <c r="G27" s="22">
        <v>16</v>
      </c>
      <c r="H27" s="22">
        <v>1</v>
      </c>
      <c r="I27" s="22">
        <v>17</v>
      </c>
      <c r="J27" s="101">
        <v>6</v>
      </c>
      <c r="K27" s="83">
        <v>23</v>
      </c>
    </row>
    <row r="28" spans="1:15">
      <c r="A28" s="75">
        <v>43211</v>
      </c>
      <c r="B28" s="46">
        <v>43221</v>
      </c>
      <c r="C28" s="576"/>
      <c r="D28" s="238" t="s">
        <v>258</v>
      </c>
      <c r="E28" s="22">
        <v>22</v>
      </c>
      <c r="F28" s="22">
        <v>0</v>
      </c>
      <c r="G28" s="22">
        <v>22</v>
      </c>
      <c r="H28" s="22">
        <v>2</v>
      </c>
      <c r="I28" s="22">
        <v>24</v>
      </c>
      <c r="J28" s="101">
        <v>9</v>
      </c>
      <c r="K28" s="83">
        <v>33</v>
      </c>
    </row>
    <row r="29" spans="1:15">
      <c r="A29" s="75">
        <v>43311</v>
      </c>
      <c r="B29" s="46">
        <v>43321</v>
      </c>
      <c r="C29" s="571" t="s">
        <v>626</v>
      </c>
      <c r="D29" s="238" t="s">
        <v>305</v>
      </c>
      <c r="E29" s="22">
        <v>17</v>
      </c>
      <c r="F29" s="22">
        <v>1</v>
      </c>
      <c r="G29" s="22">
        <v>18</v>
      </c>
      <c r="H29" s="22">
        <v>2</v>
      </c>
      <c r="I29" s="22">
        <v>20</v>
      </c>
      <c r="J29" s="101">
        <v>14</v>
      </c>
      <c r="K29" s="83">
        <v>34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38" t="s">
        <v>339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101"/>
      <c r="K30" s="83">
        <v>0</v>
      </c>
      <c r="L30" s="588"/>
      <c r="M30" s="589"/>
      <c r="N30" s="589"/>
      <c r="O30" s="589"/>
    </row>
    <row r="31" spans="1:15">
      <c r="A31" s="75"/>
      <c r="C31" s="571"/>
      <c r="D31" s="238"/>
      <c r="E31" s="22"/>
      <c r="F31" s="22"/>
      <c r="G31" s="22"/>
      <c r="H31" s="22"/>
      <c r="I31" s="22"/>
      <c r="J31" s="101"/>
      <c r="K31" s="83"/>
      <c r="L31" s="243"/>
      <c r="M31" s="243"/>
      <c r="N31" s="243"/>
      <c r="O31" s="243"/>
    </row>
    <row r="32" spans="1:15">
      <c r="A32" s="75">
        <v>40400</v>
      </c>
      <c r="B32" s="46">
        <v>40420</v>
      </c>
      <c r="C32" s="571"/>
      <c r="D32" s="238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238" t="s">
        <v>290</v>
      </c>
      <c r="E33" s="22">
        <v>15</v>
      </c>
      <c r="F33" s="22">
        <v>0</v>
      </c>
      <c r="G33" s="22">
        <v>15</v>
      </c>
      <c r="H33" s="22">
        <v>2</v>
      </c>
      <c r="I33" s="22">
        <v>17</v>
      </c>
      <c r="J33" s="101">
        <v>11</v>
      </c>
      <c r="K33" s="83">
        <v>28</v>
      </c>
    </row>
    <row r="34" spans="1:14">
      <c r="A34" s="76"/>
      <c r="B34" s="56"/>
      <c r="C34" s="571"/>
      <c r="D34" s="238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6</v>
      </c>
      <c r="K34" s="83">
        <v>13</v>
      </c>
    </row>
    <row r="35" spans="1:14">
      <c r="A35" s="75">
        <v>67211</v>
      </c>
      <c r="B35" s="46">
        <v>67221</v>
      </c>
      <c r="C35" s="571" t="s">
        <v>627</v>
      </c>
      <c r="D35" s="238" t="s">
        <v>364</v>
      </c>
      <c r="E35" s="22">
        <v>10</v>
      </c>
      <c r="F35" s="22">
        <v>5</v>
      </c>
      <c r="G35" s="22">
        <v>15</v>
      </c>
      <c r="H35" s="22">
        <v>3</v>
      </c>
      <c r="I35" s="22">
        <v>18</v>
      </c>
      <c r="J35" s="101">
        <v>13</v>
      </c>
      <c r="K35" s="83">
        <v>31</v>
      </c>
      <c r="L35">
        <v>2</v>
      </c>
    </row>
    <row r="36" spans="1:14">
      <c r="A36" s="75">
        <v>68011</v>
      </c>
      <c r="B36" s="46">
        <v>68021</v>
      </c>
      <c r="C36" s="571"/>
      <c r="D36" s="238" t="s">
        <v>377</v>
      </c>
      <c r="E36" s="22">
        <v>3</v>
      </c>
      <c r="F36" s="22">
        <v>0</v>
      </c>
      <c r="G36" s="22">
        <v>3</v>
      </c>
      <c r="H36" s="22">
        <v>2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238" t="s">
        <v>103</v>
      </c>
      <c r="E37" s="22">
        <v>9</v>
      </c>
      <c r="F37" s="22">
        <v>0</v>
      </c>
      <c r="G37" s="22">
        <v>9</v>
      </c>
      <c r="H37" s="22">
        <v>5</v>
      </c>
      <c r="I37" s="22">
        <v>14</v>
      </c>
      <c r="J37" s="101">
        <v>3</v>
      </c>
      <c r="K37" s="83">
        <v>17</v>
      </c>
    </row>
    <row r="38" spans="1:14">
      <c r="A38" s="75">
        <v>69111</v>
      </c>
      <c r="B38" s="46">
        <v>69121</v>
      </c>
      <c r="C38" s="571"/>
      <c r="D38" s="238" t="s">
        <v>98</v>
      </c>
      <c r="E38" s="22">
        <v>2</v>
      </c>
      <c r="F38" s="22">
        <v>0</v>
      </c>
      <c r="G38" s="22">
        <v>2</v>
      </c>
      <c r="H38" s="22">
        <v>0</v>
      </c>
      <c r="I38" s="22">
        <v>2</v>
      </c>
      <c r="J38" s="101">
        <v>0</v>
      </c>
      <c r="K38" s="83">
        <v>2</v>
      </c>
    </row>
    <row r="39" spans="1:14">
      <c r="A39" s="75">
        <v>64011</v>
      </c>
      <c r="B39" s="46">
        <v>64021</v>
      </c>
      <c r="C39" s="84"/>
      <c r="D39" s="238" t="s">
        <v>87</v>
      </c>
      <c r="E39" s="22">
        <v>8</v>
      </c>
      <c r="F39" s="22">
        <v>1</v>
      </c>
      <c r="G39" s="22">
        <v>9</v>
      </c>
      <c r="H39" s="22">
        <v>0</v>
      </c>
      <c r="I39" s="22">
        <v>9</v>
      </c>
      <c r="J39" s="101">
        <v>0</v>
      </c>
      <c r="K39" s="83">
        <v>9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101</v>
      </c>
      <c r="F40" s="78">
        <v>10</v>
      </c>
      <c r="G40" s="78">
        <v>111</v>
      </c>
      <c r="H40" s="78">
        <v>22</v>
      </c>
      <c r="I40" s="78">
        <v>133</v>
      </c>
      <c r="J40" s="78">
        <v>103</v>
      </c>
      <c r="K40" s="87">
        <v>236</v>
      </c>
    </row>
    <row r="41" spans="1:14">
      <c r="A41" s="75">
        <v>64211</v>
      </c>
      <c r="B41" s="46">
        <v>64221</v>
      </c>
      <c r="C41" s="586" t="s">
        <v>625</v>
      </c>
      <c r="D41" s="238" t="s">
        <v>476</v>
      </c>
      <c r="E41" s="22">
        <v>5</v>
      </c>
      <c r="F41" s="22">
        <v>0</v>
      </c>
      <c r="G41" s="22">
        <v>5</v>
      </c>
      <c r="H41" s="22">
        <v>2</v>
      </c>
      <c r="I41" s="22">
        <v>7</v>
      </c>
      <c r="J41" s="22">
        <v>4</v>
      </c>
      <c r="K41" s="83">
        <v>11</v>
      </c>
    </row>
    <row r="42" spans="1:14">
      <c r="A42" s="75">
        <v>67011</v>
      </c>
      <c r="B42" s="46">
        <v>67021</v>
      </c>
      <c r="C42" s="575"/>
      <c r="D42" s="238" t="s">
        <v>483</v>
      </c>
      <c r="E42" s="22">
        <v>3</v>
      </c>
      <c r="F42" s="22">
        <v>0</v>
      </c>
      <c r="G42" s="22">
        <v>3</v>
      </c>
      <c r="H42" s="22">
        <v>1</v>
      </c>
      <c r="I42" s="22">
        <v>4</v>
      </c>
      <c r="J42" s="22">
        <v>6</v>
      </c>
      <c r="K42" s="83">
        <v>10</v>
      </c>
    </row>
    <row r="43" spans="1:14">
      <c r="A43" s="75">
        <v>68111</v>
      </c>
      <c r="B43" s="46">
        <v>68121</v>
      </c>
      <c r="C43" s="575"/>
      <c r="D43" s="238" t="s">
        <v>508</v>
      </c>
      <c r="E43" s="22">
        <v>3</v>
      </c>
      <c r="F43" s="22">
        <v>0</v>
      </c>
      <c r="G43" s="108">
        <v>3</v>
      </c>
      <c r="H43" s="22">
        <v>1</v>
      </c>
      <c r="I43" s="22">
        <v>4</v>
      </c>
      <c r="J43" s="22">
        <v>0</v>
      </c>
      <c r="K43" s="83">
        <v>4</v>
      </c>
    </row>
    <row r="44" spans="1:14">
      <c r="A44" s="75">
        <v>64311</v>
      </c>
      <c r="B44" s="46">
        <v>64321</v>
      </c>
      <c r="C44" s="576"/>
      <c r="D44" s="238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0</v>
      </c>
      <c r="K44" s="83">
        <v>1</v>
      </c>
    </row>
    <row r="45" spans="1:14">
      <c r="A45" s="75">
        <v>69011</v>
      </c>
      <c r="B45" s="46">
        <v>69021</v>
      </c>
      <c r="C45" s="571" t="s">
        <v>626</v>
      </c>
      <c r="D45" s="238" t="s">
        <v>416</v>
      </c>
      <c r="E45" s="22">
        <v>5</v>
      </c>
      <c r="F45" s="22">
        <v>0</v>
      </c>
      <c r="G45" s="22">
        <v>5</v>
      </c>
      <c r="H45" s="22">
        <v>3</v>
      </c>
      <c r="I45" s="22">
        <v>8</v>
      </c>
      <c r="J45" s="22">
        <v>4</v>
      </c>
      <c r="K45" s="83">
        <v>12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38" t="s">
        <v>422</v>
      </c>
      <c r="E46" s="22">
        <v>3</v>
      </c>
      <c r="F46" s="22">
        <v>1</v>
      </c>
      <c r="G46" s="22">
        <v>4</v>
      </c>
      <c r="H46" s="22">
        <v>1</v>
      </c>
      <c r="I46" s="22">
        <v>5</v>
      </c>
      <c r="J46" s="22"/>
      <c r="K46" s="83">
        <v>5</v>
      </c>
      <c r="L46" s="588"/>
      <c r="M46" s="570"/>
      <c r="N46" s="570"/>
    </row>
    <row r="47" spans="1:14">
      <c r="A47" s="75"/>
      <c r="C47" s="571"/>
      <c r="D47" s="238" t="s">
        <v>657</v>
      </c>
      <c r="E47" s="22"/>
      <c r="F47" s="22"/>
      <c r="G47" s="22"/>
      <c r="H47" s="22"/>
      <c r="I47" s="22"/>
      <c r="J47" s="22"/>
      <c r="K47" s="83"/>
    </row>
    <row r="48" spans="1:14">
      <c r="A48" s="75">
        <v>60411</v>
      </c>
      <c r="B48" s="46">
        <v>60421</v>
      </c>
      <c r="C48" s="571"/>
      <c r="D48" s="238" t="s">
        <v>429</v>
      </c>
      <c r="E48" s="22">
        <v>1</v>
      </c>
      <c r="F48" s="22">
        <v>0</v>
      </c>
      <c r="G48" s="22">
        <v>1</v>
      </c>
      <c r="H48" s="22">
        <v>0</v>
      </c>
      <c r="I48" s="22">
        <v>1</v>
      </c>
      <c r="J48" s="22">
        <v>0</v>
      </c>
      <c r="K48" s="83">
        <v>1</v>
      </c>
    </row>
    <row r="49" spans="1:12">
      <c r="A49" s="75">
        <v>65011</v>
      </c>
      <c r="B49" s="46">
        <v>65021</v>
      </c>
      <c r="C49" s="571"/>
      <c r="D49" s="238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1</v>
      </c>
      <c r="K49" s="83">
        <v>11</v>
      </c>
    </row>
    <row r="50" spans="1:12">
      <c r="A50" s="75">
        <v>66011</v>
      </c>
      <c r="B50" s="46">
        <v>66021</v>
      </c>
      <c r="C50" s="571"/>
      <c r="D50" s="238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>
        <v>0</v>
      </c>
      <c r="K50" s="83">
        <v>5</v>
      </c>
    </row>
    <row r="51" spans="1:12">
      <c r="A51" s="75">
        <v>61300</v>
      </c>
      <c r="B51" s="46">
        <v>61320</v>
      </c>
      <c r="C51" s="571"/>
      <c r="D51" s="238" t="s">
        <v>431</v>
      </c>
      <c r="E51" s="22">
        <v>1</v>
      </c>
      <c r="F51" s="22">
        <v>1</v>
      </c>
      <c r="G51" s="22">
        <v>2</v>
      </c>
      <c r="H51" s="22">
        <v>0</v>
      </c>
      <c r="I51" s="22">
        <v>2</v>
      </c>
      <c r="J51" s="22">
        <v>2</v>
      </c>
      <c r="K51" s="83">
        <v>4</v>
      </c>
    </row>
    <row r="52" spans="1:12">
      <c r="A52" s="76"/>
      <c r="B52" s="56"/>
      <c r="C52" s="571" t="s">
        <v>627</v>
      </c>
      <c r="D52" s="238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19</v>
      </c>
      <c r="K52" s="83">
        <v>40</v>
      </c>
    </row>
    <row r="53" spans="1:12">
      <c r="A53" s="75">
        <v>44011</v>
      </c>
      <c r="B53" s="46">
        <v>44021</v>
      </c>
      <c r="C53" s="571"/>
      <c r="D53" s="238" t="s">
        <v>138</v>
      </c>
      <c r="E53" s="22">
        <v>8</v>
      </c>
      <c r="F53" s="22">
        <v>0</v>
      </c>
      <c r="G53" s="22">
        <v>8</v>
      </c>
      <c r="H53" s="22">
        <v>2</v>
      </c>
      <c r="I53" s="22">
        <v>10</v>
      </c>
      <c r="J53" s="22">
        <v>6</v>
      </c>
      <c r="K53" s="83">
        <v>16</v>
      </c>
    </row>
    <row r="54" spans="1:12">
      <c r="A54" s="75">
        <v>44111</v>
      </c>
      <c r="B54" s="46">
        <v>44121</v>
      </c>
      <c r="C54" s="571"/>
      <c r="D54" s="238" t="s">
        <v>411</v>
      </c>
      <c r="E54" s="22">
        <v>2</v>
      </c>
      <c r="F54" s="22">
        <v>1</v>
      </c>
      <c r="G54" s="22">
        <v>3</v>
      </c>
      <c r="H54" s="22">
        <v>3</v>
      </c>
      <c r="I54" s="22">
        <v>6</v>
      </c>
      <c r="J54" s="22">
        <v>3</v>
      </c>
      <c r="K54" s="83">
        <v>9</v>
      </c>
    </row>
    <row r="55" spans="1:12">
      <c r="A55" s="75">
        <v>44511</v>
      </c>
      <c r="B55" s="46">
        <v>44521</v>
      </c>
      <c r="C55" s="571" t="s">
        <v>628</v>
      </c>
      <c r="D55" s="238" t="s">
        <v>433</v>
      </c>
      <c r="E55" s="22">
        <v>14</v>
      </c>
      <c r="F55" s="22">
        <v>0</v>
      </c>
      <c r="G55" s="22">
        <v>14</v>
      </c>
      <c r="H55" s="22">
        <v>3</v>
      </c>
      <c r="I55" s="22">
        <v>17</v>
      </c>
      <c r="J55" s="22">
        <v>51</v>
      </c>
      <c r="K55" s="83">
        <v>68</v>
      </c>
    </row>
    <row r="56" spans="1:12">
      <c r="A56" s="75">
        <v>45111</v>
      </c>
      <c r="B56" s="46">
        <v>45121</v>
      </c>
      <c r="C56" s="571"/>
      <c r="D56" s="238" t="s">
        <v>449</v>
      </c>
      <c r="E56" s="22">
        <v>16</v>
      </c>
      <c r="F56" s="22">
        <v>4</v>
      </c>
      <c r="G56" s="22">
        <v>20</v>
      </c>
      <c r="H56" s="22">
        <v>2</v>
      </c>
      <c r="I56" s="22">
        <v>22</v>
      </c>
      <c r="J56" s="22">
        <v>7</v>
      </c>
      <c r="K56" s="83">
        <v>29</v>
      </c>
    </row>
    <row r="57" spans="1:12">
      <c r="A57" s="75">
        <v>44200</v>
      </c>
      <c r="B57" s="46">
        <v>44220</v>
      </c>
      <c r="C57" s="84"/>
      <c r="D57" s="238" t="s">
        <v>162</v>
      </c>
      <c r="E57" s="22">
        <v>8</v>
      </c>
      <c r="F57" s="22">
        <v>1</v>
      </c>
      <c r="G57" s="22">
        <v>9</v>
      </c>
      <c r="H57" s="22">
        <v>1</v>
      </c>
      <c r="I57" s="22">
        <v>10</v>
      </c>
      <c r="J57" s="22">
        <v>0</v>
      </c>
      <c r="K57" s="83">
        <v>10</v>
      </c>
    </row>
    <row r="58" spans="1:12">
      <c r="A58" s="76"/>
      <c r="B58" s="56"/>
      <c r="C58" s="584" t="s">
        <v>618</v>
      </c>
      <c r="D58" s="585"/>
      <c r="E58" s="78">
        <v>30</v>
      </c>
      <c r="F58" s="78">
        <v>2</v>
      </c>
      <c r="G58" s="78">
        <v>32</v>
      </c>
      <c r="H58" s="78">
        <v>5</v>
      </c>
      <c r="I58" s="78">
        <v>37</v>
      </c>
      <c r="J58" s="78">
        <v>14</v>
      </c>
      <c r="K58" s="87">
        <v>51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38" t="s">
        <v>381</v>
      </c>
      <c r="E59" s="22">
        <v>3</v>
      </c>
      <c r="F59" s="22">
        <v>0</v>
      </c>
      <c r="G59" s="22">
        <v>3</v>
      </c>
      <c r="H59" s="22">
        <v>1</v>
      </c>
      <c r="I59" s="22">
        <v>4</v>
      </c>
      <c r="J59" s="22">
        <v>1</v>
      </c>
      <c r="K59" s="83">
        <v>5</v>
      </c>
    </row>
    <row r="60" spans="1:12">
      <c r="A60" s="75">
        <v>21000</v>
      </c>
      <c r="B60" s="46">
        <v>21020</v>
      </c>
      <c r="C60" s="575"/>
      <c r="D60" s="238" t="s">
        <v>383</v>
      </c>
      <c r="E60" s="22">
        <v>3</v>
      </c>
      <c r="F60" s="22">
        <v>0</v>
      </c>
      <c r="G60" s="22">
        <v>3</v>
      </c>
      <c r="H60" s="22">
        <v>0</v>
      </c>
      <c r="I60" s="22">
        <v>3</v>
      </c>
      <c r="J60" s="22">
        <v>0</v>
      </c>
      <c r="K60" s="83">
        <v>3</v>
      </c>
    </row>
    <row r="61" spans="1:12">
      <c r="A61" s="75">
        <v>22000</v>
      </c>
      <c r="B61" s="46">
        <v>22020</v>
      </c>
      <c r="C61" s="575"/>
      <c r="D61" s="238" t="s">
        <v>389</v>
      </c>
      <c r="E61" s="22">
        <v>4</v>
      </c>
      <c r="F61" s="22">
        <v>0</v>
      </c>
      <c r="G61" s="22">
        <v>4</v>
      </c>
      <c r="H61" s="22">
        <v>1</v>
      </c>
      <c r="I61" s="22">
        <v>5</v>
      </c>
      <c r="J61" s="22">
        <v>3</v>
      </c>
      <c r="K61" s="83">
        <v>8</v>
      </c>
    </row>
    <row r="62" spans="1:12">
      <c r="A62" s="75">
        <v>60000</v>
      </c>
      <c r="B62" s="46">
        <v>60020</v>
      </c>
      <c r="C62" s="576"/>
      <c r="D62" s="238" t="s">
        <v>396</v>
      </c>
      <c r="E62" s="22">
        <v>14</v>
      </c>
      <c r="F62" s="22">
        <v>0</v>
      </c>
      <c r="G62" s="22">
        <v>14</v>
      </c>
      <c r="H62" s="22">
        <v>1</v>
      </c>
      <c r="I62" s="22">
        <v>15</v>
      </c>
      <c r="J62" s="22">
        <v>9</v>
      </c>
      <c r="K62" s="83">
        <v>24</v>
      </c>
    </row>
    <row r="63" spans="1:12">
      <c r="A63" s="75">
        <v>60100</v>
      </c>
      <c r="B63" s="46">
        <v>60120</v>
      </c>
      <c r="C63" s="239" t="s">
        <v>626</v>
      </c>
      <c r="D63" s="238" t="s">
        <v>114</v>
      </c>
      <c r="E63" s="22">
        <v>6</v>
      </c>
      <c r="F63" s="22">
        <v>2</v>
      </c>
      <c r="G63" s="22">
        <v>8</v>
      </c>
      <c r="H63" s="22">
        <v>2</v>
      </c>
      <c r="I63" s="22">
        <v>10</v>
      </c>
      <c r="J63" s="22">
        <v>1</v>
      </c>
      <c r="K63" s="83">
        <v>11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13</v>
      </c>
      <c r="F64" s="78">
        <v>9</v>
      </c>
      <c r="G64" s="78">
        <v>22</v>
      </c>
      <c r="H64" s="78">
        <v>1</v>
      </c>
      <c r="I64" s="78">
        <v>23</v>
      </c>
      <c r="J64" s="78">
        <v>2</v>
      </c>
      <c r="K64" s="87">
        <v>25</v>
      </c>
      <c r="L64" s="94"/>
    </row>
    <row r="65" spans="1:12">
      <c r="A65" s="76"/>
      <c r="B65" s="56"/>
      <c r="C65" s="586" t="s">
        <v>643</v>
      </c>
      <c r="D65" s="238" t="s">
        <v>45</v>
      </c>
      <c r="E65" s="22">
        <v>2</v>
      </c>
      <c r="F65" s="22">
        <v>1</v>
      </c>
      <c r="G65" s="22">
        <v>3</v>
      </c>
      <c r="H65" s="22">
        <v>0</v>
      </c>
      <c r="I65" s="22">
        <v>3</v>
      </c>
      <c r="J65" s="22">
        <v>0</v>
      </c>
      <c r="K65" s="83">
        <v>3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2</v>
      </c>
      <c r="F66" s="22">
        <v>1</v>
      </c>
      <c r="G66" s="22">
        <v>3</v>
      </c>
      <c r="H66" s="22">
        <v>0</v>
      </c>
      <c r="I66" s="22">
        <v>3</v>
      </c>
      <c r="J66" s="22">
        <v>1</v>
      </c>
      <c r="K66" s="83">
        <v>4</v>
      </c>
    </row>
    <row r="67" spans="1:12">
      <c r="A67" s="75">
        <v>31000</v>
      </c>
      <c r="B67" s="46">
        <v>31020</v>
      </c>
      <c r="C67" s="576"/>
      <c r="D67" s="238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238" t="s">
        <v>131</v>
      </c>
      <c r="E68" s="22">
        <v>2</v>
      </c>
      <c r="F68" s="22">
        <v>2</v>
      </c>
      <c r="G68" s="22">
        <v>4</v>
      </c>
      <c r="H68" s="22">
        <v>1</v>
      </c>
      <c r="I68" s="22">
        <v>5</v>
      </c>
      <c r="J68" s="22"/>
      <c r="K68" s="83">
        <v>5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/>
      <c r="K69" s="83">
        <v>3</v>
      </c>
    </row>
    <row r="70" spans="1:12">
      <c r="A70" s="75">
        <v>61000</v>
      </c>
      <c r="B70" s="46">
        <v>61020</v>
      </c>
      <c r="C70" s="576"/>
      <c r="D70" s="238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/>
      <c r="K70" s="83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59</v>
      </c>
    </row>
    <row r="72" spans="1:12">
      <c r="C72" s="584" t="s">
        <v>617</v>
      </c>
      <c r="D72" s="585"/>
      <c r="E72" s="78">
        <v>41</v>
      </c>
      <c r="F72" s="78">
        <v>4</v>
      </c>
      <c r="G72" s="78">
        <v>45</v>
      </c>
      <c r="H72" s="78">
        <v>10</v>
      </c>
      <c r="I72" s="78">
        <v>55</v>
      </c>
      <c r="J72" s="78">
        <v>4</v>
      </c>
      <c r="K72" s="87">
        <v>59</v>
      </c>
      <c r="L72" s="37"/>
    </row>
    <row r="73" spans="1:12">
      <c r="B73" s="56"/>
      <c r="C73" s="586" t="s">
        <v>643</v>
      </c>
      <c r="D73" s="238" t="s">
        <v>53</v>
      </c>
      <c r="E73" s="22">
        <v>15</v>
      </c>
      <c r="F73" s="22">
        <v>1</v>
      </c>
      <c r="G73" s="22">
        <v>16</v>
      </c>
      <c r="H73" s="22">
        <v>3</v>
      </c>
      <c r="I73" s="22">
        <v>19</v>
      </c>
      <c r="J73" s="22">
        <v>1</v>
      </c>
      <c r="K73" s="83">
        <v>20</v>
      </c>
    </row>
    <row r="74" spans="1:12">
      <c r="C74" s="575"/>
      <c r="D74" s="238" t="s">
        <v>72</v>
      </c>
      <c r="E74" s="22">
        <v>7</v>
      </c>
      <c r="F74" s="22">
        <v>1</v>
      </c>
      <c r="G74" s="22">
        <v>8</v>
      </c>
      <c r="H74" s="22">
        <v>1</v>
      </c>
      <c r="I74" s="22">
        <v>9</v>
      </c>
      <c r="J74" s="22">
        <v>0</v>
      </c>
      <c r="K74" s="83">
        <v>9</v>
      </c>
    </row>
    <row r="75" spans="1:12">
      <c r="C75" s="575"/>
      <c r="D75" s="238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238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238" t="s">
        <v>147</v>
      </c>
      <c r="E77" s="22">
        <v>11</v>
      </c>
      <c r="F77" s="22">
        <v>1</v>
      </c>
      <c r="G77" s="22">
        <v>12</v>
      </c>
      <c r="H77" s="22">
        <v>2</v>
      </c>
      <c r="I77" s="22">
        <v>14</v>
      </c>
      <c r="J77" s="22"/>
      <c r="K77" s="83">
        <v>14</v>
      </c>
    </row>
    <row r="78" spans="1:12">
      <c r="C78" s="576"/>
      <c r="D78" s="238" t="s">
        <v>158</v>
      </c>
      <c r="E78" s="22">
        <v>4</v>
      </c>
      <c r="F78" s="22">
        <v>1</v>
      </c>
      <c r="G78" s="22">
        <v>5</v>
      </c>
      <c r="H78" s="22">
        <v>4</v>
      </c>
      <c r="I78" s="22">
        <v>9</v>
      </c>
      <c r="J78" s="22"/>
      <c r="K78" s="83">
        <v>9</v>
      </c>
    </row>
    <row r="79" spans="1:12" ht="18.600000000000001" thickBot="1">
      <c r="C79" s="597" t="s">
        <v>642</v>
      </c>
      <c r="D79" s="598"/>
      <c r="E79" s="92">
        <v>391</v>
      </c>
      <c r="F79" s="92">
        <v>50</v>
      </c>
      <c r="G79" s="92">
        <v>441</v>
      </c>
      <c r="H79" s="92">
        <v>71</v>
      </c>
      <c r="I79" s="92">
        <v>512</v>
      </c>
      <c r="J79" s="92">
        <v>197</v>
      </c>
      <c r="K79" s="93">
        <v>709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240" t="s">
        <v>69</v>
      </c>
      <c r="F82" s="240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241" t="s">
        <v>814</v>
      </c>
    </row>
    <row r="87" spans="3:12">
      <c r="D87" s="241" t="s">
        <v>815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4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36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621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33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233"/>
      <c r="C5" s="576"/>
      <c r="D5" s="577"/>
      <c r="E5" s="234" t="s">
        <v>69</v>
      </c>
      <c r="F5" s="234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233">
        <v>202</v>
      </c>
      <c r="C6" s="232"/>
      <c r="D6" s="234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idden="1">
      <c r="A7" s="77">
        <v>210</v>
      </c>
      <c r="B7" s="233">
        <v>211</v>
      </c>
      <c r="C7" s="232"/>
      <c r="D7" s="234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84"/>
      <c r="D8" s="234" t="s">
        <v>26</v>
      </c>
      <c r="E8" s="22">
        <v>6</v>
      </c>
      <c r="F8" s="22">
        <v>4</v>
      </c>
      <c r="G8" s="22">
        <v>10</v>
      </c>
      <c r="H8" s="22">
        <v>0</v>
      </c>
      <c r="I8" s="22">
        <v>10</v>
      </c>
      <c r="J8" s="22">
        <v>0</v>
      </c>
      <c r="K8" s="83">
        <v>10</v>
      </c>
    </row>
    <row r="9" spans="1:11">
      <c r="A9" s="75">
        <v>11000</v>
      </c>
      <c r="B9" s="46">
        <v>11020</v>
      </c>
      <c r="C9" s="84"/>
      <c r="D9" s="234" t="e">
        <v>#N/A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83">
        <v>0</v>
      </c>
    </row>
    <row r="10" spans="1:11">
      <c r="A10" s="75">
        <v>90000</v>
      </c>
      <c r="B10" s="46">
        <v>90020</v>
      </c>
      <c r="C10" s="84"/>
      <c r="D10" s="234" t="s">
        <v>218</v>
      </c>
      <c r="E10" s="22">
        <v>8</v>
      </c>
      <c r="F10" s="22">
        <v>3</v>
      </c>
      <c r="G10" s="22">
        <v>11</v>
      </c>
      <c r="H10" s="22">
        <v>0</v>
      </c>
      <c r="I10" s="22">
        <v>11</v>
      </c>
      <c r="J10" s="22"/>
      <c r="K10" s="83">
        <v>11</v>
      </c>
    </row>
    <row r="11" spans="1:11">
      <c r="A11" s="75">
        <v>3000</v>
      </c>
      <c r="B11" s="46">
        <v>3020</v>
      </c>
      <c r="C11" s="85"/>
      <c r="D11" s="234" t="s">
        <v>715</v>
      </c>
      <c r="E11" s="22">
        <v>2</v>
      </c>
      <c r="F11" s="22">
        <v>2</v>
      </c>
      <c r="G11" s="22">
        <v>4</v>
      </c>
      <c r="H11" s="22">
        <v>1</v>
      </c>
      <c r="I11" s="22">
        <v>5</v>
      </c>
      <c r="J11" s="22"/>
      <c r="K11" s="83">
        <v>5</v>
      </c>
    </row>
    <row r="12" spans="1:11">
      <c r="A12" s="76">
        <v>1000</v>
      </c>
      <c r="B12" s="46">
        <v>1020</v>
      </c>
      <c r="C12" s="85"/>
      <c r="D12" s="234" t="s">
        <v>17</v>
      </c>
      <c r="E12" s="22">
        <v>4</v>
      </c>
      <c r="F12" s="22">
        <v>2</v>
      </c>
      <c r="G12" s="22">
        <v>6</v>
      </c>
      <c r="H12" s="22">
        <v>3</v>
      </c>
      <c r="I12" s="22">
        <v>9</v>
      </c>
      <c r="J12" s="22">
        <v>4</v>
      </c>
      <c r="K12" s="83">
        <v>13</v>
      </c>
    </row>
    <row r="13" spans="1:11">
      <c r="A13" s="75">
        <v>1100</v>
      </c>
      <c r="B13" s="46">
        <v>1120</v>
      </c>
      <c r="C13" s="85"/>
      <c r="D13" s="234" t="s">
        <v>13</v>
      </c>
      <c r="E13" s="22">
        <v>2</v>
      </c>
      <c r="F13" s="22">
        <v>1</v>
      </c>
      <c r="G13" s="22">
        <v>3</v>
      </c>
      <c r="H13" s="22">
        <v>0</v>
      </c>
      <c r="I13" s="22">
        <v>3</v>
      </c>
      <c r="J13" s="22">
        <v>0</v>
      </c>
      <c r="K13" s="83">
        <v>3</v>
      </c>
    </row>
    <row r="14" spans="1:11">
      <c r="A14" s="76"/>
      <c r="B14" s="56"/>
      <c r="C14" s="86"/>
      <c r="D14" s="80" t="s">
        <v>629</v>
      </c>
      <c r="E14" s="78">
        <v>6</v>
      </c>
      <c r="F14" s="78">
        <v>3</v>
      </c>
      <c r="G14" s="78">
        <v>9</v>
      </c>
      <c r="H14" s="78">
        <v>3</v>
      </c>
      <c r="I14" s="78">
        <v>12</v>
      </c>
      <c r="J14" s="78">
        <v>4</v>
      </c>
      <c r="K14" s="87">
        <v>16</v>
      </c>
    </row>
    <row r="15" spans="1:11">
      <c r="A15" s="75">
        <v>50000</v>
      </c>
      <c r="B15" s="46">
        <v>50020</v>
      </c>
      <c r="C15" s="84"/>
      <c r="D15" s="234" t="s">
        <v>120</v>
      </c>
      <c r="E15" s="22">
        <v>4</v>
      </c>
      <c r="F15" s="22">
        <v>2</v>
      </c>
      <c r="G15" s="22">
        <v>6</v>
      </c>
      <c r="H15" s="22">
        <v>0</v>
      </c>
      <c r="I15" s="22">
        <v>6</v>
      </c>
      <c r="J15" s="22"/>
      <c r="K15" s="83">
        <v>6</v>
      </c>
    </row>
    <row r="16" spans="1:11">
      <c r="A16" s="75">
        <v>51000</v>
      </c>
      <c r="B16" s="46">
        <v>51020</v>
      </c>
      <c r="C16" s="84"/>
      <c r="D16" s="234" t="s">
        <v>124</v>
      </c>
      <c r="E16" s="22">
        <v>7</v>
      </c>
      <c r="F16" s="22">
        <v>0</v>
      </c>
      <c r="G16" s="22">
        <v>7</v>
      </c>
      <c r="H16" s="22">
        <v>0</v>
      </c>
      <c r="I16" s="22">
        <v>7</v>
      </c>
      <c r="J16" s="22"/>
      <c r="K16" s="83">
        <v>7</v>
      </c>
    </row>
    <row r="17" spans="1:11">
      <c r="A17" s="75">
        <v>63000</v>
      </c>
      <c r="B17" s="46">
        <v>63020</v>
      </c>
      <c r="C17" s="84"/>
      <c r="D17" s="234" t="s">
        <v>165</v>
      </c>
      <c r="E17" s="22">
        <v>7</v>
      </c>
      <c r="F17" s="22">
        <v>1</v>
      </c>
      <c r="G17" s="22">
        <v>8</v>
      </c>
      <c r="H17" s="22">
        <v>1</v>
      </c>
      <c r="I17" s="22">
        <v>9</v>
      </c>
      <c r="J17" s="22"/>
      <c r="K17" s="83">
        <v>9</v>
      </c>
    </row>
    <row r="18" spans="1:11">
      <c r="A18" s="76"/>
      <c r="B18" s="56"/>
      <c r="C18" s="86"/>
      <c r="D18" s="80" t="s">
        <v>630</v>
      </c>
      <c r="E18" s="78">
        <v>18</v>
      </c>
      <c r="F18" s="78">
        <v>3</v>
      </c>
      <c r="G18" s="78">
        <v>21</v>
      </c>
      <c r="H18" s="78">
        <v>1</v>
      </c>
      <c r="I18" s="78">
        <v>22</v>
      </c>
      <c r="J18" s="78">
        <v>0</v>
      </c>
      <c r="K18" s="87">
        <v>22</v>
      </c>
    </row>
    <row r="19" spans="1:11">
      <c r="A19" s="75">
        <v>80000</v>
      </c>
      <c r="B19" s="46">
        <v>80020</v>
      </c>
      <c r="C19" s="84"/>
      <c r="D19" s="234" t="s">
        <v>172</v>
      </c>
      <c r="E19" s="22">
        <v>40</v>
      </c>
      <c r="F19" s="22">
        <v>3</v>
      </c>
      <c r="G19" s="22">
        <v>43</v>
      </c>
      <c r="H19" s="22">
        <v>8</v>
      </c>
      <c r="I19" s="22">
        <v>51</v>
      </c>
      <c r="J19" s="22">
        <v>0</v>
      </c>
      <c r="K19" s="83">
        <v>51</v>
      </c>
    </row>
    <row r="20" spans="1:11">
      <c r="A20" s="75">
        <v>41111</v>
      </c>
      <c r="B20" s="46">
        <v>41121</v>
      </c>
      <c r="C20" s="571" t="s">
        <v>625</v>
      </c>
      <c r="D20" s="234" t="s">
        <v>280</v>
      </c>
      <c r="E20" s="22">
        <v>9</v>
      </c>
      <c r="F20" s="22">
        <v>0</v>
      </c>
      <c r="G20" s="22">
        <v>9</v>
      </c>
      <c r="H20" s="22">
        <v>3</v>
      </c>
      <c r="I20" s="22">
        <v>12</v>
      </c>
      <c r="J20" s="22">
        <v>4</v>
      </c>
      <c r="K20" s="83">
        <v>16</v>
      </c>
    </row>
    <row r="21" spans="1:11">
      <c r="A21" s="75">
        <v>43011</v>
      </c>
      <c r="B21" s="46">
        <v>43021</v>
      </c>
      <c r="C21" s="571"/>
      <c r="D21" s="234" t="s">
        <v>349</v>
      </c>
      <c r="E21" s="22">
        <v>16</v>
      </c>
      <c r="F21" s="22">
        <v>0</v>
      </c>
      <c r="G21" s="22">
        <v>16</v>
      </c>
      <c r="H21" s="22">
        <v>1</v>
      </c>
      <c r="I21" s="22">
        <v>17</v>
      </c>
      <c r="J21" s="22">
        <v>7</v>
      </c>
      <c r="K21" s="83">
        <v>24</v>
      </c>
    </row>
    <row r="22" spans="1:11">
      <c r="A22" s="75">
        <v>41011</v>
      </c>
      <c r="B22" s="46">
        <v>41021</v>
      </c>
      <c r="C22" s="571"/>
      <c r="D22" s="234" t="s">
        <v>258</v>
      </c>
      <c r="E22" s="22">
        <v>21</v>
      </c>
      <c r="F22" s="22">
        <v>0</v>
      </c>
      <c r="G22" s="22">
        <v>21</v>
      </c>
      <c r="H22" s="22">
        <v>2</v>
      </c>
      <c r="I22" s="22">
        <v>23</v>
      </c>
      <c r="J22" s="22">
        <v>9</v>
      </c>
      <c r="K22" s="83">
        <v>32</v>
      </c>
    </row>
    <row r="23" spans="1:11">
      <c r="A23" s="75">
        <v>42111</v>
      </c>
      <c r="B23" s="46">
        <v>42121</v>
      </c>
      <c r="C23" s="571" t="s">
        <v>626</v>
      </c>
      <c r="D23" s="234" t="s">
        <v>305</v>
      </c>
      <c r="E23" s="22">
        <v>18</v>
      </c>
      <c r="F23" s="22">
        <v>1</v>
      </c>
      <c r="G23" s="22">
        <v>19</v>
      </c>
      <c r="H23" s="22">
        <v>3</v>
      </c>
      <c r="I23" s="22">
        <v>22</v>
      </c>
      <c r="J23" s="22">
        <v>13</v>
      </c>
      <c r="K23" s="83">
        <v>35</v>
      </c>
    </row>
    <row r="24" spans="1:11">
      <c r="A24" s="75">
        <v>42411</v>
      </c>
      <c r="B24" s="46">
        <v>42421</v>
      </c>
      <c r="C24" s="571"/>
      <c r="D24" s="234" t="s">
        <v>339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83">
        <v>0</v>
      </c>
    </row>
    <row r="25" spans="1:11">
      <c r="A25" s="75">
        <v>42211</v>
      </c>
      <c r="B25" s="46">
        <v>42221</v>
      </c>
      <c r="C25" s="571"/>
      <c r="D25" s="234" t="s">
        <v>318</v>
      </c>
      <c r="E25" s="22">
        <v>11</v>
      </c>
      <c r="F25" s="22">
        <v>0</v>
      </c>
      <c r="G25" s="22">
        <v>11</v>
      </c>
      <c r="H25" s="22">
        <v>0</v>
      </c>
      <c r="I25" s="22">
        <v>11</v>
      </c>
      <c r="J25" s="22">
        <v>4</v>
      </c>
      <c r="K25" s="83">
        <v>15</v>
      </c>
    </row>
    <row r="26" spans="1:11">
      <c r="A26" s="75">
        <v>42011</v>
      </c>
      <c r="B26" s="46">
        <v>42021</v>
      </c>
      <c r="C26" s="571"/>
      <c r="D26" s="234" t="s">
        <v>290</v>
      </c>
      <c r="E26" s="22">
        <v>15</v>
      </c>
      <c r="F26" s="22">
        <v>0</v>
      </c>
      <c r="G26" s="22">
        <v>15</v>
      </c>
      <c r="H26" s="22">
        <v>2</v>
      </c>
      <c r="I26" s="22">
        <v>17</v>
      </c>
      <c r="J26" s="22">
        <v>11</v>
      </c>
      <c r="K26" s="83">
        <v>28</v>
      </c>
    </row>
    <row r="27" spans="1:11">
      <c r="A27" s="75">
        <v>42311</v>
      </c>
      <c r="B27" s="46">
        <v>42321</v>
      </c>
      <c r="C27" s="571"/>
      <c r="D27" s="234" t="s">
        <v>331</v>
      </c>
      <c r="E27" s="22">
        <v>7</v>
      </c>
      <c r="F27" s="22">
        <v>0</v>
      </c>
      <c r="G27" s="22">
        <v>7</v>
      </c>
      <c r="H27" s="22">
        <v>0</v>
      </c>
      <c r="I27" s="22">
        <v>7</v>
      </c>
      <c r="J27" s="22">
        <v>6</v>
      </c>
      <c r="K27" s="83">
        <v>13</v>
      </c>
    </row>
    <row r="28" spans="1:11">
      <c r="A28" s="75">
        <v>43211</v>
      </c>
      <c r="B28" s="46">
        <v>43221</v>
      </c>
      <c r="C28" s="571" t="s">
        <v>627</v>
      </c>
      <c r="D28" s="234" t="s">
        <v>364</v>
      </c>
      <c r="E28" s="22">
        <v>10</v>
      </c>
      <c r="F28" s="22">
        <v>5</v>
      </c>
      <c r="G28" s="22">
        <v>15</v>
      </c>
      <c r="H28" s="22">
        <v>3</v>
      </c>
      <c r="I28" s="22">
        <v>18</v>
      </c>
      <c r="J28" s="22">
        <v>11</v>
      </c>
      <c r="K28" s="83">
        <v>29</v>
      </c>
    </row>
    <row r="29" spans="1:11">
      <c r="A29" s="75">
        <v>43311</v>
      </c>
      <c r="B29" s="46">
        <v>43321</v>
      </c>
      <c r="C29" s="571"/>
      <c r="D29" s="234" t="s">
        <v>377</v>
      </c>
      <c r="E29" s="22">
        <v>3</v>
      </c>
      <c r="F29" s="22">
        <v>0</v>
      </c>
      <c r="G29" s="22">
        <v>3</v>
      </c>
      <c r="H29" s="22">
        <v>2</v>
      </c>
      <c r="I29" s="22">
        <v>5</v>
      </c>
      <c r="J29" s="22">
        <v>0</v>
      </c>
      <c r="K29" s="83">
        <v>5</v>
      </c>
    </row>
    <row r="30" spans="1:11">
      <c r="A30" s="75">
        <v>41200</v>
      </c>
      <c r="B30" s="46">
        <v>41220</v>
      </c>
      <c r="C30" s="571"/>
      <c r="D30" s="234" t="s">
        <v>103</v>
      </c>
      <c r="E30" s="22">
        <v>9</v>
      </c>
      <c r="F30" s="22">
        <v>0</v>
      </c>
      <c r="G30" s="22">
        <v>9</v>
      </c>
      <c r="H30" s="22">
        <v>5</v>
      </c>
      <c r="I30" s="22">
        <v>14</v>
      </c>
      <c r="J30" s="22">
        <v>3</v>
      </c>
      <c r="K30" s="83">
        <v>17</v>
      </c>
    </row>
    <row r="31" spans="1:11">
      <c r="A31" s="75">
        <v>40400</v>
      </c>
      <c r="B31" s="46">
        <v>40420</v>
      </c>
      <c r="C31" s="571"/>
      <c r="D31" s="234" t="s">
        <v>98</v>
      </c>
      <c r="E31" s="22">
        <v>2</v>
      </c>
      <c r="F31" s="22">
        <v>0</v>
      </c>
      <c r="G31" s="22">
        <v>2</v>
      </c>
      <c r="H31" s="22">
        <v>0</v>
      </c>
      <c r="I31" s="22">
        <v>2</v>
      </c>
      <c r="J31" s="22">
        <v>0</v>
      </c>
      <c r="K31" s="83">
        <v>2</v>
      </c>
    </row>
    <row r="32" spans="1:11">
      <c r="A32" s="75">
        <v>40000</v>
      </c>
      <c r="B32" s="46">
        <v>40020</v>
      </c>
      <c r="C32" s="84"/>
      <c r="D32" s="234" t="s">
        <v>87</v>
      </c>
      <c r="E32" s="22">
        <v>8</v>
      </c>
      <c r="F32" s="22">
        <v>1</v>
      </c>
      <c r="G32" s="22">
        <v>9</v>
      </c>
      <c r="H32" s="22">
        <v>0</v>
      </c>
      <c r="I32" s="22">
        <v>9</v>
      </c>
      <c r="J32" s="22">
        <v>0</v>
      </c>
      <c r="K32" s="83">
        <v>9</v>
      </c>
    </row>
    <row r="33" spans="1:11">
      <c r="A33" s="76"/>
      <c r="B33" s="56"/>
      <c r="C33" s="86"/>
      <c r="D33" s="80" t="s">
        <v>620</v>
      </c>
      <c r="E33" s="78">
        <v>129</v>
      </c>
      <c r="F33" s="78">
        <v>7</v>
      </c>
      <c r="G33" s="78">
        <v>136</v>
      </c>
      <c r="H33" s="78">
        <v>21</v>
      </c>
      <c r="I33" s="78">
        <v>157</v>
      </c>
      <c r="J33" s="78">
        <v>68</v>
      </c>
      <c r="K33" s="87">
        <v>225</v>
      </c>
    </row>
    <row r="34" spans="1:11">
      <c r="A34" s="75">
        <v>67211</v>
      </c>
      <c r="B34" s="46">
        <v>67221</v>
      </c>
      <c r="C34" s="571" t="s">
        <v>625</v>
      </c>
      <c r="D34" s="234" t="s">
        <v>476</v>
      </c>
      <c r="E34" s="22">
        <v>5</v>
      </c>
      <c r="F34" s="22">
        <v>0</v>
      </c>
      <c r="G34" s="22">
        <v>5</v>
      </c>
      <c r="H34" s="22">
        <v>2</v>
      </c>
      <c r="I34" s="22">
        <v>7</v>
      </c>
      <c r="J34" s="22">
        <v>5</v>
      </c>
      <c r="K34" s="83">
        <v>12</v>
      </c>
    </row>
    <row r="35" spans="1:11">
      <c r="A35" s="75">
        <v>68011</v>
      </c>
      <c r="B35" s="46">
        <v>68021</v>
      </c>
      <c r="C35" s="571"/>
      <c r="D35" s="234" t="s">
        <v>483</v>
      </c>
      <c r="E35" s="22">
        <v>3</v>
      </c>
      <c r="F35" s="22">
        <v>0</v>
      </c>
      <c r="G35" s="22">
        <v>3</v>
      </c>
      <c r="H35" s="22">
        <v>1</v>
      </c>
      <c r="I35" s="22">
        <v>4</v>
      </c>
      <c r="J35" s="22">
        <v>7</v>
      </c>
      <c r="K35" s="83">
        <v>11</v>
      </c>
    </row>
    <row r="36" spans="1:11">
      <c r="A36" s="75">
        <v>69211</v>
      </c>
      <c r="B36" s="46">
        <v>69221</v>
      </c>
      <c r="C36" s="571"/>
      <c r="D36" s="234" t="s">
        <v>508</v>
      </c>
      <c r="E36" s="22">
        <v>3</v>
      </c>
      <c r="F36" s="22">
        <v>0</v>
      </c>
      <c r="G36" s="79">
        <v>3</v>
      </c>
      <c r="H36" s="22">
        <v>1</v>
      </c>
      <c r="I36" s="22">
        <v>4</v>
      </c>
      <c r="J36" s="22">
        <v>0</v>
      </c>
      <c r="K36" s="83">
        <v>4</v>
      </c>
    </row>
    <row r="37" spans="1:11">
      <c r="A37" s="75">
        <v>69111</v>
      </c>
      <c r="B37" s="46">
        <v>69121</v>
      </c>
      <c r="C37" s="571"/>
      <c r="D37" s="234" t="s">
        <v>506</v>
      </c>
      <c r="E37" s="22">
        <v>1</v>
      </c>
      <c r="F37" s="22">
        <v>0</v>
      </c>
      <c r="G37" s="79">
        <v>1</v>
      </c>
      <c r="H37" s="22">
        <v>0</v>
      </c>
      <c r="I37" s="22">
        <v>1</v>
      </c>
      <c r="J37" s="22">
        <v>0</v>
      </c>
      <c r="K37" s="83">
        <v>1</v>
      </c>
    </row>
    <row r="38" spans="1:11">
      <c r="A38" s="75">
        <v>64011</v>
      </c>
      <c r="B38" s="46">
        <v>64021</v>
      </c>
      <c r="C38" s="571" t="s">
        <v>626</v>
      </c>
      <c r="D38" s="234" t="s">
        <v>416</v>
      </c>
      <c r="E38" s="22">
        <v>5</v>
      </c>
      <c r="F38" s="22">
        <v>0</v>
      </c>
      <c r="G38" s="22">
        <v>5</v>
      </c>
      <c r="H38" s="22">
        <v>3</v>
      </c>
      <c r="I38" s="22">
        <v>8</v>
      </c>
      <c r="J38" s="22">
        <v>4</v>
      </c>
      <c r="K38" s="83">
        <v>12</v>
      </c>
    </row>
    <row r="39" spans="1:11">
      <c r="A39" s="75">
        <v>64111</v>
      </c>
      <c r="B39" s="46">
        <v>64121</v>
      </c>
      <c r="C39" s="571"/>
      <c r="D39" s="234" t="s">
        <v>422</v>
      </c>
      <c r="E39" s="22">
        <v>3</v>
      </c>
      <c r="F39" s="22">
        <v>1</v>
      </c>
      <c r="G39" s="22">
        <v>4</v>
      </c>
      <c r="H39" s="22">
        <v>1</v>
      </c>
      <c r="I39" s="22">
        <v>5</v>
      </c>
      <c r="J39" s="22">
        <v>0</v>
      </c>
      <c r="K39" s="83">
        <v>5</v>
      </c>
    </row>
    <row r="40" spans="1:11">
      <c r="A40" s="75">
        <v>64211</v>
      </c>
      <c r="B40" s="46">
        <v>64221</v>
      </c>
      <c r="C40" s="571"/>
      <c r="D40" s="234" t="s">
        <v>429</v>
      </c>
      <c r="E40" s="22">
        <v>1</v>
      </c>
      <c r="F40" s="22">
        <v>0</v>
      </c>
      <c r="G40" s="22">
        <v>1</v>
      </c>
      <c r="H40" s="22">
        <v>0</v>
      </c>
      <c r="I40" s="22">
        <v>1</v>
      </c>
      <c r="J40" s="22">
        <v>0</v>
      </c>
      <c r="K40" s="83">
        <v>1</v>
      </c>
    </row>
    <row r="41" spans="1:11">
      <c r="A41" s="75">
        <v>67011</v>
      </c>
      <c r="B41" s="46">
        <v>67021</v>
      </c>
      <c r="C41" s="571"/>
      <c r="D41" s="234" t="s">
        <v>466</v>
      </c>
      <c r="E41" s="22">
        <v>9</v>
      </c>
      <c r="F41" s="22">
        <v>0</v>
      </c>
      <c r="G41" s="22">
        <v>9</v>
      </c>
      <c r="H41" s="22">
        <v>1</v>
      </c>
      <c r="I41" s="22">
        <v>10</v>
      </c>
      <c r="J41" s="22">
        <v>1</v>
      </c>
      <c r="K41" s="83">
        <v>11</v>
      </c>
    </row>
    <row r="42" spans="1:11">
      <c r="A42" s="75">
        <v>68111</v>
      </c>
      <c r="B42" s="46">
        <v>68121</v>
      </c>
      <c r="C42" s="571"/>
      <c r="D42" s="234" t="s">
        <v>485</v>
      </c>
      <c r="E42" s="22">
        <v>4</v>
      </c>
      <c r="F42" s="22">
        <v>1</v>
      </c>
      <c r="G42" s="22">
        <v>5</v>
      </c>
      <c r="H42" s="22">
        <v>0</v>
      </c>
      <c r="I42" s="22">
        <v>5</v>
      </c>
      <c r="J42" s="22">
        <v>0</v>
      </c>
      <c r="K42" s="83">
        <v>5</v>
      </c>
    </row>
    <row r="43" spans="1:11">
      <c r="A43" s="75">
        <v>64311</v>
      </c>
      <c r="B43" s="46">
        <v>64321</v>
      </c>
      <c r="C43" s="571"/>
      <c r="D43" s="234" t="s">
        <v>431</v>
      </c>
      <c r="E43" s="22">
        <v>1</v>
      </c>
      <c r="F43" s="22">
        <v>1</v>
      </c>
      <c r="G43" s="22">
        <v>2</v>
      </c>
      <c r="H43" s="22">
        <v>0</v>
      </c>
      <c r="I43" s="22">
        <v>2</v>
      </c>
      <c r="J43" s="22">
        <v>3</v>
      </c>
      <c r="K43" s="83">
        <v>5</v>
      </c>
    </row>
    <row r="44" spans="1:11">
      <c r="A44" s="75">
        <v>69011</v>
      </c>
      <c r="B44" s="46">
        <v>69021</v>
      </c>
      <c r="C44" s="571" t="s">
        <v>627</v>
      </c>
      <c r="D44" s="234" t="s">
        <v>489</v>
      </c>
      <c r="E44" s="22">
        <v>18</v>
      </c>
      <c r="F44" s="22">
        <v>1</v>
      </c>
      <c r="G44" s="22">
        <v>19</v>
      </c>
      <c r="H44" s="22">
        <v>2</v>
      </c>
      <c r="I44" s="22">
        <v>21</v>
      </c>
      <c r="J44" s="22">
        <v>18</v>
      </c>
      <c r="K44" s="83">
        <v>39</v>
      </c>
    </row>
    <row r="45" spans="1:11">
      <c r="A45" s="75">
        <v>60300</v>
      </c>
      <c r="B45" s="46">
        <v>60320</v>
      </c>
      <c r="C45" s="571"/>
      <c r="D45" s="234" t="s">
        <v>138</v>
      </c>
      <c r="E45" s="22">
        <v>8</v>
      </c>
      <c r="F45" s="22">
        <v>0</v>
      </c>
      <c r="G45" s="22">
        <v>8</v>
      </c>
      <c r="H45" s="22">
        <v>2</v>
      </c>
      <c r="I45" s="22">
        <v>10</v>
      </c>
      <c r="J45" s="22">
        <v>5</v>
      </c>
      <c r="K45" s="83">
        <v>15</v>
      </c>
    </row>
    <row r="46" spans="1:11">
      <c r="A46" s="75">
        <v>60411</v>
      </c>
      <c r="B46" s="46">
        <v>60421</v>
      </c>
      <c r="C46" s="571"/>
      <c r="D46" s="234" t="s">
        <v>411</v>
      </c>
      <c r="E46" s="22">
        <v>2</v>
      </c>
      <c r="F46" s="22">
        <v>1</v>
      </c>
      <c r="G46" s="22">
        <v>3</v>
      </c>
      <c r="H46" s="22">
        <v>3</v>
      </c>
      <c r="I46" s="22">
        <v>6</v>
      </c>
      <c r="J46" s="22">
        <v>3</v>
      </c>
      <c r="K46" s="83">
        <v>9</v>
      </c>
    </row>
    <row r="47" spans="1:11">
      <c r="A47" s="75">
        <v>65011</v>
      </c>
      <c r="B47" s="46">
        <v>65021</v>
      </c>
      <c r="C47" s="571" t="s">
        <v>628</v>
      </c>
      <c r="D47" s="234" t="s">
        <v>433</v>
      </c>
      <c r="E47" s="22">
        <v>14</v>
      </c>
      <c r="F47" s="22">
        <v>0</v>
      </c>
      <c r="G47" s="22">
        <v>14</v>
      </c>
      <c r="H47" s="22">
        <v>3</v>
      </c>
      <c r="I47" s="22">
        <v>17</v>
      </c>
      <c r="J47" s="22">
        <v>42</v>
      </c>
      <c r="K47" s="83">
        <v>59</v>
      </c>
    </row>
    <row r="48" spans="1:11">
      <c r="A48" s="75">
        <v>66011</v>
      </c>
      <c r="B48" s="46">
        <v>66021</v>
      </c>
      <c r="C48" s="571"/>
      <c r="D48" s="234" t="s">
        <v>449</v>
      </c>
      <c r="E48" s="22">
        <v>16</v>
      </c>
      <c r="F48" s="22">
        <v>4</v>
      </c>
      <c r="G48" s="22">
        <v>20</v>
      </c>
      <c r="H48" s="22">
        <v>2</v>
      </c>
      <c r="I48" s="22">
        <v>22</v>
      </c>
      <c r="J48" s="22">
        <v>8</v>
      </c>
      <c r="K48" s="83">
        <v>30</v>
      </c>
    </row>
    <row r="49" spans="1:11">
      <c r="A49" s="75">
        <v>61300</v>
      </c>
      <c r="B49" s="46">
        <v>61320</v>
      </c>
      <c r="C49" s="84"/>
      <c r="D49" s="234" t="s">
        <v>162</v>
      </c>
      <c r="E49" s="22">
        <v>8</v>
      </c>
      <c r="F49" s="22">
        <v>1</v>
      </c>
      <c r="G49" s="22">
        <v>9</v>
      </c>
      <c r="H49" s="22">
        <v>1</v>
      </c>
      <c r="I49" s="22">
        <v>10</v>
      </c>
      <c r="J49" s="22">
        <v>0</v>
      </c>
      <c r="K49" s="83">
        <v>10</v>
      </c>
    </row>
    <row r="50" spans="1:11">
      <c r="A50" s="76"/>
      <c r="B50" s="56"/>
      <c r="C50" s="86"/>
      <c r="D50" s="80" t="s">
        <v>619</v>
      </c>
      <c r="E50" s="78">
        <v>101</v>
      </c>
      <c r="F50" s="78">
        <v>10</v>
      </c>
      <c r="G50" s="78">
        <v>111</v>
      </c>
      <c r="H50" s="78">
        <v>22</v>
      </c>
      <c r="I50" s="78">
        <v>133</v>
      </c>
      <c r="J50" s="78">
        <v>96</v>
      </c>
      <c r="K50" s="87">
        <v>229</v>
      </c>
    </row>
    <row r="51" spans="1:11">
      <c r="A51" s="75">
        <v>44011</v>
      </c>
      <c r="B51" s="46">
        <v>44021</v>
      </c>
      <c r="C51" s="571" t="s">
        <v>625</v>
      </c>
      <c r="D51" s="234" t="s">
        <v>381</v>
      </c>
      <c r="E51" s="22">
        <v>3</v>
      </c>
      <c r="F51" s="22">
        <v>0</v>
      </c>
      <c r="G51" s="22">
        <v>3</v>
      </c>
      <c r="H51" s="22">
        <v>1</v>
      </c>
      <c r="I51" s="22">
        <v>4</v>
      </c>
      <c r="J51" s="22">
        <v>1</v>
      </c>
      <c r="K51" s="83">
        <v>5</v>
      </c>
    </row>
    <row r="52" spans="1:11">
      <c r="A52" s="75">
        <v>44111</v>
      </c>
      <c r="B52" s="46">
        <v>44121</v>
      </c>
      <c r="C52" s="571"/>
      <c r="D52" s="234" t="s">
        <v>383</v>
      </c>
      <c r="E52" s="22">
        <v>3</v>
      </c>
      <c r="F52" s="22">
        <v>0</v>
      </c>
      <c r="G52" s="22">
        <v>3</v>
      </c>
      <c r="H52" s="22">
        <v>0</v>
      </c>
      <c r="I52" s="22">
        <v>3</v>
      </c>
      <c r="J52" s="22">
        <v>0</v>
      </c>
      <c r="K52" s="83">
        <v>3</v>
      </c>
    </row>
    <row r="53" spans="1:11">
      <c r="A53" s="75">
        <v>44511</v>
      </c>
      <c r="B53" s="46">
        <v>44521</v>
      </c>
      <c r="C53" s="571"/>
      <c r="D53" s="234" t="s">
        <v>389</v>
      </c>
      <c r="E53" s="22">
        <v>6</v>
      </c>
      <c r="F53" s="22">
        <v>0</v>
      </c>
      <c r="G53" s="22">
        <v>6</v>
      </c>
      <c r="H53" s="22">
        <v>1</v>
      </c>
      <c r="I53" s="22">
        <v>7</v>
      </c>
      <c r="J53" s="22">
        <v>2</v>
      </c>
      <c r="K53" s="83">
        <v>9</v>
      </c>
    </row>
    <row r="54" spans="1:11">
      <c r="A54" s="75">
        <v>45111</v>
      </c>
      <c r="B54" s="46">
        <v>45121</v>
      </c>
      <c r="C54" s="571"/>
      <c r="D54" s="234" t="s">
        <v>396</v>
      </c>
      <c r="E54" s="22">
        <v>14</v>
      </c>
      <c r="F54" s="22">
        <v>0</v>
      </c>
      <c r="G54" s="22">
        <v>14</v>
      </c>
      <c r="H54" s="22">
        <v>1</v>
      </c>
      <c r="I54" s="22">
        <v>15</v>
      </c>
      <c r="J54" s="22">
        <v>9</v>
      </c>
      <c r="K54" s="83">
        <v>24</v>
      </c>
    </row>
    <row r="55" spans="1:11">
      <c r="A55" s="75">
        <v>44200</v>
      </c>
      <c r="B55" s="46">
        <v>44220</v>
      </c>
      <c r="C55" s="232" t="s">
        <v>626</v>
      </c>
      <c r="D55" s="234" t="s">
        <v>114</v>
      </c>
      <c r="E55" s="22">
        <v>6</v>
      </c>
      <c r="F55" s="22">
        <v>2</v>
      </c>
      <c r="G55" s="22">
        <v>8</v>
      </c>
      <c r="H55" s="22">
        <v>2</v>
      </c>
      <c r="I55" s="22">
        <v>10</v>
      </c>
      <c r="J55" s="22">
        <v>1</v>
      </c>
      <c r="K55" s="83">
        <v>11</v>
      </c>
    </row>
    <row r="56" spans="1:11">
      <c r="A56" s="76"/>
      <c r="B56" s="56"/>
      <c r="C56" s="86"/>
      <c r="D56" s="80" t="s">
        <v>618</v>
      </c>
      <c r="E56" s="78">
        <v>32</v>
      </c>
      <c r="F56" s="78">
        <v>2</v>
      </c>
      <c r="G56" s="78">
        <v>34</v>
      </c>
      <c r="H56" s="78">
        <v>5</v>
      </c>
      <c r="I56" s="78">
        <v>39</v>
      </c>
      <c r="J56" s="78">
        <v>13</v>
      </c>
      <c r="K56" s="87">
        <v>52</v>
      </c>
    </row>
    <row r="57" spans="1:11">
      <c r="A57" s="75">
        <v>20000</v>
      </c>
      <c r="B57" s="46">
        <v>20020</v>
      </c>
      <c r="C57" s="84"/>
      <c r="D57" s="234" t="s">
        <v>45</v>
      </c>
      <c r="E57" s="22">
        <v>2</v>
      </c>
      <c r="F57" s="22">
        <v>1</v>
      </c>
      <c r="G57" s="22">
        <v>3</v>
      </c>
      <c r="H57" s="22">
        <v>0</v>
      </c>
      <c r="I57" s="22">
        <v>3</v>
      </c>
      <c r="J57" s="22">
        <v>0</v>
      </c>
      <c r="K57" s="83">
        <v>3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v>2</v>
      </c>
      <c r="F58" s="22">
        <v>1</v>
      </c>
      <c r="G58" s="22">
        <v>3</v>
      </c>
      <c r="H58" s="22">
        <v>0</v>
      </c>
      <c r="I58" s="22">
        <v>3</v>
      </c>
      <c r="J58" s="22">
        <v>1</v>
      </c>
      <c r="K58" s="83">
        <v>4</v>
      </c>
    </row>
    <row r="59" spans="1:11">
      <c r="A59" s="75">
        <v>22000</v>
      </c>
      <c r="B59" s="46">
        <v>22020</v>
      </c>
      <c r="C59" s="84"/>
      <c r="D59" s="234" t="s">
        <v>49</v>
      </c>
      <c r="E59" s="22">
        <v>3</v>
      </c>
      <c r="F59" s="22">
        <v>2</v>
      </c>
      <c r="G59" s="22">
        <v>5</v>
      </c>
      <c r="H59" s="22">
        <v>0</v>
      </c>
      <c r="I59" s="22">
        <v>5</v>
      </c>
      <c r="J59" s="22">
        <v>1</v>
      </c>
      <c r="K59" s="83">
        <v>6</v>
      </c>
    </row>
    <row r="60" spans="1:11">
      <c r="A60" s="75">
        <v>60000</v>
      </c>
      <c r="B60" s="46">
        <v>60020</v>
      </c>
      <c r="C60" s="84"/>
      <c r="D60" s="234" t="s">
        <v>131</v>
      </c>
      <c r="E60" s="22">
        <v>2</v>
      </c>
      <c r="F60" s="22">
        <v>2</v>
      </c>
      <c r="G60" s="22">
        <v>4</v>
      </c>
      <c r="H60" s="22">
        <v>1</v>
      </c>
      <c r="I60" s="22">
        <v>5</v>
      </c>
      <c r="J60" s="22"/>
      <c r="K60" s="83">
        <v>5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v>1</v>
      </c>
      <c r="F61" s="22">
        <v>2</v>
      </c>
      <c r="G61" s="22">
        <v>3</v>
      </c>
      <c r="H61" s="22">
        <v>0</v>
      </c>
      <c r="I61" s="22">
        <v>3</v>
      </c>
      <c r="J61" s="22"/>
      <c r="K61" s="83">
        <v>3</v>
      </c>
    </row>
    <row r="62" spans="1:11">
      <c r="A62" s="75">
        <v>60200</v>
      </c>
      <c r="B62" s="46">
        <v>60220</v>
      </c>
      <c r="C62" s="84"/>
      <c r="D62" s="234" t="s">
        <v>134</v>
      </c>
      <c r="E62" s="22">
        <v>3</v>
      </c>
      <c r="F62" s="22">
        <v>1</v>
      </c>
      <c r="G62" s="22">
        <v>4</v>
      </c>
      <c r="H62" s="22">
        <v>0</v>
      </c>
      <c r="I62" s="22">
        <v>4</v>
      </c>
      <c r="J62" s="22"/>
      <c r="K62" s="83">
        <v>4</v>
      </c>
    </row>
    <row r="63" spans="1:11">
      <c r="A63" s="76"/>
      <c r="B63" s="56"/>
      <c r="C63" s="86"/>
      <c r="D63" s="80" t="s">
        <v>616</v>
      </c>
      <c r="E63" s="78">
        <v>13</v>
      </c>
      <c r="F63" s="78">
        <v>9</v>
      </c>
      <c r="G63" s="78">
        <v>22</v>
      </c>
      <c r="H63" s="78">
        <v>1</v>
      </c>
      <c r="I63" s="78">
        <v>23</v>
      </c>
      <c r="J63" s="78">
        <v>2</v>
      </c>
      <c r="K63" s="87">
        <v>25</v>
      </c>
    </row>
    <row r="64" spans="1:11">
      <c r="A64" s="75">
        <v>30000</v>
      </c>
      <c r="B64" s="46">
        <v>30020</v>
      </c>
      <c r="C64" s="84"/>
      <c r="D64" s="234" t="s">
        <v>53</v>
      </c>
      <c r="E64" s="22">
        <v>15</v>
      </c>
      <c r="F64" s="22">
        <v>1</v>
      </c>
      <c r="G64" s="22">
        <v>16</v>
      </c>
      <c r="H64" s="22">
        <v>3</v>
      </c>
      <c r="I64" s="22">
        <v>19</v>
      </c>
      <c r="J64" s="22">
        <v>1</v>
      </c>
      <c r="K64" s="83">
        <v>20</v>
      </c>
    </row>
    <row r="65" spans="1:11">
      <c r="A65" s="75">
        <v>31000</v>
      </c>
      <c r="B65" s="46">
        <v>31020</v>
      </c>
      <c r="C65" s="84"/>
      <c r="D65" s="234" t="s">
        <v>72</v>
      </c>
      <c r="E65" s="22">
        <v>7</v>
      </c>
      <c r="F65" s="22">
        <v>1</v>
      </c>
      <c r="G65" s="22">
        <v>8</v>
      </c>
      <c r="H65" s="22">
        <v>1</v>
      </c>
      <c r="I65" s="22">
        <v>9</v>
      </c>
      <c r="J65" s="22">
        <v>0</v>
      </c>
      <c r="K65" s="83">
        <v>9</v>
      </c>
    </row>
    <row r="66" spans="1:11">
      <c r="A66" s="75">
        <v>32000</v>
      </c>
      <c r="B66" s="46">
        <v>32020</v>
      </c>
      <c r="C66" s="84"/>
      <c r="D66" s="234" t="s">
        <v>81</v>
      </c>
      <c r="E66" s="22">
        <v>2</v>
      </c>
      <c r="F66" s="22">
        <v>0</v>
      </c>
      <c r="G66" s="22">
        <v>2</v>
      </c>
      <c r="H66" s="22">
        <v>0</v>
      </c>
      <c r="I66" s="22">
        <v>2</v>
      </c>
      <c r="J66" s="22">
        <v>0</v>
      </c>
      <c r="K66" s="83">
        <v>2</v>
      </c>
    </row>
    <row r="67" spans="1:11">
      <c r="A67" s="75">
        <v>33000</v>
      </c>
      <c r="B67" s="46">
        <v>33020</v>
      </c>
      <c r="C67" s="84"/>
      <c r="D67" s="234" t="s">
        <v>84</v>
      </c>
      <c r="E67" s="22">
        <v>2</v>
      </c>
      <c r="F67" s="22">
        <v>0</v>
      </c>
      <c r="G67" s="22">
        <v>2</v>
      </c>
      <c r="H67" s="22">
        <v>0</v>
      </c>
      <c r="I67" s="22">
        <v>2</v>
      </c>
      <c r="J67" s="22">
        <v>3</v>
      </c>
      <c r="K67" s="83">
        <v>5</v>
      </c>
    </row>
    <row r="68" spans="1:11">
      <c r="A68" s="75">
        <v>61000</v>
      </c>
      <c r="B68" s="46">
        <v>61020</v>
      </c>
      <c r="C68" s="84"/>
      <c r="D68" s="234" t="s">
        <v>147</v>
      </c>
      <c r="E68" s="22">
        <v>11</v>
      </c>
      <c r="F68" s="22">
        <v>1</v>
      </c>
      <c r="G68" s="22">
        <v>12</v>
      </c>
      <c r="H68" s="22">
        <v>2</v>
      </c>
      <c r="I68" s="22">
        <v>14</v>
      </c>
      <c r="J68" s="22">
        <v>0</v>
      </c>
      <c r="K68" s="83">
        <v>14</v>
      </c>
    </row>
    <row r="69" spans="1:11">
      <c r="A69" s="2">
        <v>61200</v>
      </c>
      <c r="B69" s="46">
        <v>61220</v>
      </c>
      <c r="C69" s="84"/>
      <c r="D69" s="234" t="s">
        <v>158</v>
      </c>
      <c r="E69" s="22">
        <v>4</v>
      </c>
      <c r="F69" s="22">
        <v>1</v>
      </c>
      <c r="G69" s="22">
        <v>5</v>
      </c>
      <c r="H69" s="22">
        <v>4</v>
      </c>
      <c r="I69" s="22">
        <v>9</v>
      </c>
      <c r="J69" s="22">
        <v>2</v>
      </c>
      <c r="K69" s="83">
        <v>11</v>
      </c>
    </row>
    <row r="70" spans="1:11">
      <c r="B70" s="56"/>
      <c r="C70" s="86"/>
      <c r="D70" s="80" t="s">
        <v>617</v>
      </c>
      <c r="E70" s="78">
        <v>41</v>
      </c>
      <c r="F70" s="78">
        <v>4</v>
      </c>
      <c r="G70" s="78">
        <v>45</v>
      </c>
      <c r="H70" s="78">
        <v>10</v>
      </c>
      <c r="I70" s="78">
        <v>55</v>
      </c>
      <c r="J70" s="78">
        <v>6</v>
      </c>
      <c r="K70" s="87">
        <v>61</v>
      </c>
    </row>
    <row r="71" spans="1:11" ht="18.600000000000001" thickBot="1">
      <c r="C71" s="89"/>
      <c r="D71" s="235" t="s">
        <v>642</v>
      </c>
      <c r="E71" s="90">
        <v>396</v>
      </c>
      <c r="F71" s="90">
        <v>50</v>
      </c>
      <c r="G71" s="90">
        <v>446</v>
      </c>
      <c r="H71" s="90">
        <v>72</v>
      </c>
      <c r="I71" s="90">
        <v>518</v>
      </c>
      <c r="J71" s="90">
        <v>189</v>
      </c>
      <c r="K71" s="91">
        <v>707</v>
      </c>
    </row>
    <row r="74" spans="1:11">
      <c r="D74" s="236" t="s">
        <v>812</v>
      </c>
    </row>
    <row r="75" spans="1:11">
      <c r="D75" s="236" t="s">
        <v>813</v>
      </c>
    </row>
  </sheetData>
  <mergeCells count="18">
    <mergeCell ref="C47:C48"/>
    <mergeCell ref="C51:C54"/>
    <mergeCell ref="C20:C22"/>
    <mergeCell ref="C23:C27"/>
    <mergeCell ref="C28:C31"/>
    <mergeCell ref="C34:C37"/>
    <mergeCell ref="C38:C43"/>
    <mergeCell ref="C44:C46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87"/>
  <sheetViews>
    <sheetView topLeftCell="A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28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806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2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225"/>
      <c r="C5" s="576"/>
      <c r="D5" s="577"/>
      <c r="E5" s="226" t="s">
        <v>69</v>
      </c>
      <c r="F5" s="226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225">
        <v>202</v>
      </c>
      <c r="C6" s="224"/>
      <c r="D6" s="226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f>G6+H6+J6</f>
        <v>0</v>
      </c>
    </row>
    <row r="7" spans="1:11" ht="16.5" hidden="1" customHeight="1">
      <c r="A7" s="77">
        <v>210</v>
      </c>
      <c r="B7" s="225">
        <v>211</v>
      </c>
      <c r="C7" s="224"/>
      <c r="D7" s="226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f>G7+H7+J7</f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f>SUM(K9:K10)</f>
        <v>10</v>
      </c>
    </row>
    <row r="9" spans="1:11">
      <c r="A9" s="75">
        <v>11000</v>
      </c>
      <c r="B9" s="46">
        <v>11020</v>
      </c>
      <c r="C9" s="84"/>
      <c r="D9" s="226" t="s">
        <v>26</v>
      </c>
      <c r="E9" s="22">
        <v>6</v>
      </c>
      <c r="F9" s="22">
        <v>4</v>
      </c>
      <c r="G9" s="22">
        <v>10</v>
      </c>
      <c r="H9" s="22">
        <v>0</v>
      </c>
      <c r="I9" s="22">
        <v>10</v>
      </c>
      <c r="J9" s="22"/>
      <c r="K9" s="83">
        <f>G9+H9+J9</f>
        <v>10</v>
      </c>
    </row>
    <row r="10" spans="1:11">
      <c r="A10" s="75">
        <v>90000</v>
      </c>
      <c r="B10" s="46">
        <v>90020</v>
      </c>
      <c r="C10" s="84"/>
      <c r="D10" s="226" t="s">
        <v>644</v>
      </c>
      <c r="E10" s="101">
        <v>0</v>
      </c>
      <c r="F10" s="22">
        <v>0</v>
      </c>
      <c r="G10" s="22">
        <v>0</v>
      </c>
      <c r="H10" s="22">
        <v>0</v>
      </c>
      <c r="I10" s="22">
        <v>0</v>
      </c>
      <c r="J10" s="22"/>
      <c r="K10" s="83">
        <f>G10+H10+J10</f>
        <v>0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f>SUM(K12)</f>
        <v>11</v>
      </c>
    </row>
    <row r="12" spans="1:11">
      <c r="A12" s="76">
        <v>1000</v>
      </c>
      <c r="B12" s="46">
        <v>1020</v>
      </c>
      <c r="C12" s="84"/>
      <c r="D12" s="226" t="s">
        <v>218</v>
      </c>
      <c r="E12" s="22">
        <v>8</v>
      </c>
      <c r="F12" s="22">
        <v>3</v>
      </c>
      <c r="G12" s="22">
        <v>11</v>
      </c>
      <c r="H12" s="22">
        <v>0</v>
      </c>
      <c r="I12" s="22">
        <v>11</v>
      </c>
      <c r="J12" s="22">
        <v>0</v>
      </c>
      <c r="K12" s="83">
        <f>G12+H12+J12</f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f>SUM(K14:K16)</f>
        <v>21</v>
      </c>
    </row>
    <row r="14" spans="1:11">
      <c r="A14" s="76"/>
      <c r="B14" s="56"/>
      <c r="C14" s="85"/>
      <c r="D14" s="226" t="s">
        <v>648</v>
      </c>
      <c r="E14" s="22">
        <v>3</v>
      </c>
      <c r="F14" s="22">
        <v>2</v>
      </c>
      <c r="G14" s="22">
        <v>5</v>
      </c>
      <c r="H14" s="22">
        <v>0</v>
      </c>
      <c r="I14" s="22">
        <v>5</v>
      </c>
      <c r="J14" s="22">
        <v>0</v>
      </c>
      <c r="K14" s="83">
        <f>G14+H14+J14</f>
        <v>5</v>
      </c>
    </row>
    <row r="15" spans="1:11">
      <c r="A15" s="75">
        <v>50000</v>
      </c>
      <c r="B15" s="46">
        <v>50020</v>
      </c>
      <c r="C15" s="85"/>
      <c r="D15" s="226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f>G15+H15+J15</f>
        <v>13</v>
      </c>
    </row>
    <row r="16" spans="1:11">
      <c r="A16" s="75">
        <v>51000</v>
      </c>
      <c r="B16" s="46">
        <v>51020</v>
      </c>
      <c r="C16" s="85"/>
      <c r="D16" s="226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f>G16+H16+J16</f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f>SUM(K15:K16)</f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f>SUM(K19:K21)</f>
        <v>22</v>
      </c>
    </row>
    <row r="19" spans="1:15">
      <c r="A19" s="75">
        <v>80000</v>
      </c>
      <c r="B19" s="46">
        <v>80020</v>
      </c>
      <c r="C19" s="586" t="s">
        <v>643</v>
      </c>
      <c r="D19" s="226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>
        <v>0</v>
      </c>
      <c r="K19" s="83">
        <f>G19+H19+J19</f>
        <v>6</v>
      </c>
    </row>
    <row r="20" spans="1:15">
      <c r="A20" s="75">
        <v>41111</v>
      </c>
      <c r="B20" s="46">
        <v>41121</v>
      </c>
      <c r="C20" s="576"/>
      <c r="D20" s="226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>
        <v>0</v>
      </c>
      <c r="K20" s="83">
        <f>G20+H20+J20</f>
        <v>7</v>
      </c>
    </row>
    <row r="21" spans="1:15">
      <c r="A21" s="75">
        <v>43011</v>
      </c>
      <c r="B21" s="46">
        <v>43021</v>
      </c>
      <c r="C21" s="229" t="s">
        <v>647</v>
      </c>
      <c r="D21" s="226" t="s">
        <v>165</v>
      </c>
      <c r="E21" s="22">
        <v>7</v>
      </c>
      <c r="F21" s="22">
        <v>1</v>
      </c>
      <c r="G21" s="22">
        <v>8</v>
      </c>
      <c r="H21" s="22">
        <v>1</v>
      </c>
      <c r="I21" s="22">
        <v>9</v>
      </c>
      <c r="J21" s="22"/>
      <c r="K21" s="83">
        <f>G21+H21+J21</f>
        <v>9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f>K23</f>
        <v>51</v>
      </c>
    </row>
    <row r="23" spans="1:15">
      <c r="A23" s="75">
        <v>42111</v>
      </c>
      <c r="B23" s="46">
        <v>42121</v>
      </c>
      <c r="C23" s="84"/>
      <c r="D23" s="226" t="s">
        <v>172</v>
      </c>
      <c r="E23" s="22">
        <v>40</v>
      </c>
      <c r="F23" s="22">
        <v>3</v>
      </c>
      <c r="G23" s="22">
        <v>43</v>
      </c>
      <c r="H23" s="22">
        <v>8</v>
      </c>
      <c r="I23" s="22">
        <v>51</v>
      </c>
      <c r="J23" s="22"/>
      <c r="K23" s="83">
        <f t="shared" ref="K23:K39" si="0">G23+H23+J23</f>
        <v>51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f>K25+K40+K58+K64</f>
        <v>524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128</v>
      </c>
      <c r="F25" s="78">
        <v>7</v>
      </c>
      <c r="G25" s="78">
        <v>135</v>
      </c>
      <c r="H25" s="78">
        <v>22</v>
      </c>
      <c r="I25" s="78">
        <v>157</v>
      </c>
      <c r="J25" s="78">
        <v>66</v>
      </c>
      <c r="K25" s="87">
        <f>SUM(K26:K39)</f>
        <v>223</v>
      </c>
      <c r="L25" s="94"/>
    </row>
    <row r="26" spans="1:15">
      <c r="A26" s="75">
        <v>42011</v>
      </c>
      <c r="B26" s="46">
        <v>42021</v>
      </c>
      <c r="C26" s="586" t="s">
        <v>625</v>
      </c>
      <c r="D26" s="226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4</v>
      </c>
      <c r="K26" s="83">
        <f t="shared" si="0"/>
        <v>16</v>
      </c>
    </row>
    <row r="27" spans="1:15">
      <c r="A27" s="75">
        <v>42311</v>
      </c>
      <c r="B27" s="46">
        <v>42321</v>
      </c>
      <c r="C27" s="575"/>
      <c r="D27" s="226" t="s">
        <v>349</v>
      </c>
      <c r="E27" s="22">
        <v>16</v>
      </c>
      <c r="F27" s="22">
        <v>0</v>
      </c>
      <c r="G27" s="22">
        <v>16</v>
      </c>
      <c r="H27" s="22">
        <v>1</v>
      </c>
      <c r="I27" s="22">
        <v>17</v>
      </c>
      <c r="J27" s="101">
        <v>9</v>
      </c>
      <c r="K27" s="83">
        <f t="shared" si="0"/>
        <v>26</v>
      </c>
    </row>
    <row r="28" spans="1:15">
      <c r="A28" s="75">
        <v>43211</v>
      </c>
      <c r="B28" s="46">
        <v>43221</v>
      </c>
      <c r="C28" s="576"/>
      <c r="D28" s="226" t="s">
        <v>258</v>
      </c>
      <c r="E28" s="22">
        <v>21</v>
      </c>
      <c r="F28" s="22">
        <v>0</v>
      </c>
      <c r="G28" s="22">
        <v>21</v>
      </c>
      <c r="H28" s="22">
        <v>2</v>
      </c>
      <c r="I28" s="22">
        <v>23</v>
      </c>
      <c r="J28" s="101">
        <v>9</v>
      </c>
      <c r="K28" s="83">
        <f t="shared" si="0"/>
        <v>32</v>
      </c>
    </row>
    <row r="29" spans="1:15">
      <c r="A29" s="75">
        <v>43311</v>
      </c>
      <c r="B29" s="46">
        <v>43321</v>
      </c>
      <c r="C29" s="571" t="s">
        <v>626</v>
      </c>
      <c r="D29" s="226" t="s">
        <v>305</v>
      </c>
      <c r="E29" s="22">
        <v>18</v>
      </c>
      <c r="F29" s="22">
        <v>1</v>
      </c>
      <c r="G29" s="22">
        <v>19</v>
      </c>
      <c r="H29" s="22">
        <v>3</v>
      </c>
      <c r="I29" s="22">
        <v>22</v>
      </c>
      <c r="J29" s="101">
        <v>11</v>
      </c>
      <c r="K29" s="83">
        <f t="shared" si="0"/>
        <v>33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226" t="s">
        <v>339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101"/>
      <c r="K30" s="83">
        <f t="shared" si="0"/>
        <v>0</v>
      </c>
      <c r="L30" s="588"/>
      <c r="M30" s="589"/>
      <c r="N30" s="589"/>
      <c r="O30" s="589"/>
    </row>
    <row r="31" spans="1:15">
      <c r="A31" s="75"/>
      <c r="C31" s="571"/>
      <c r="D31" s="226"/>
      <c r="E31" s="22"/>
      <c r="F31" s="22"/>
      <c r="G31" s="22"/>
      <c r="H31" s="22"/>
      <c r="I31" s="22"/>
      <c r="J31" s="101"/>
      <c r="K31" s="83"/>
      <c r="L31" s="230"/>
      <c r="M31" s="230"/>
      <c r="N31" s="230"/>
      <c r="O31" s="230"/>
    </row>
    <row r="32" spans="1:15">
      <c r="A32" s="75">
        <v>40400</v>
      </c>
      <c r="B32" s="46">
        <v>40420</v>
      </c>
      <c r="C32" s="571"/>
      <c r="D32" s="226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f t="shared" si="0"/>
        <v>15</v>
      </c>
    </row>
    <row r="33" spans="1:14">
      <c r="A33" s="75">
        <v>40000</v>
      </c>
      <c r="B33" s="46">
        <v>40020</v>
      </c>
      <c r="C33" s="571"/>
      <c r="D33" s="226" t="s">
        <v>290</v>
      </c>
      <c r="E33" s="22">
        <v>15</v>
      </c>
      <c r="F33" s="22">
        <v>0</v>
      </c>
      <c r="G33" s="22">
        <v>15</v>
      </c>
      <c r="H33" s="22">
        <v>2</v>
      </c>
      <c r="I33" s="22">
        <v>17</v>
      </c>
      <c r="J33" s="101">
        <v>10</v>
      </c>
      <c r="K33" s="83">
        <f t="shared" si="0"/>
        <v>27</v>
      </c>
    </row>
    <row r="34" spans="1:14">
      <c r="A34" s="76"/>
      <c r="B34" s="56"/>
      <c r="C34" s="571"/>
      <c r="D34" s="226" t="s">
        <v>674</v>
      </c>
      <c r="E34" s="22">
        <v>6</v>
      </c>
      <c r="F34" s="22">
        <v>0</v>
      </c>
      <c r="G34" s="22">
        <v>6</v>
      </c>
      <c r="H34" s="22">
        <v>0</v>
      </c>
      <c r="I34" s="22">
        <v>6</v>
      </c>
      <c r="J34" s="101">
        <v>6</v>
      </c>
      <c r="K34" s="83">
        <f t="shared" si="0"/>
        <v>12</v>
      </c>
    </row>
    <row r="35" spans="1:14">
      <c r="A35" s="75">
        <v>67211</v>
      </c>
      <c r="B35" s="46">
        <v>67221</v>
      </c>
      <c r="C35" s="571" t="s">
        <v>627</v>
      </c>
      <c r="D35" s="226" t="s">
        <v>364</v>
      </c>
      <c r="E35" s="22">
        <v>10</v>
      </c>
      <c r="F35" s="22">
        <v>5</v>
      </c>
      <c r="G35" s="22">
        <v>15</v>
      </c>
      <c r="H35" s="22">
        <v>3</v>
      </c>
      <c r="I35" s="22">
        <v>18</v>
      </c>
      <c r="J35" s="101">
        <v>10</v>
      </c>
      <c r="K35" s="83">
        <f t="shared" si="0"/>
        <v>28</v>
      </c>
      <c r="L35">
        <v>2</v>
      </c>
    </row>
    <row r="36" spans="1:14">
      <c r="A36" s="75">
        <v>68011</v>
      </c>
      <c r="B36" s="46">
        <v>68021</v>
      </c>
      <c r="C36" s="571"/>
      <c r="D36" s="226" t="s">
        <v>377</v>
      </c>
      <c r="E36" s="22">
        <v>3</v>
      </c>
      <c r="F36" s="22">
        <v>0</v>
      </c>
      <c r="G36" s="22">
        <v>3</v>
      </c>
      <c r="H36" s="22">
        <v>2</v>
      </c>
      <c r="I36" s="22">
        <v>5</v>
      </c>
      <c r="J36" s="101">
        <v>0</v>
      </c>
      <c r="K36" s="83">
        <f t="shared" si="0"/>
        <v>5</v>
      </c>
    </row>
    <row r="37" spans="1:14">
      <c r="A37" s="75">
        <v>69211</v>
      </c>
      <c r="B37" s="46">
        <v>69221</v>
      </c>
      <c r="C37" s="571"/>
      <c r="D37" s="226" t="s">
        <v>103</v>
      </c>
      <c r="E37" s="22">
        <v>8</v>
      </c>
      <c r="F37" s="22">
        <v>0</v>
      </c>
      <c r="G37" s="22">
        <v>8</v>
      </c>
      <c r="H37" s="22">
        <v>5</v>
      </c>
      <c r="I37" s="22">
        <v>13</v>
      </c>
      <c r="J37" s="101">
        <v>3</v>
      </c>
      <c r="K37" s="83">
        <f t="shared" si="0"/>
        <v>16</v>
      </c>
    </row>
    <row r="38" spans="1:14">
      <c r="A38" s="75">
        <v>69111</v>
      </c>
      <c r="B38" s="46">
        <v>69121</v>
      </c>
      <c r="C38" s="571"/>
      <c r="D38" s="226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0</v>
      </c>
      <c r="K38" s="83">
        <f t="shared" si="0"/>
        <v>4</v>
      </c>
    </row>
    <row r="39" spans="1:14">
      <c r="A39" s="75">
        <v>64011</v>
      </c>
      <c r="B39" s="46">
        <v>64021</v>
      </c>
      <c r="C39" s="84"/>
      <c r="D39" s="226" t="s">
        <v>87</v>
      </c>
      <c r="E39" s="22">
        <v>7</v>
      </c>
      <c r="F39" s="22">
        <v>1</v>
      </c>
      <c r="G39" s="22">
        <v>8</v>
      </c>
      <c r="H39" s="22">
        <v>1</v>
      </c>
      <c r="I39" s="22">
        <v>9</v>
      </c>
      <c r="J39" s="101">
        <v>0</v>
      </c>
      <c r="K39" s="83">
        <f t="shared" si="0"/>
        <v>9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102</v>
      </c>
      <c r="F40" s="78">
        <v>10</v>
      </c>
      <c r="G40" s="78">
        <v>112</v>
      </c>
      <c r="H40" s="78">
        <v>22</v>
      </c>
      <c r="I40" s="78">
        <v>134</v>
      </c>
      <c r="J40" s="78">
        <v>93</v>
      </c>
      <c r="K40" s="87">
        <f>SUM(K41:K57)</f>
        <v>227</v>
      </c>
    </row>
    <row r="41" spans="1:14">
      <c r="A41" s="75">
        <v>64211</v>
      </c>
      <c r="B41" s="46">
        <v>64221</v>
      </c>
      <c r="C41" s="586" t="s">
        <v>625</v>
      </c>
      <c r="D41" s="226" t="s">
        <v>476</v>
      </c>
      <c r="E41" s="22">
        <v>5</v>
      </c>
      <c r="F41" s="22">
        <v>0</v>
      </c>
      <c r="G41" s="22">
        <v>5</v>
      </c>
      <c r="H41" s="22">
        <v>2</v>
      </c>
      <c r="I41" s="22">
        <v>7</v>
      </c>
      <c r="J41" s="22">
        <v>4</v>
      </c>
      <c r="K41" s="83">
        <f t="shared" ref="K41:K57" si="1">G41+H41+J41</f>
        <v>11</v>
      </c>
    </row>
    <row r="42" spans="1:14">
      <c r="A42" s="75">
        <v>67011</v>
      </c>
      <c r="B42" s="46">
        <v>67021</v>
      </c>
      <c r="C42" s="575"/>
      <c r="D42" s="226" t="s">
        <v>483</v>
      </c>
      <c r="E42" s="22">
        <v>3</v>
      </c>
      <c r="F42" s="22">
        <v>0</v>
      </c>
      <c r="G42" s="22">
        <v>3</v>
      </c>
      <c r="H42" s="22">
        <v>1</v>
      </c>
      <c r="I42" s="22">
        <v>4</v>
      </c>
      <c r="J42" s="22">
        <v>9</v>
      </c>
      <c r="K42" s="83">
        <f t="shared" si="1"/>
        <v>13</v>
      </c>
    </row>
    <row r="43" spans="1:14">
      <c r="A43" s="75">
        <v>68111</v>
      </c>
      <c r="B43" s="46">
        <v>68121</v>
      </c>
      <c r="C43" s="575"/>
      <c r="D43" s="226" t="s">
        <v>508</v>
      </c>
      <c r="E43" s="22">
        <v>3</v>
      </c>
      <c r="F43" s="22">
        <v>0</v>
      </c>
      <c r="G43" s="108">
        <v>3</v>
      </c>
      <c r="H43" s="22">
        <v>1</v>
      </c>
      <c r="I43" s="22">
        <v>4</v>
      </c>
      <c r="J43" s="22"/>
      <c r="K43" s="83">
        <f t="shared" si="1"/>
        <v>4</v>
      </c>
    </row>
    <row r="44" spans="1:14">
      <c r="A44" s="75">
        <v>64311</v>
      </c>
      <c r="B44" s="46">
        <v>64321</v>
      </c>
      <c r="C44" s="576"/>
      <c r="D44" s="226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0</v>
      </c>
      <c r="K44" s="83">
        <f t="shared" si="1"/>
        <v>1</v>
      </c>
    </row>
    <row r="45" spans="1:14">
      <c r="A45" s="75">
        <v>69011</v>
      </c>
      <c r="B45" s="46">
        <v>69021</v>
      </c>
      <c r="C45" s="571" t="s">
        <v>626</v>
      </c>
      <c r="D45" s="226" t="s">
        <v>416</v>
      </c>
      <c r="E45" s="22">
        <v>5</v>
      </c>
      <c r="F45" s="22">
        <v>0</v>
      </c>
      <c r="G45" s="22">
        <v>5</v>
      </c>
      <c r="H45" s="22">
        <v>3</v>
      </c>
      <c r="I45" s="22">
        <v>8</v>
      </c>
      <c r="J45" s="22">
        <v>4</v>
      </c>
      <c r="K45" s="83">
        <f t="shared" si="1"/>
        <v>12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226" t="s">
        <v>422</v>
      </c>
      <c r="E46" s="22">
        <v>3</v>
      </c>
      <c r="F46" s="22">
        <v>1</v>
      </c>
      <c r="G46" s="22">
        <v>4</v>
      </c>
      <c r="H46" s="22">
        <v>1</v>
      </c>
      <c r="I46" s="22">
        <v>5</v>
      </c>
      <c r="J46" s="22"/>
      <c r="K46" s="83">
        <f t="shared" si="1"/>
        <v>5</v>
      </c>
      <c r="L46" s="588"/>
      <c r="M46" s="570"/>
      <c r="N46" s="570"/>
    </row>
    <row r="47" spans="1:14">
      <c r="A47" s="75"/>
      <c r="C47" s="571"/>
      <c r="D47" s="226" t="s">
        <v>657</v>
      </c>
      <c r="E47" s="22"/>
      <c r="F47" s="22"/>
      <c r="G47" s="22"/>
      <c r="H47" s="22"/>
      <c r="I47" s="22"/>
      <c r="J47" s="22"/>
      <c r="K47" s="83">
        <f t="shared" si="1"/>
        <v>0</v>
      </c>
    </row>
    <row r="48" spans="1:14">
      <c r="A48" s="75">
        <v>60411</v>
      </c>
      <c r="B48" s="46">
        <v>60421</v>
      </c>
      <c r="C48" s="571"/>
      <c r="D48" s="226" t="s">
        <v>429</v>
      </c>
      <c r="E48" s="22">
        <v>1</v>
      </c>
      <c r="F48" s="22">
        <v>0</v>
      </c>
      <c r="G48" s="22">
        <v>1</v>
      </c>
      <c r="H48" s="22">
        <v>0</v>
      </c>
      <c r="I48" s="22">
        <v>1</v>
      </c>
      <c r="J48" s="22"/>
      <c r="K48" s="83">
        <f t="shared" si="1"/>
        <v>1</v>
      </c>
    </row>
    <row r="49" spans="1:12">
      <c r="A49" s="75">
        <v>65011</v>
      </c>
      <c r="B49" s="46">
        <v>65021</v>
      </c>
      <c r="C49" s="571"/>
      <c r="D49" s="226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1</v>
      </c>
      <c r="K49" s="83">
        <f t="shared" si="1"/>
        <v>11</v>
      </c>
    </row>
    <row r="50" spans="1:12">
      <c r="A50" s="75">
        <v>66011</v>
      </c>
      <c r="B50" s="46">
        <v>66021</v>
      </c>
      <c r="C50" s="571"/>
      <c r="D50" s="226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f t="shared" si="1"/>
        <v>5</v>
      </c>
    </row>
    <row r="51" spans="1:12">
      <c r="A51" s="75">
        <v>61300</v>
      </c>
      <c r="B51" s="46">
        <v>61320</v>
      </c>
      <c r="C51" s="571"/>
      <c r="D51" s="226" t="s">
        <v>431</v>
      </c>
      <c r="E51" s="22">
        <v>1</v>
      </c>
      <c r="F51" s="22">
        <v>1</v>
      </c>
      <c r="G51" s="22">
        <v>2</v>
      </c>
      <c r="H51" s="22">
        <v>0</v>
      </c>
      <c r="I51" s="22">
        <v>2</v>
      </c>
      <c r="J51" s="22">
        <v>3</v>
      </c>
      <c r="K51" s="83">
        <f t="shared" si="1"/>
        <v>5</v>
      </c>
    </row>
    <row r="52" spans="1:12">
      <c r="A52" s="76"/>
      <c r="B52" s="56"/>
      <c r="C52" s="571" t="s">
        <v>627</v>
      </c>
      <c r="D52" s="226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17</v>
      </c>
      <c r="K52" s="83">
        <f t="shared" si="1"/>
        <v>38</v>
      </c>
    </row>
    <row r="53" spans="1:12">
      <c r="A53" s="75">
        <v>44011</v>
      </c>
      <c r="B53" s="46">
        <v>44021</v>
      </c>
      <c r="C53" s="571"/>
      <c r="D53" s="226" t="s">
        <v>138</v>
      </c>
      <c r="E53" s="22">
        <v>8</v>
      </c>
      <c r="F53" s="22">
        <v>0</v>
      </c>
      <c r="G53" s="22">
        <v>8</v>
      </c>
      <c r="H53" s="22">
        <v>2</v>
      </c>
      <c r="I53" s="22">
        <v>10</v>
      </c>
      <c r="J53" s="22">
        <v>5</v>
      </c>
      <c r="K53" s="83">
        <f t="shared" si="1"/>
        <v>15</v>
      </c>
    </row>
    <row r="54" spans="1:12">
      <c r="A54" s="75">
        <v>44111</v>
      </c>
      <c r="B54" s="46">
        <v>44121</v>
      </c>
      <c r="C54" s="571"/>
      <c r="D54" s="226" t="s">
        <v>411</v>
      </c>
      <c r="E54" s="22">
        <v>2</v>
      </c>
      <c r="F54" s="22">
        <v>1</v>
      </c>
      <c r="G54" s="22">
        <v>3</v>
      </c>
      <c r="H54" s="22">
        <v>3</v>
      </c>
      <c r="I54" s="22">
        <v>6</v>
      </c>
      <c r="J54" s="22">
        <v>3</v>
      </c>
      <c r="K54" s="83">
        <f t="shared" si="1"/>
        <v>9</v>
      </c>
    </row>
    <row r="55" spans="1:12">
      <c r="A55" s="75">
        <v>44511</v>
      </c>
      <c r="B55" s="46">
        <v>44521</v>
      </c>
      <c r="C55" s="571" t="s">
        <v>628</v>
      </c>
      <c r="D55" s="226" t="s">
        <v>433</v>
      </c>
      <c r="E55" s="22">
        <v>14</v>
      </c>
      <c r="F55" s="22">
        <v>0</v>
      </c>
      <c r="G55" s="22">
        <v>14</v>
      </c>
      <c r="H55" s="22">
        <v>3</v>
      </c>
      <c r="I55" s="22">
        <v>17</v>
      </c>
      <c r="J55" s="22">
        <v>38</v>
      </c>
      <c r="K55" s="83">
        <f t="shared" si="1"/>
        <v>55</v>
      </c>
    </row>
    <row r="56" spans="1:12">
      <c r="A56" s="75">
        <v>45111</v>
      </c>
      <c r="B56" s="46">
        <v>45121</v>
      </c>
      <c r="C56" s="571"/>
      <c r="D56" s="226" t="s">
        <v>449</v>
      </c>
      <c r="E56" s="22">
        <v>16</v>
      </c>
      <c r="F56" s="22">
        <v>4</v>
      </c>
      <c r="G56" s="22">
        <v>20</v>
      </c>
      <c r="H56" s="22">
        <v>2</v>
      </c>
      <c r="I56" s="22">
        <v>22</v>
      </c>
      <c r="J56" s="22">
        <v>9</v>
      </c>
      <c r="K56" s="83">
        <f t="shared" si="1"/>
        <v>31</v>
      </c>
    </row>
    <row r="57" spans="1:12">
      <c r="A57" s="75">
        <v>44200</v>
      </c>
      <c r="B57" s="46">
        <v>44220</v>
      </c>
      <c r="C57" s="84"/>
      <c r="D57" s="226" t="s">
        <v>162</v>
      </c>
      <c r="E57" s="22">
        <v>9</v>
      </c>
      <c r="F57" s="22">
        <v>1</v>
      </c>
      <c r="G57" s="22">
        <v>10</v>
      </c>
      <c r="H57" s="22">
        <v>1</v>
      </c>
      <c r="I57" s="22">
        <v>11</v>
      </c>
      <c r="J57" s="22"/>
      <c r="K57" s="83">
        <f t="shared" si="1"/>
        <v>11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4</v>
      </c>
      <c r="I58" s="78">
        <v>38</v>
      </c>
      <c r="J58" s="78">
        <v>11</v>
      </c>
      <c r="K58" s="87">
        <f>SUM(K59:K63)</f>
        <v>49</v>
      </c>
      <c r="L58" s="94"/>
    </row>
    <row r="59" spans="1:12">
      <c r="A59" s="75">
        <v>20000</v>
      </c>
      <c r="B59" s="46">
        <v>20020</v>
      </c>
      <c r="C59" s="586" t="s">
        <v>625</v>
      </c>
      <c r="D59" s="226" t="s">
        <v>381</v>
      </c>
      <c r="E59" s="22">
        <v>3</v>
      </c>
      <c r="F59" s="22">
        <v>0</v>
      </c>
      <c r="G59" s="22">
        <v>3</v>
      </c>
      <c r="H59" s="22">
        <v>1</v>
      </c>
      <c r="I59" s="22">
        <v>4</v>
      </c>
      <c r="J59" s="22">
        <v>1</v>
      </c>
      <c r="K59" s="83">
        <f>G59+H59+J59</f>
        <v>5</v>
      </c>
    </row>
    <row r="60" spans="1:12">
      <c r="A60" s="75">
        <v>21000</v>
      </c>
      <c r="B60" s="46">
        <v>21020</v>
      </c>
      <c r="C60" s="575"/>
      <c r="D60" s="226" t="s">
        <v>383</v>
      </c>
      <c r="E60" s="22">
        <v>3</v>
      </c>
      <c r="F60" s="22">
        <v>0</v>
      </c>
      <c r="G60" s="22">
        <v>3</v>
      </c>
      <c r="H60" s="22">
        <v>0</v>
      </c>
      <c r="I60" s="22">
        <v>3</v>
      </c>
      <c r="J60" s="22">
        <v>0</v>
      </c>
      <c r="K60" s="83">
        <f>G60+H60+J60</f>
        <v>3</v>
      </c>
    </row>
    <row r="61" spans="1:12">
      <c r="A61" s="75">
        <v>22000</v>
      </c>
      <c r="B61" s="46">
        <v>22020</v>
      </c>
      <c r="C61" s="575"/>
      <c r="D61" s="226" t="s">
        <v>389</v>
      </c>
      <c r="E61" s="22">
        <v>6</v>
      </c>
      <c r="F61" s="22">
        <v>0</v>
      </c>
      <c r="G61" s="22">
        <v>6</v>
      </c>
      <c r="H61" s="22">
        <v>1</v>
      </c>
      <c r="I61" s="22">
        <v>7</v>
      </c>
      <c r="J61" s="22">
        <v>2</v>
      </c>
      <c r="K61" s="83">
        <f>G61+H61+J61</f>
        <v>9</v>
      </c>
    </row>
    <row r="62" spans="1:12">
      <c r="A62" s="75">
        <v>60000</v>
      </c>
      <c r="B62" s="46">
        <v>60020</v>
      </c>
      <c r="C62" s="576"/>
      <c r="D62" s="226" t="s">
        <v>396</v>
      </c>
      <c r="E62" s="22">
        <v>14</v>
      </c>
      <c r="F62" s="22">
        <v>0</v>
      </c>
      <c r="G62" s="22">
        <v>14</v>
      </c>
      <c r="H62" s="22">
        <v>1</v>
      </c>
      <c r="I62" s="22">
        <v>15</v>
      </c>
      <c r="J62" s="22">
        <v>7</v>
      </c>
      <c r="K62" s="83">
        <f>G62+H62+J62</f>
        <v>22</v>
      </c>
    </row>
    <row r="63" spans="1:12">
      <c r="A63" s="75">
        <v>60100</v>
      </c>
      <c r="B63" s="46">
        <v>60120</v>
      </c>
      <c r="C63" s="224" t="s">
        <v>626</v>
      </c>
      <c r="D63" s="226" t="s">
        <v>114</v>
      </c>
      <c r="E63" s="22">
        <v>6</v>
      </c>
      <c r="F63" s="22">
        <v>2</v>
      </c>
      <c r="G63" s="22">
        <v>8</v>
      </c>
      <c r="H63" s="22">
        <v>1</v>
      </c>
      <c r="I63" s="22">
        <v>9</v>
      </c>
      <c r="J63" s="22">
        <v>1</v>
      </c>
      <c r="K63" s="83">
        <f>G63+H63+J63</f>
        <v>10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13</v>
      </c>
      <c r="F64" s="78">
        <v>9</v>
      </c>
      <c r="G64" s="78">
        <v>22</v>
      </c>
      <c r="H64" s="78">
        <v>1</v>
      </c>
      <c r="I64" s="78">
        <v>23</v>
      </c>
      <c r="J64" s="78">
        <v>2</v>
      </c>
      <c r="K64" s="87">
        <f>SUM(K65:K70)</f>
        <v>25</v>
      </c>
      <c r="L64" s="94"/>
    </row>
    <row r="65" spans="1:12">
      <c r="A65" s="76"/>
      <c r="B65" s="56"/>
      <c r="C65" s="586" t="s">
        <v>643</v>
      </c>
      <c r="D65" s="226" t="s">
        <v>45</v>
      </c>
      <c r="E65" s="22">
        <v>2</v>
      </c>
      <c r="F65" s="22">
        <v>1</v>
      </c>
      <c r="G65" s="22">
        <v>3</v>
      </c>
      <c r="H65" s="22">
        <v>0</v>
      </c>
      <c r="I65" s="22">
        <v>3</v>
      </c>
      <c r="J65" s="22">
        <v>0</v>
      </c>
      <c r="K65" s="83">
        <f t="shared" ref="K65:K70" si="2">G65+H65+J65</f>
        <v>3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2</v>
      </c>
      <c r="F66" s="22">
        <v>1</v>
      </c>
      <c r="G66" s="22">
        <v>3</v>
      </c>
      <c r="H66" s="22">
        <v>0</v>
      </c>
      <c r="I66" s="22">
        <v>3</v>
      </c>
      <c r="J66" s="22">
        <v>1</v>
      </c>
      <c r="K66" s="83">
        <f t="shared" si="2"/>
        <v>4</v>
      </c>
    </row>
    <row r="67" spans="1:12">
      <c r="A67" s="75">
        <v>31000</v>
      </c>
      <c r="B67" s="46">
        <v>31020</v>
      </c>
      <c r="C67" s="576"/>
      <c r="D67" s="226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f t="shared" si="2"/>
        <v>6</v>
      </c>
    </row>
    <row r="68" spans="1:12">
      <c r="A68" s="75">
        <v>32000</v>
      </c>
      <c r="B68" s="46">
        <v>32020</v>
      </c>
      <c r="C68" s="586" t="s">
        <v>647</v>
      </c>
      <c r="D68" s="226" t="s">
        <v>131</v>
      </c>
      <c r="E68" s="22">
        <v>2</v>
      </c>
      <c r="F68" s="22">
        <v>2</v>
      </c>
      <c r="G68" s="22">
        <v>4</v>
      </c>
      <c r="H68" s="22">
        <v>1</v>
      </c>
      <c r="I68" s="22">
        <v>5</v>
      </c>
      <c r="J68" s="22">
        <v>0</v>
      </c>
      <c r="K68" s="83">
        <f t="shared" si="2"/>
        <v>5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>
        <v>0</v>
      </c>
      <c r="K69" s="83">
        <f t="shared" si="2"/>
        <v>3</v>
      </c>
    </row>
    <row r="70" spans="1:12">
      <c r="A70" s="75">
        <v>61000</v>
      </c>
      <c r="B70" s="46">
        <v>61020</v>
      </c>
      <c r="C70" s="576"/>
      <c r="D70" s="226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>
        <v>0</v>
      </c>
      <c r="K70" s="83">
        <f t="shared" si="2"/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f>K72</f>
        <v>62</v>
      </c>
    </row>
    <row r="72" spans="1:12">
      <c r="C72" s="584" t="s">
        <v>617</v>
      </c>
      <c r="D72" s="585"/>
      <c r="E72" s="78">
        <v>41</v>
      </c>
      <c r="F72" s="78">
        <v>4</v>
      </c>
      <c r="G72" s="78">
        <v>45</v>
      </c>
      <c r="H72" s="78">
        <v>11</v>
      </c>
      <c r="I72" s="78">
        <v>56</v>
      </c>
      <c r="J72" s="78">
        <v>6</v>
      </c>
      <c r="K72" s="87">
        <f>SUM(K73:K78)</f>
        <v>62</v>
      </c>
      <c r="L72" s="37"/>
    </row>
    <row r="73" spans="1:12">
      <c r="B73" s="56"/>
      <c r="C73" s="586" t="s">
        <v>643</v>
      </c>
      <c r="D73" s="226" t="s">
        <v>53</v>
      </c>
      <c r="E73" s="22">
        <v>15</v>
      </c>
      <c r="F73" s="22">
        <v>1</v>
      </c>
      <c r="G73" s="22">
        <v>16</v>
      </c>
      <c r="H73" s="22">
        <v>3</v>
      </c>
      <c r="I73" s="22">
        <v>19</v>
      </c>
      <c r="J73" s="22">
        <v>1</v>
      </c>
      <c r="K73" s="83">
        <f t="shared" ref="K73:K78" si="3">G73+H73+J73</f>
        <v>20</v>
      </c>
    </row>
    <row r="74" spans="1:12">
      <c r="C74" s="575"/>
      <c r="D74" s="226" t="s">
        <v>72</v>
      </c>
      <c r="E74" s="22">
        <v>7</v>
      </c>
      <c r="F74" s="22">
        <v>1</v>
      </c>
      <c r="G74" s="22">
        <v>8</v>
      </c>
      <c r="H74" s="22">
        <v>1</v>
      </c>
      <c r="I74" s="22">
        <v>9</v>
      </c>
      <c r="J74" s="22">
        <v>0</v>
      </c>
      <c r="K74" s="83">
        <f t="shared" si="3"/>
        <v>9</v>
      </c>
    </row>
    <row r="75" spans="1:12">
      <c r="C75" s="575"/>
      <c r="D75" s="226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f t="shared" si="3"/>
        <v>2</v>
      </c>
    </row>
    <row r="76" spans="1:12">
      <c r="C76" s="576"/>
      <c r="D76" s="226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f t="shared" si="3"/>
        <v>5</v>
      </c>
    </row>
    <row r="77" spans="1:12">
      <c r="C77" s="586" t="s">
        <v>647</v>
      </c>
      <c r="D77" s="226" t="s">
        <v>147</v>
      </c>
      <c r="E77" s="22">
        <v>11</v>
      </c>
      <c r="F77" s="22">
        <v>1</v>
      </c>
      <c r="G77" s="22">
        <v>12</v>
      </c>
      <c r="H77" s="22">
        <v>2</v>
      </c>
      <c r="I77" s="22">
        <v>14</v>
      </c>
      <c r="J77" s="22">
        <v>0</v>
      </c>
      <c r="K77" s="83">
        <f t="shared" si="3"/>
        <v>14</v>
      </c>
    </row>
    <row r="78" spans="1:12">
      <c r="C78" s="576"/>
      <c r="D78" s="226" t="s">
        <v>158</v>
      </c>
      <c r="E78" s="22">
        <v>4</v>
      </c>
      <c r="F78" s="22">
        <v>1</v>
      </c>
      <c r="G78" s="22">
        <v>5</v>
      </c>
      <c r="H78" s="22">
        <v>5</v>
      </c>
      <c r="I78" s="22">
        <v>10</v>
      </c>
      <c r="J78" s="22">
        <v>2</v>
      </c>
      <c r="K78" s="83">
        <f t="shared" si="3"/>
        <v>12</v>
      </c>
    </row>
    <row r="79" spans="1:12" ht="18.600000000000001" thickBot="1">
      <c r="C79" s="597" t="s">
        <v>642</v>
      </c>
      <c r="D79" s="598"/>
      <c r="E79" s="92">
        <v>398</v>
      </c>
      <c r="F79" s="92">
        <v>50</v>
      </c>
      <c r="G79" s="92">
        <v>448</v>
      </c>
      <c r="H79" s="92">
        <v>72</v>
      </c>
      <c r="I79" s="92">
        <v>520</v>
      </c>
      <c r="J79" s="92">
        <v>182</v>
      </c>
      <c r="K79" s="93">
        <f>K72+K64+K58+K40+K25+K23+K19+K20+K21+K17+K14+K12+K9+K10</f>
        <v>701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227" t="s">
        <v>69</v>
      </c>
      <c r="F82" s="227" t="s">
        <v>650</v>
      </c>
      <c r="G82" s="553"/>
      <c r="H82" s="553"/>
      <c r="I82" s="553"/>
      <c r="J82" s="580"/>
      <c r="K82" s="581"/>
      <c r="L82" s="37"/>
    </row>
    <row r="83" spans="3:12">
      <c r="C83" s="582" t="s">
        <v>811</v>
      </c>
      <c r="D83" s="583"/>
      <c r="E83" s="583"/>
      <c r="F83" s="583"/>
      <c r="G83" s="583"/>
      <c r="H83" s="583"/>
      <c r="I83" s="583"/>
      <c r="J83" s="583"/>
      <c r="K83" s="583"/>
    </row>
    <row r="86" spans="3:12">
      <c r="D86" s="228" t="s">
        <v>807</v>
      </c>
    </row>
    <row r="87" spans="3:12">
      <c r="D87" s="228" t="s">
        <v>808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topLeftCell="D4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20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806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19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219"/>
      <c r="C5" s="576"/>
      <c r="D5" s="577"/>
      <c r="E5" s="221" t="s">
        <v>69</v>
      </c>
      <c r="F5" s="221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219">
        <v>202</v>
      </c>
      <c r="C6" s="222"/>
      <c r="D6" s="221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idden="1">
      <c r="A7" s="77">
        <v>210</v>
      </c>
      <c r="B7" s="219">
        <v>211</v>
      </c>
      <c r="C7" s="222"/>
      <c r="D7" s="221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84"/>
      <c r="D8" s="221" t="s">
        <v>26</v>
      </c>
      <c r="E8" s="22">
        <v>6</v>
      </c>
      <c r="F8" s="22">
        <v>3</v>
      </c>
      <c r="G8" s="22">
        <v>9</v>
      </c>
      <c r="H8" s="22">
        <v>0</v>
      </c>
      <c r="I8" s="22">
        <v>9</v>
      </c>
      <c r="J8" s="22"/>
      <c r="K8" s="83">
        <v>9</v>
      </c>
    </row>
    <row r="9" spans="1:11">
      <c r="A9" s="75">
        <v>11000</v>
      </c>
      <c r="B9" s="46">
        <v>11020</v>
      </c>
      <c r="C9" s="84"/>
      <c r="D9" s="221" t="e">
        <v>#N/A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/>
      <c r="K9" s="83">
        <v>0</v>
      </c>
    </row>
    <row r="10" spans="1:11">
      <c r="A10" s="75">
        <v>90000</v>
      </c>
      <c r="B10" s="46">
        <v>90020</v>
      </c>
      <c r="C10" s="84"/>
      <c r="D10" s="221" t="s">
        <v>218</v>
      </c>
      <c r="E10" s="22">
        <v>7</v>
      </c>
      <c r="F10" s="22">
        <v>3</v>
      </c>
      <c r="G10" s="22">
        <v>10</v>
      </c>
      <c r="H10" s="22">
        <v>0</v>
      </c>
      <c r="I10" s="22">
        <v>10</v>
      </c>
      <c r="J10" s="22"/>
      <c r="K10" s="83">
        <v>10</v>
      </c>
    </row>
    <row r="11" spans="1:11">
      <c r="A11" s="75">
        <v>3000</v>
      </c>
      <c r="B11" s="46">
        <v>3020</v>
      </c>
      <c r="C11" s="85"/>
      <c r="D11" s="221" t="s">
        <v>715</v>
      </c>
      <c r="E11" s="22">
        <v>3</v>
      </c>
      <c r="F11" s="22">
        <v>2</v>
      </c>
      <c r="G11" s="22">
        <v>5</v>
      </c>
      <c r="H11" s="22">
        <v>0</v>
      </c>
      <c r="I11" s="22">
        <v>5</v>
      </c>
      <c r="J11" s="22"/>
      <c r="K11" s="83">
        <v>5</v>
      </c>
    </row>
    <row r="12" spans="1:11">
      <c r="A12" s="76">
        <v>1000</v>
      </c>
      <c r="B12" s="46">
        <v>1020</v>
      </c>
      <c r="C12" s="85"/>
      <c r="D12" s="221" t="s">
        <v>17</v>
      </c>
      <c r="E12" s="22">
        <v>4</v>
      </c>
      <c r="F12" s="22">
        <v>2</v>
      </c>
      <c r="G12" s="22">
        <v>6</v>
      </c>
      <c r="H12" s="22">
        <v>3</v>
      </c>
      <c r="I12" s="22">
        <v>9</v>
      </c>
      <c r="J12" s="22"/>
      <c r="K12" s="83">
        <v>9</v>
      </c>
    </row>
    <row r="13" spans="1:11">
      <c r="A13" s="75">
        <v>1100</v>
      </c>
      <c r="B13" s="46">
        <v>1120</v>
      </c>
      <c r="C13" s="85"/>
      <c r="D13" s="221" t="s">
        <v>13</v>
      </c>
      <c r="E13" s="22">
        <v>2</v>
      </c>
      <c r="F13" s="22">
        <v>1</v>
      </c>
      <c r="G13" s="22">
        <v>3</v>
      </c>
      <c r="H13" s="22">
        <v>0</v>
      </c>
      <c r="I13" s="22">
        <v>3</v>
      </c>
      <c r="J13" s="22"/>
      <c r="K13" s="83">
        <v>3</v>
      </c>
    </row>
    <row r="14" spans="1:11">
      <c r="A14" s="76"/>
      <c r="B14" s="56"/>
      <c r="C14" s="86"/>
      <c r="D14" s="80" t="s">
        <v>629</v>
      </c>
      <c r="E14" s="78">
        <v>6</v>
      </c>
      <c r="F14" s="78">
        <v>3</v>
      </c>
      <c r="G14" s="78">
        <v>9</v>
      </c>
      <c r="H14" s="78">
        <v>3</v>
      </c>
      <c r="I14" s="78">
        <v>12</v>
      </c>
      <c r="J14" s="78">
        <v>0</v>
      </c>
      <c r="K14" s="87">
        <v>12</v>
      </c>
    </row>
    <row r="15" spans="1:11">
      <c r="A15" s="75">
        <v>50000</v>
      </c>
      <c r="B15" s="46">
        <v>50020</v>
      </c>
      <c r="C15" s="84"/>
      <c r="D15" s="221" t="s">
        <v>120</v>
      </c>
      <c r="E15" s="22">
        <v>4</v>
      </c>
      <c r="F15" s="22">
        <v>1</v>
      </c>
      <c r="G15" s="22">
        <v>5</v>
      </c>
      <c r="H15" s="22">
        <v>0</v>
      </c>
      <c r="I15" s="22">
        <v>5</v>
      </c>
      <c r="J15" s="22"/>
      <c r="K15" s="83">
        <v>5</v>
      </c>
    </row>
    <row r="16" spans="1:11">
      <c r="A16" s="75">
        <v>51000</v>
      </c>
      <c r="B16" s="46">
        <v>51020</v>
      </c>
      <c r="C16" s="84"/>
      <c r="D16" s="221" t="s">
        <v>124</v>
      </c>
      <c r="E16" s="22">
        <v>7</v>
      </c>
      <c r="F16" s="22">
        <v>0</v>
      </c>
      <c r="G16" s="22">
        <v>7</v>
      </c>
      <c r="H16" s="22">
        <v>0</v>
      </c>
      <c r="I16" s="22">
        <v>7</v>
      </c>
      <c r="J16" s="22"/>
      <c r="K16" s="83">
        <v>7</v>
      </c>
    </row>
    <row r="17" spans="1:11">
      <c r="A17" s="75">
        <v>63000</v>
      </c>
      <c r="B17" s="46">
        <v>63020</v>
      </c>
      <c r="C17" s="84"/>
      <c r="D17" s="221" t="s">
        <v>165</v>
      </c>
      <c r="E17" s="22">
        <v>7</v>
      </c>
      <c r="F17" s="22">
        <v>1</v>
      </c>
      <c r="G17" s="22">
        <v>8</v>
      </c>
      <c r="H17" s="22">
        <v>1</v>
      </c>
      <c r="I17" s="22">
        <v>9</v>
      </c>
      <c r="J17" s="22"/>
      <c r="K17" s="83">
        <v>9</v>
      </c>
    </row>
    <row r="18" spans="1:11">
      <c r="A18" s="76"/>
      <c r="B18" s="56"/>
      <c r="C18" s="86"/>
      <c r="D18" s="80" t="s">
        <v>630</v>
      </c>
      <c r="E18" s="78">
        <v>18</v>
      </c>
      <c r="F18" s="78">
        <v>2</v>
      </c>
      <c r="G18" s="78">
        <v>20</v>
      </c>
      <c r="H18" s="78">
        <v>1</v>
      </c>
      <c r="I18" s="78">
        <v>21</v>
      </c>
      <c r="J18" s="78">
        <v>0</v>
      </c>
      <c r="K18" s="87">
        <v>21</v>
      </c>
    </row>
    <row r="19" spans="1:11">
      <c r="A19" s="75">
        <v>80000</v>
      </c>
      <c r="B19" s="46">
        <v>80020</v>
      </c>
      <c r="C19" s="84"/>
      <c r="D19" s="221" t="s">
        <v>172</v>
      </c>
      <c r="E19" s="22">
        <v>40</v>
      </c>
      <c r="F19" s="22">
        <v>3</v>
      </c>
      <c r="G19" s="22">
        <v>43</v>
      </c>
      <c r="H19" s="22">
        <v>8</v>
      </c>
      <c r="I19" s="22">
        <v>51</v>
      </c>
      <c r="J19" s="22"/>
      <c r="K19" s="83">
        <v>51</v>
      </c>
    </row>
    <row r="20" spans="1:11">
      <c r="A20" s="75">
        <v>41111</v>
      </c>
      <c r="B20" s="46">
        <v>41121</v>
      </c>
      <c r="C20" s="571" t="s">
        <v>625</v>
      </c>
      <c r="D20" s="221" t="s">
        <v>280</v>
      </c>
      <c r="E20" s="22">
        <v>9</v>
      </c>
      <c r="F20" s="22">
        <v>0</v>
      </c>
      <c r="G20" s="22">
        <v>9</v>
      </c>
      <c r="H20" s="22">
        <v>3</v>
      </c>
      <c r="I20" s="22">
        <v>12</v>
      </c>
      <c r="J20" s="22"/>
      <c r="K20" s="83">
        <v>12</v>
      </c>
    </row>
    <row r="21" spans="1:11">
      <c r="A21" s="75">
        <v>43011</v>
      </c>
      <c r="B21" s="46">
        <v>43021</v>
      </c>
      <c r="C21" s="571"/>
      <c r="D21" s="221" t="s">
        <v>349</v>
      </c>
      <c r="E21" s="22">
        <v>17</v>
      </c>
      <c r="F21" s="22">
        <v>0</v>
      </c>
      <c r="G21" s="22">
        <v>17</v>
      </c>
      <c r="H21" s="22">
        <v>1</v>
      </c>
      <c r="I21" s="22">
        <v>18</v>
      </c>
      <c r="J21" s="22"/>
      <c r="K21" s="83">
        <v>18</v>
      </c>
    </row>
    <row r="22" spans="1:11">
      <c r="A22" s="75">
        <v>41011</v>
      </c>
      <c r="B22" s="46">
        <v>41021</v>
      </c>
      <c r="C22" s="571"/>
      <c r="D22" s="221" t="s">
        <v>258</v>
      </c>
      <c r="E22" s="22">
        <v>21</v>
      </c>
      <c r="F22" s="22">
        <v>0</v>
      </c>
      <c r="G22" s="22">
        <v>21</v>
      </c>
      <c r="H22" s="22">
        <v>2</v>
      </c>
      <c r="I22" s="22">
        <v>23</v>
      </c>
      <c r="J22" s="22"/>
      <c r="K22" s="83">
        <v>23</v>
      </c>
    </row>
    <row r="23" spans="1:11">
      <c r="A23" s="75">
        <v>42111</v>
      </c>
      <c r="B23" s="46">
        <v>42121</v>
      </c>
      <c r="C23" s="571" t="s">
        <v>626</v>
      </c>
      <c r="D23" s="221" t="s">
        <v>305</v>
      </c>
      <c r="E23" s="22">
        <v>19</v>
      </c>
      <c r="F23" s="22">
        <v>2</v>
      </c>
      <c r="G23" s="22">
        <v>21</v>
      </c>
      <c r="H23" s="22">
        <v>3</v>
      </c>
      <c r="I23" s="22">
        <v>24</v>
      </c>
      <c r="J23" s="22"/>
      <c r="K23" s="83">
        <v>24</v>
      </c>
    </row>
    <row r="24" spans="1:11">
      <c r="A24" s="75">
        <v>42411</v>
      </c>
      <c r="B24" s="46">
        <v>42421</v>
      </c>
      <c r="C24" s="571"/>
      <c r="D24" s="221" t="s">
        <v>339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/>
      <c r="K24" s="83">
        <v>0</v>
      </c>
    </row>
    <row r="25" spans="1:11">
      <c r="A25" s="75">
        <v>42211</v>
      </c>
      <c r="B25" s="46">
        <v>42221</v>
      </c>
      <c r="C25" s="571"/>
      <c r="D25" s="221" t="s">
        <v>318</v>
      </c>
      <c r="E25" s="22">
        <v>11</v>
      </c>
      <c r="F25" s="22">
        <v>0</v>
      </c>
      <c r="G25" s="22">
        <v>11</v>
      </c>
      <c r="H25" s="22">
        <v>0</v>
      </c>
      <c r="I25" s="22">
        <v>11</v>
      </c>
      <c r="J25" s="22"/>
      <c r="K25" s="83">
        <v>11</v>
      </c>
    </row>
    <row r="26" spans="1:11">
      <c r="A26" s="75">
        <v>42011</v>
      </c>
      <c r="B26" s="46">
        <v>42021</v>
      </c>
      <c r="C26" s="571"/>
      <c r="D26" s="221" t="s">
        <v>290</v>
      </c>
      <c r="E26" s="22">
        <v>15</v>
      </c>
      <c r="F26" s="22">
        <v>0</v>
      </c>
      <c r="G26" s="22">
        <v>15</v>
      </c>
      <c r="H26" s="22">
        <v>2</v>
      </c>
      <c r="I26" s="22">
        <v>17</v>
      </c>
      <c r="J26" s="22"/>
      <c r="K26" s="83">
        <v>17</v>
      </c>
    </row>
    <row r="27" spans="1:11">
      <c r="A27" s="75">
        <v>42311</v>
      </c>
      <c r="B27" s="46">
        <v>42321</v>
      </c>
      <c r="C27" s="571"/>
      <c r="D27" s="221" t="s">
        <v>331</v>
      </c>
      <c r="E27" s="22">
        <v>7</v>
      </c>
      <c r="F27" s="22">
        <v>0</v>
      </c>
      <c r="G27" s="22">
        <v>7</v>
      </c>
      <c r="H27" s="22">
        <v>0</v>
      </c>
      <c r="I27" s="22">
        <v>7</v>
      </c>
      <c r="J27" s="22"/>
      <c r="K27" s="83">
        <v>7</v>
      </c>
    </row>
    <row r="28" spans="1:11">
      <c r="A28" s="75">
        <v>43211</v>
      </c>
      <c r="B28" s="46">
        <v>43221</v>
      </c>
      <c r="C28" s="571" t="s">
        <v>627</v>
      </c>
      <c r="D28" s="221" t="s">
        <v>364</v>
      </c>
      <c r="E28" s="22">
        <v>10</v>
      </c>
      <c r="F28" s="22">
        <v>6</v>
      </c>
      <c r="G28" s="22">
        <v>16</v>
      </c>
      <c r="H28" s="22">
        <v>3</v>
      </c>
      <c r="I28" s="22">
        <v>19</v>
      </c>
      <c r="J28" s="22"/>
      <c r="K28" s="83">
        <v>19</v>
      </c>
    </row>
    <row r="29" spans="1:11">
      <c r="A29" s="75">
        <v>43311</v>
      </c>
      <c r="B29" s="46">
        <v>43321</v>
      </c>
      <c r="C29" s="571"/>
      <c r="D29" s="221" t="s">
        <v>377</v>
      </c>
      <c r="E29" s="22">
        <v>3</v>
      </c>
      <c r="F29" s="22">
        <v>0</v>
      </c>
      <c r="G29" s="22">
        <v>3</v>
      </c>
      <c r="H29" s="22">
        <v>2</v>
      </c>
      <c r="I29" s="22">
        <v>5</v>
      </c>
      <c r="J29" s="22"/>
      <c r="K29" s="83">
        <v>5</v>
      </c>
    </row>
    <row r="30" spans="1:11">
      <c r="A30" s="75">
        <v>41200</v>
      </c>
      <c r="B30" s="46">
        <v>41220</v>
      </c>
      <c r="C30" s="571"/>
      <c r="D30" s="221" t="s">
        <v>103</v>
      </c>
      <c r="E30" s="22">
        <v>7</v>
      </c>
      <c r="F30" s="22">
        <v>0</v>
      </c>
      <c r="G30" s="22">
        <v>7</v>
      </c>
      <c r="H30" s="22">
        <v>5</v>
      </c>
      <c r="I30" s="22">
        <v>12</v>
      </c>
      <c r="J30" s="22"/>
      <c r="K30" s="83">
        <v>12</v>
      </c>
    </row>
    <row r="31" spans="1:11">
      <c r="A31" s="75">
        <v>40400</v>
      </c>
      <c r="B31" s="46">
        <v>40420</v>
      </c>
      <c r="C31" s="571"/>
      <c r="D31" s="221" t="s">
        <v>98</v>
      </c>
      <c r="E31" s="22">
        <v>4</v>
      </c>
      <c r="F31" s="22">
        <v>0</v>
      </c>
      <c r="G31" s="22">
        <v>4</v>
      </c>
      <c r="H31" s="22">
        <v>0</v>
      </c>
      <c r="I31" s="22">
        <v>4</v>
      </c>
      <c r="J31" s="22"/>
      <c r="K31" s="83">
        <v>4</v>
      </c>
    </row>
    <row r="32" spans="1:11">
      <c r="A32" s="75">
        <v>40000</v>
      </c>
      <c r="B32" s="46">
        <v>40020</v>
      </c>
      <c r="C32" s="84"/>
      <c r="D32" s="221" t="s">
        <v>87</v>
      </c>
      <c r="E32" s="22">
        <v>7</v>
      </c>
      <c r="F32" s="22">
        <v>1</v>
      </c>
      <c r="G32" s="22">
        <v>9</v>
      </c>
      <c r="H32" s="22">
        <v>1</v>
      </c>
      <c r="I32" s="22">
        <v>10</v>
      </c>
      <c r="J32" s="22"/>
      <c r="K32" s="83">
        <v>10</v>
      </c>
    </row>
    <row r="33" spans="1:11">
      <c r="A33" s="76"/>
      <c r="B33" s="56"/>
      <c r="C33" s="86"/>
      <c r="D33" s="80" t="s">
        <v>620</v>
      </c>
      <c r="E33" s="78">
        <v>131</v>
      </c>
      <c r="F33" s="78">
        <v>9</v>
      </c>
      <c r="G33" s="78">
        <v>140</v>
      </c>
      <c r="H33" s="78">
        <v>22</v>
      </c>
      <c r="I33" s="78">
        <v>162</v>
      </c>
      <c r="J33" s="78">
        <v>0</v>
      </c>
      <c r="K33" s="87">
        <v>162</v>
      </c>
    </row>
    <row r="34" spans="1:11">
      <c r="A34" s="75">
        <v>67211</v>
      </c>
      <c r="B34" s="46">
        <v>67221</v>
      </c>
      <c r="C34" s="571" t="s">
        <v>625</v>
      </c>
      <c r="D34" s="221" t="s">
        <v>476</v>
      </c>
      <c r="E34" s="22">
        <v>5</v>
      </c>
      <c r="F34" s="22">
        <v>0</v>
      </c>
      <c r="G34" s="22">
        <v>5</v>
      </c>
      <c r="H34" s="22">
        <v>2</v>
      </c>
      <c r="I34" s="22">
        <v>7</v>
      </c>
      <c r="J34" s="22"/>
      <c r="K34" s="83">
        <v>7</v>
      </c>
    </row>
    <row r="35" spans="1:11">
      <c r="A35" s="75">
        <v>68011</v>
      </c>
      <c r="B35" s="46">
        <v>68021</v>
      </c>
      <c r="C35" s="571"/>
      <c r="D35" s="221" t="s">
        <v>483</v>
      </c>
      <c r="E35" s="22">
        <v>3</v>
      </c>
      <c r="F35" s="22">
        <v>0</v>
      </c>
      <c r="G35" s="22">
        <v>3</v>
      </c>
      <c r="H35" s="22">
        <v>1</v>
      </c>
      <c r="I35" s="22">
        <v>4</v>
      </c>
      <c r="J35" s="22"/>
      <c r="K35" s="83">
        <v>4</v>
      </c>
    </row>
    <row r="36" spans="1:11">
      <c r="A36" s="75">
        <v>69211</v>
      </c>
      <c r="B36" s="46">
        <v>69221</v>
      </c>
      <c r="C36" s="571"/>
      <c r="D36" s="221" t="s">
        <v>508</v>
      </c>
      <c r="E36" s="22">
        <v>3</v>
      </c>
      <c r="F36" s="22">
        <v>0</v>
      </c>
      <c r="G36" s="79">
        <v>3</v>
      </c>
      <c r="H36" s="22">
        <v>2</v>
      </c>
      <c r="I36" s="22">
        <v>5</v>
      </c>
      <c r="J36" s="22"/>
      <c r="K36" s="83">
        <v>5</v>
      </c>
    </row>
    <row r="37" spans="1:11">
      <c r="A37" s="75">
        <v>69111</v>
      </c>
      <c r="B37" s="46">
        <v>69121</v>
      </c>
      <c r="C37" s="571"/>
      <c r="D37" s="221" t="s">
        <v>506</v>
      </c>
      <c r="E37" s="22">
        <v>1</v>
      </c>
      <c r="F37" s="22">
        <v>0</v>
      </c>
      <c r="G37" s="79">
        <v>1</v>
      </c>
      <c r="H37" s="22">
        <v>0</v>
      </c>
      <c r="I37" s="22">
        <v>1</v>
      </c>
      <c r="J37" s="22"/>
      <c r="K37" s="83">
        <v>1</v>
      </c>
    </row>
    <row r="38" spans="1:11">
      <c r="A38" s="75">
        <v>64011</v>
      </c>
      <c r="B38" s="46">
        <v>64021</v>
      </c>
      <c r="C38" s="571" t="s">
        <v>626</v>
      </c>
      <c r="D38" s="221" t="s">
        <v>416</v>
      </c>
      <c r="E38" s="22">
        <v>5</v>
      </c>
      <c r="F38" s="22">
        <v>0</v>
      </c>
      <c r="G38" s="22">
        <v>5</v>
      </c>
      <c r="H38" s="22">
        <v>3</v>
      </c>
      <c r="I38" s="22">
        <v>8</v>
      </c>
      <c r="J38" s="22"/>
      <c r="K38" s="83">
        <v>8</v>
      </c>
    </row>
    <row r="39" spans="1:11">
      <c r="A39" s="75">
        <v>64111</v>
      </c>
      <c r="B39" s="46">
        <v>64121</v>
      </c>
      <c r="C39" s="571"/>
      <c r="D39" s="221" t="s">
        <v>422</v>
      </c>
      <c r="E39" s="22">
        <v>3</v>
      </c>
      <c r="F39" s="22">
        <v>1</v>
      </c>
      <c r="G39" s="22">
        <v>4</v>
      </c>
      <c r="H39" s="22">
        <v>1</v>
      </c>
      <c r="I39" s="22">
        <v>5</v>
      </c>
      <c r="J39" s="22"/>
      <c r="K39" s="83">
        <v>5</v>
      </c>
    </row>
    <row r="40" spans="1:11">
      <c r="A40" s="75">
        <v>64211</v>
      </c>
      <c r="B40" s="46">
        <v>64221</v>
      </c>
      <c r="C40" s="571"/>
      <c r="D40" s="221" t="s">
        <v>429</v>
      </c>
      <c r="E40" s="22">
        <v>1</v>
      </c>
      <c r="F40" s="22">
        <v>0</v>
      </c>
      <c r="G40" s="22">
        <v>1</v>
      </c>
      <c r="H40" s="22">
        <v>0</v>
      </c>
      <c r="I40" s="22">
        <v>1</v>
      </c>
      <c r="J40" s="22"/>
      <c r="K40" s="83">
        <v>1</v>
      </c>
    </row>
    <row r="41" spans="1:11">
      <c r="A41" s="75">
        <v>67011</v>
      </c>
      <c r="B41" s="46">
        <v>67021</v>
      </c>
      <c r="C41" s="571"/>
      <c r="D41" s="221" t="s">
        <v>466</v>
      </c>
      <c r="E41" s="22">
        <v>9</v>
      </c>
      <c r="F41" s="22">
        <v>0</v>
      </c>
      <c r="G41" s="22">
        <v>9</v>
      </c>
      <c r="H41" s="22">
        <v>1</v>
      </c>
      <c r="I41" s="22">
        <v>10</v>
      </c>
      <c r="J41" s="22"/>
      <c r="K41" s="83">
        <v>10</v>
      </c>
    </row>
    <row r="42" spans="1:11">
      <c r="A42" s="75">
        <v>68111</v>
      </c>
      <c r="B42" s="46">
        <v>68121</v>
      </c>
      <c r="C42" s="571"/>
      <c r="D42" s="221" t="s">
        <v>485</v>
      </c>
      <c r="E42" s="22">
        <v>4</v>
      </c>
      <c r="F42" s="22">
        <v>1</v>
      </c>
      <c r="G42" s="22">
        <v>5</v>
      </c>
      <c r="H42" s="22">
        <v>0</v>
      </c>
      <c r="I42" s="22">
        <v>5</v>
      </c>
      <c r="J42" s="22"/>
      <c r="K42" s="83">
        <v>5</v>
      </c>
    </row>
    <row r="43" spans="1:11">
      <c r="A43" s="75">
        <v>64311</v>
      </c>
      <c r="B43" s="46">
        <v>64321</v>
      </c>
      <c r="C43" s="571"/>
      <c r="D43" s="221" t="s">
        <v>431</v>
      </c>
      <c r="E43" s="22">
        <v>1</v>
      </c>
      <c r="F43" s="22">
        <v>1</v>
      </c>
      <c r="G43" s="22">
        <v>2</v>
      </c>
      <c r="H43" s="22">
        <v>0</v>
      </c>
      <c r="I43" s="22">
        <v>2</v>
      </c>
      <c r="J43" s="22"/>
      <c r="K43" s="83">
        <v>2</v>
      </c>
    </row>
    <row r="44" spans="1:11">
      <c r="A44" s="75">
        <v>69011</v>
      </c>
      <c r="B44" s="46">
        <v>69021</v>
      </c>
      <c r="C44" s="571" t="s">
        <v>627</v>
      </c>
      <c r="D44" s="221" t="s">
        <v>489</v>
      </c>
      <c r="E44" s="22">
        <v>18</v>
      </c>
      <c r="F44" s="22">
        <v>1</v>
      </c>
      <c r="G44" s="22">
        <v>19</v>
      </c>
      <c r="H44" s="22">
        <v>2</v>
      </c>
      <c r="I44" s="22">
        <v>21</v>
      </c>
      <c r="J44" s="22"/>
      <c r="K44" s="83">
        <v>21</v>
      </c>
    </row>
    <row r="45" spans="1:11">
      <c r="A45" s="75">
        <v>60300</v>
      </c>
      <c r="B45" s="46">
        <v>60320</v>
      </c>
      <c r="C45" s="571"/>
      <c r="D45" s="221" t="s">
        <v>138</v>
      </c>
      <c r="E45" s="22">
        <v>8</v>
      </c>
      <c r="F45" s="22">
        <v>0</v>
      </c>
      <c r="G45" s="22">
        <v>8</v>
      </c>
      <c r="H45" s="22">
        <v>2</v>
      </c>
      <c r="I45" s="22">
        <v>10</v>
      </c>
      <c r="J45" s="22"/>
      <c r="K45" s="83">
        <v>10</v>
      </c>
    </row>
    <row r="46" spans="1:11">
      <c r="A46" s="75">
        <v>60411</v>
      </c>
      <c r="B46" s="46">
        <v>60421</v>
      </c>
      <c r="C46" s="571"/>
      <c r="D46" s="221" t="s">
        <v>411</v>
      </c>
      <c r="E46" s="22">
        <v>2</v>
      </c>
      <c r="F46" s="22">
        <v>1</v>
      </c>
      <c r="G46" s="22">
        <v>3</v>
      </c>
      <c r="H46" s="22">
        <v>3</v>
      </c>
      <c r="I46" s="22">
        <v>6</v>
      </c>
      <c r="J46" s="22"/>
      <c r="K46" s="83">
        <v>6</v>
      </c>
    </row>
    <row r="47" spans="1:11">
      <c r="A47" s="75">
        <v>65011</v>
      </c>
      <c r="B47" s="46">
        <v>65021</v>
      </c>
      <c r="C47" s="571" t="s">
        <v>628</v>
      </c>
      <c r="D47" s="221" t="s">
        <v>433</v>
      </c>
      <c r="E47" s="22">
        <v>15</v>
      </c>
      <c r="F47" s="22">
        <v>0</v>
      </c>
      <c r="G47" s="22">
        <v>15</v>
      </c>
      <c r="H47" s="22">
        <v>3</v>
      </c>
      <c r="I47" s="22">
        <v>18</v>
      </c>
      <c r="J47" s="22"/>
      <c r="K47" s="83">
        <v>18</v>
      </c>
    </row>
    <row r="48" spans="1:11">
      <c r="A48" s="75">
        <v>66011</v>
      </c>
      <c r="B48" s="46">
        <v>66021</v>
      </c>
      <c r="C48" s="571"/>
      <c r="D48" s="221" t="s">
        <v>449</v>
      </c>
      <c r="E48" s="22">
        <v>16</v>
      </c>
      <c r="F48" s="22">
        <v>4</v>
      </c>
      <c r="G48" s="22">
        <v>20</v>
      </c>
      <c r="H48" s="22">
        <v>2</v>
      </c>
      <c r="I48" s="22">
        <v>22</v>
      </c>
      <c r="J48" s="22"/>
      <c r="K48" s="83">
        <v>22</v>
      </c>
    </row>
    <row r="49" spans="1:11">
      <c r="A49" s="75">
        <v>61300</v>
      </c>
      <c r="B49" s="46">
        <v>61320</v>
      </c>
      <c r="C49" s="84"/>
      <c r="D49" s="221" t="s">
        <v>162</v>
      </c>
      <c r="E49" s="22">
        <v>9</v>
      </c>
      <c r="F49" s="22">
        <v>1</v>
      </c>
      <c r="G49" s="22">
        <v>10</v>
      </c>
      <c r="H49" s="22">
        <v>1</v>
      </c>
      <c r="I49" s="22">
        <v>11</v>
      </c>
      <c r="J49" s="22"/>
      <c r="K49" s="83">
        <v>11</v>
      </c>
    </row>
    <row r="50" spans="1:11">
      <c r="A50" s="76"/>
      <c r="B50" s="56"/>
      <c r="C50" s="86"/>
      <c r="D50" s="80" t="s">
        <v>619</v>
      </c>
      <c r="E50" s="78">
        <v>103</v>
      </c>
      <c r="F50" s="78">
        <v>10</v>
      </c>
      <c r="G50" s="78">
        <v>113</v>
      </c>
      <c r="H50" s="78">
        <v>23</v>
      </c>
      <c r="I50" s="78">
        <v>136</v>
      </c>
      <c r="J50" s="78">
        <v>0</v>
      </c>
      <c r="K50" s="87">
        <v>136</v>
      </c>
    </row>
    <row r="51" spans="1:11">
      <c r="A51" s="75">
        <v>44011</v>
      </c>
      <c r="B51" s="46">
        <v>44021</v>
      </c>
      <c r="C51" s="571" t="s">
        <v>625</v>
      </c>
      <c r="D51" s="221" t="s">
        <v>381</v>
      </c>
      <c r="E51" s="22">
        <v>3</v>
      </c>
      <c r="F51" s="22">
        <v>0</v>
      </c>
      <c r="G51" s="22">
        <v>3</v>
      </c>
      <c r="H51" s="22">
        <v>1</v>
      </c>
      <c r="I51" s="22">
        <v>4</v>
      </c>
      <c r="J51" s="22"/>
      <c r="K51" s="83">
        <v>4</v>
      </c>
    </row>
    <row r="52" spans="1:11">
      <c r="A52" s="75">
        <v>44111</v>
      </c>
      <c r="B52" s="46">
        <v>44121</v>
      </c>
      <c r="C52" s="571"/>
      <c r="D52" s="221" t="s">
        <v>383</v>
      </c>
      <c r="E52" s="22">
        <v>3</v>
      </c>
      <c r="F52" s="22">
        <v>0</v>
      </c>
      <c r="G52" s="22">
        <v>3</v>
      </c>
      <c r="H52" s="22">
        <v>0</v>
      </c>
      <c r="I52" s="22">
        <v>3</v>
      </c>
      <c r="J52" s="22"/>
      <c r="K52" s="83">
        <v>3</v>
      </c>
    </row>
    <row r="53" spans="1:11">
      <c r="A53" s="75">
        <v>44511</v>
      </c>
      <c r="B53" s="46">
        <v>44521</v>
      </c>
      <c r="C53" s="571"/>
      <c r="D53" s="221" t="s">
        <v>389</v>
      </c>
      <c r="E53" s="22">
        <v>6</v>
      </c>
      <c r="F53" s="22">
        <v>0</v>
      </c>
      <c r="G53" s="22">
        <v>6</v>
      </c>
      <c r="H53" s="22">
        <v>1</v>
      </c>
      <c r="I53" s="22">
        <v>7</v>
      </c>
      <c r="J53" s="22"/>
      <c r="K53" s="83">
        <v>7</v>
      </c>
    </row>
    <row r="54" spans="1:11">
      <c r="A54" s="75">
        <v>45111</v>
      </c>
      <c r="B54" s="46">
        <v>45121</v>
      </c>
      <c r="C54" s="571"/>
      <c r="D54" s="221" t="s">
        <v>396</v>
      </c>
      <c r="E54" s="22">
        <v>13</v>
      </c>
      <c r="F54" s="22">
        <v>0</v>
      </c>
      <c r="G54" s="22">
        <v>13</v>
      </c>
      <c r="H54" s="22">
        <v>1</v>
      </c>
      <c r="I54" s="22">
        <v>14</v>
      </c>
      <c r="J54" s="22"/>
      <c r="K54" s="83">
        <v>14</v>
      </c>
    </row>
    <row r="55" spans="1:11">
      <c r="A55" s="75">
        <v>44200</v>
      </c>
      <c r="B55" s="46">
        <v>44220</v>
      </c>
      <c r="C55" s="222" t="s">
        <v>626</v>
      </c>
      <c r="D55" s="221" t="s">
        <v>114</v>
      </c>
      <c r="E55" s="22">
        <v>6</v>
      </c>
      <c r="F55" s="22">
        <v>2</v>
      </c>
      <c r="G55" s="22">
        <v>8</v>
      </c>
      <c r="H55" s="22">
        <v>1</v>
      </c>
      <c r="I55" s="22">
        <v>9</v>
      </c>
      <c r="J55" s="22"/>
      <c r="K55" s="83">
        <v>9</v>
      </c>
    </row>
    <row r="56" spans="1:11">
      <c r="A56" s="76"/>
      <c r="B56" s="56"/>
      <c r="C56" s="86"/>
      <c r="D56" s="80" t="s">
        <v>618</v>
      </c>
      <c r="E56" s="78">
        <v>31</v>
      </c>
      <c r="F56" s="78">
        <v>2</v>
      </c>
      <c r="G56" s="78">
        <v>33</v>
      </c>
      <c r="H56" s="78">
        <v>4</v>
      </c>
      <c r="I56" s="78">
        <v>37</v>
      </c>
      <c r="J56" s="78">
        <v>0</v>
      </c>
      <c r="K56" s="87">
        <v>37</v>
      </c>
    </row>
    <row r="57" spans="1:11">
      <c r="A57" s="75">
        <v>20000</v>
      </c>
      <c r="B57" s="46">
        <v>20020</v>
      </c>
      <c r="C57" s="84"/>
      <c r="D57" s="221" t="s">
        <v>45</v>
      </c>
      <c r="E57" s="22">
        <v>2</v>
      </c>
      <c r="F57" s="22">
        <v>1</v>
      </c>
      <c r="G57" s="22">
        <v>3</v>
      </c>
      <c r="H57" s="22">
        <v>0</v>
      </c>
      <c r="I57" s="22">
        <v>3</v>
      </c>
      <c r="J57" s="22"/>
      <c r="K57" s="83">
        <v>3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v>2</v>
      </c>
      <c r="F58" s="22">
        <v>1</v>
      </c>
      <c r="G58" s="22">
        <v>3</v>
      </c>
      <c r="H58" s="22">
        <v>0</v>
      </c>
      <c r="I58" s="22">
        <v>3</v>
      </c>
      <c r="J58" s="22"/>
      <c r="K58" s="83">
        <v>3</v>
      </c>
    </row>
    <row r="59" spans="1:11">
      <c r="A59" s="75">
        <v>22000</v>
      </c>
      <c r="B59" s="46">
        <v>22020</v>
      </c>
      <c r="C59" s="84"/>
      <c r="D59" s="221" t="s">
        <v>49</v>
      </c>
      <c r="E59" s="22">
        <v>3</v>
      </c>
      <c r="F59" s="22">
        <v>2</v>
      </c>
      <c r="G59" s="22">
        <v>5</v>
      </c>
      <c r="H59" s="22">
        <v>0</v>
      </c>
      <c r="I59" s="22">
        <v>5</v>
      </c>
      <c r="J59" s="22"/>
      <c r="K59" s="83">
        <v>5</v>
      </c>
    </row>
    <row r="60" spans="1:11">
      <c r="A60" s="75">
        <v>60000</v>
      </c>
      <c r="B60" s="46">
        <v>60020</v>
      </c>
      <c r="C60" s="84"/>
      <c r="D60" s="221" t="s">
        <v>131</v>
      </c>
      <c r="E60" s="22">
        <v>2</v>
      </c>
      <c r="F60" s="22">
        <v>2</v>
      </c>
      <c r="G60" s="22">
        <v>4</v>
      </c>
      <c r="H60" s="22">
        <v>1</v>
      </c>
      <c r="I60" s="22">
        <v>5</v>
      </c>
      <c r="J60" s="22"/>
      <c r="K60" s="83">
        <v>5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v>1</v>
      </c>
      <c r="F61" s="22">
        <v>2</v>
      </c>
      <c r="G61" s="22">
        <v>3</v>
      </c>
      <c r="H61" s="22">
        <v>0</v>
      </c>
      <c r="I61" s="22">
        <v>3</v>
      </c>
      <c r="J61" s="22"/>
      <c r="K61" s="83">
        <v>3</v>
      </c>
    </row>
    <row r="62" spans="1:11">
      <c r="A62" s="75">
        <v>60200</v>
      </c>
      <c r="B62" s="46">
        <v>60220</v>
      </c>
      <c r="C62" s="84"/>
      <c r="D62" s="221" t="s">
        <v>134</v>
      </c>
      <c r="E62" s="22">
        <v>3</v>
      </c>
      <c r="F62" s="22">
        <v>1</v>
      </c>
      <c r="G62" s="22">
        <v>4</v>
      </c>
      <c r="H62" s="22">
        <v>0</v>
      </c>
      <c r="I62" s="22">
        <v>4</v>
      </c>
      <c r="J62" s="22"/>
      <c r="K62" s="83">
        <v>4</v>
      </c>
    </row>
    <row r="63" spans="1:11">
      <c r="A63" s="76"/>
      <c r="B63" s="56"/>
      <c r="C63" s="86"/>
      <c r="D63" s="80" t="s">
        <v>616</v>
      </c>
      <c r="E63" s="78">
        <v>13</v>
      </c>
      <c r="F63" s="78">
        <v>9</v>
      </c>
      <c r="G63" s="78">
        <v>22</v>
      </c>
      <c r="H63" s="78">
        <v>1</v>
      </c>
      <c r="I63" s="78">
        <v>23</v>
      </c>
      <c r="J63" s="78">
        <v>0</v>
      </c>
      <c r="K63" s="87">
        <v>23</v>
      </c>
    </row>
    <row r="64" spans="1:11">
      <c r="A64" s="75">
        <v>30000</v>
      </c>
      <c r="B64" s="46">
        <v>30020</v>
      </c>
      <c r="C64" s="84"/>
      <c r="D64" s="221" t="s">
        <v>53</v>
      </c>
      <c r="E64" s="22">
        <v>14</v>
      </c>
      <c r="F64" s="22">
        <v>1</v>
      </c>
      <c r="G64" s="22">
        <v>15</v>
      </c>
      <c r="H64" s="22">
        <v>3</v>
      </c>
      <c r="I64" s="22">
        <v>18</v>
      </c>
      <c r="J64" s="22"/>
      <c r="K64" s="83">
        <v>18</v>
      </c>
    </row>
    <row r="65" spans="1:11">
      <c r="A65" s="75">
        <v>31000</v>
      </c>
      <c r="B65" s="46">
        <v>31020</v>
      </c>
      <c r="C65" s="84"/>
      <c r="D65" s="221" t="s">
        <v>72</v>
      </c>
      <c r="E65" s="22">
        <v>7</v>
      </c>
      <c r="F65" s="22">
        <v>1</v>
      </c>
      <c r="G65" s="22">
        <v>8</v>
      </c>
      <c r="H65" s="22">
        <v>1</v>
      </c>
      <c r="I65" s="22">
        <v>9</v>
      </c>
      <c r="J65" s="22"/>
      <c r="K65" s="83">
        <v>9</v>
      </c>
    </row>
    <row r="66" spans="1:11">
      <c r="A66" s="75">
        <v>32000</v>
      </c>
      <c r="B66" s="46">
        <v>32020</v>
      </c>
      <c r="C66" s="84"/>
      <c r="D66" s="221" t="s">
        <v>81</v>
      </c>
      <c r="E66" s="22">
        <v>2</v>
      </c>
      <c r="F66" s="22">
        <v>0</v>
      </c>
      <c r="G66" s="22">
        <v>2</v>
      </c>
      <c r="H66" s="22">
        <v>0</v>
      </c>
      <c r="I66" s="22">
        <v>2</v>
      </c>
      <c r="J66" s="22"/>
      <c r="K66" s="83">
        <v>2</v>
      </c>
    </row>
    <row r="67" spans="1:11">
      <c r="A67" s="75">
        <v>33000</v>
      </c>
      <c r="B67" s="46">
        <v>33020</v>
      </c>
      <c r="C67" s="84"/>
      <c r="D67" s="221" t="s">
        <v>84</v>
      </c>
      <c r="E67" s="22">
        <v>2</v>
      </c>
      <c r="F67" s="22">
        <v>0</v>
      </c>
      <c r="G67" s="22">
        <v>2</v>
      </c>
      <c r="H67" s="22">
        <v>0</v>
      </c>
      <c r="I67" s="22">
        <v>2</v>
      </c>
      <c r="J67" s="22"/>
      <c r="K67" s="83">
        <v>2</v>
      </c>
    </row>
    <row r="68" spans="1:11">
      <c r="A68" s="75">
        <v>61000</v>
      </c>
      <c r="B68" s="46">
        <v>61020</v>
      </c>
      <c r="C68" s="84"/>
      <c r="D68" s="221" t="s">
        <v>147</v>
      </c>
      <c r="E68" s="22">
        <v>10</v>
      </c>
      <c r="F68" s="22">
        <v>1</v>
      </c>
      <c r="G68" s="22">
        <v>11</v>
      </c>
      <c r="H68" s="22">
        <v>2</v>
      </c>
      <c r="I68" s="22">
        <v>13</v>
      </c>
      <c r="J68" s="22"/>
      <c r="K68" s="83">
        <v>13</v>
      </c>
    </row>
    <row r="69" spans="1:11">
      <c r="A69" s="2">
        <v>61200</v>
      </c>
      <c r="B69" s="46">
        <v>61220</v>
      </c>
      <c r="C69" s="84"/>
      <c r="D69" s="221" t="s">
        <v>158</v>
      </c>
      <c r="E69" s="22">
        <v>4</v>
      </c>
      <c r="F69" s="22">
        <v>1</v>
      </c>
      <c r="G69" s="22">
        <v>5</v>
      </c>
      <c r="H69" s="22">
        <v>5</v>
      </c>
      <c r="I69" s="22">
        <v>10</v>
      </c>
      <c r="J69" s="22"/>
      <c r="K69" s="83">
        <v>10</v>
      </c>
    </row>
    <row r="70" spans="1:11">
      <c r="B70" s="56"/>
      <c r="C70" s="86"/>
      <c r="D70" s="80" t="s">
        <v>617</v>
      </c>
      <c r="E70" s="78">
        <v>39</v>
      </c>
      <c r="F70" s="78">
        <v>4</v>
      </c>
      <c r="G70" s="78">
        <v>43</v>
      </c>
      <c r="H70" s="78">
        <v>11</v>
      </c>
      <c r="I70" s="78">
        <v>54</v>
      </c>
      <c r="J70" s="78">
        <v>0</v>
      </c>
      <c r="K70" s="87">
        <v>54</v>
      </c>
    </row>
    <row r="71" spans="1:11" ht="18.600000000000001" thickBot="1">
      <c r="C71" s="89"/>
      <c r="D71" s="218" t="s">
        <v>642</v>
      </c>
      <c r="E71" s="90">
        <v>397</v>
      </c>
      <c r="F71" s="90">
        <v>50</v>
      </c>
      <c r="G71" s="90">
        <v>447</v>
      </c>
      <c r="H71" s="90">
        <v>73</v>
      </c>
      <c r="I71" s="90">
        <v>520</v>
      </c>
      <c r="J71" s="90">
        <v>0</v>
      </c>
      <c r="K71" s="91">
        <v>520</v>
      </c>
    </row>
    <row r="74" spans="1:11">
      <c r="D74" s="220" t="s">
        <v>793</v>
      </c>
    </row>
    <row r="75" spans="1:11">
      <c r="D75" s="220" t="s">
        <v>794</v>
      </c>
    </row>
    <row r="76" spans="1:11">
      <c r="D76" s="220" t="s">
        <v>805</v>
      </c>
    </row>
  </sheetData>
  <mergeCells count="1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47:C48"/>
    <mergeCell ref="C51:C54"/>
    <mergeCell ref="C20:C22"/>
    <mergeCell ref="C23:C27"/>
    <mergeCell ref="C28:C31"/>
    <mergeCell ref="C34:C37"/>
    <mergeCell ref="C38:C43"/>
    <mergeCell ref="C44:C46"/>
  </mergeCells>
  <phoneticPr fontId="2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C1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17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719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14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214"/>
      <c r="C5" s="576"/>
      <c r="D5" s="577"/>
      <c r="E5" s="215" t="s">
        <v>69</v>
      </c>
      <c r="F5" s="215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214">
        <v>202</v>
      </c>
      <c r="C6" s="213"/>
      <c r="D6" s="215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idden="1">
      <c r="A7" s="77">
        <v>210</v>
      </c>
      <c r="B7" s="214">
        <v>211</v>
      </c>
      <c r="C7" s="213"/>
      <c r="D7" s="215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84"/>
      <c r="D8" s="215" t="s">
        <v>26</v>
      </c>
      <c r="E8" s="22">
        <v>6</v>
      </c>
      <c r="F8" s="22">
        <v>3</v>
      </c>
      <c r="G8" s="22">
        <v>9</v>
      </c>
      <c r="H8" s="22">
        <v>0</v>
      </c>
      <c r="I8" s="22">
        <v>9</v>
      </c>
      <c r="J8" s="22"/>
      <c r="K8" s="83">
        <v>9</v>
      </c>
    </row>
    <row r="9" spans="1:11">
      <c r="A9" s="75">
        <v>11000</v>
      </c>
      <c r="B9" s="46">
        <v>11020</v>
      </c>
      <c r="C9" s="84"/>
      <c r="D9" s="215" t="e">
        <v>#N/A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/>
      <c r="K9" s="83">
        <v>0</v>
      </c>
    </row>
    <row r="10" spans="1:11">
      <c r="A10" s="75">
        <v>90000</v>
      </c>
      <c r="B10" s="46">
        <v>90020</v>
      </c>
      <c r="C10" s="84"/>
      <c r="D10" s="215" t="s">
        <v>218</v>
      </c>
      <c r="E10" s="22">
        <v>7</v>
      </c>
      <c r="F10" s="22">
        <v>3</v>
      </c>
      <c r="G10" s="22">
        <v>10</v>
      </c>
      <c r="H10" s="22">
        <v>0</v>
      </c>
      <c r="I10" s="22">
        <v>10</v>
      </c>
      <c r="J10" s="22"/>
      <c r="K10" s="83">
        <v>10</v>
      </c>
    </row>
    <row r="11" spans="1:11">
      <c r="A11" s="75">
        <v>3000</v>
      </c>
      <c r="B11" s="46">
        <v>3020</v>
      </c>
      <c r="C11" s="85"/>
      <c r="D11" s="215" t="s">
        <v>715</v>
      </c>
      <c r="E11" s="22">
        <v>3</v>
      </c>
      <c r="F11" s="22">
        <v>2</v>
      </c>
      <c r="G11" s="22">
        <v>5</v>
      </c>
      <c r="H11" s="22">
        <v>0</v>
      </c>
      <c r="I11" s="22">
        <v>5</v>
      </c>
      <c r="J11" s="22"/>
      <c r="K11" s="83">
        <v>5</v>
      </c>
    </row>
    <row r="12" spans="1:11">
      <c r="A12" s="76">
        <v>1000</v>
      </c>
      <c r="B12" s="46">
        <v>1020</v>
      </c>
      <c r="C12" s="85"/>
      <c r="D12" s="215" t="s">
        <v>17</v>
      </c>
      <c r="E12" s="22">
        <v>4</v>
      </c>
      <c r="F12" s="22">
        <v>2</v>
      </c>
      <c r="G12" s="22">
        <v>6</v>
      </c>
      <c r="H12" s="22">
        <v>3</v>
      </c>
      <c r="I12" s="22">
        <v>9</v>
      </c>
      <c r="J12" s="22"/>
      <c r="K12" s="83">
        <v>9</v>
      </c>
    </row>
    <row r="13" spans="1:11">
      <c r="A13" s="75">
        <v>1100</v>
      </c>
      <c r="B13" s="46">
        <v>1120</v>
      </c>
      <c r="C13" s="85"/>
      <c r="D13" s="215" t="s">
        <v>13</v>
      </c>
      <c r="E13" s="22">
        <v>2</v>
      </c>
      <c r="F13" s="22">
        <v>1</v>
      </c>
      <c r="G13" s="22">
        <v>3</v>
      </c>
      <c r="H13" s="22">
        <v>0</v>
      </c>
      <c r="I13" s="22">
        <v>3</v>
      </c>
      <c r="J13" s="22"/>
      <c r="K13" s="83">
        <v>3</v>
      </c>
    </row>
    <row r="14" spans="1:11">
      <c r="A14" s="76"/>
      <c r="B14" s="56"/>
      <c r="C14" s="86"/>
      <c r="D14" s="80" t="s">
        <v>629</v>
      </c>
      <c r="E14" s="78">
        <v>6</v>
      </c>
      <c r="F14" s="78">
        <v>3</v>
      </c>
      <c r="G14" s="78">
        <v>9</v>
      </c>
      <c r="H14" s="78">
        <v>3</v>
      </c>
      <c r="I14" s="78">
        <v>12</v>
      </c>
      <c r="J14" s="78">
        <v>0</v>
      </c>
      <c r="K14" s="87">
        <v>12</v>
      </c>
    </row>
    <row r="15" spans="1:11">
      <c r="A15" s="75">
        <v>50000</v>
      </c>
      <c r="B15" s="46">
        <v>50020</v>
      </c>
      <c r="C15" s="84"/>
      <c r="D15" s="215" t="s">
        <v>120</v>
      </c>
      <c r="E15" s="22">
        <v>4</v>
      </c>
      <c r="F15" s="22">
        <v>1</v>
      </c>
      <c r="G15" s="22">
        <v>5</v>
      </c>
      <c r="H15" s="22">
        <v>0</v>
      </c>
      <c r="I15" s="22">
        <v>5</v>
      </c>
      <c r="J15" s="22"/>
      <c r="K15" s="83">
        <v>5</v>
      </c>
    </row>
    <row r="16" spans="1:11">
      <c r="A16" s="75">
        <v>51000</v>
      </c>
      <c r="B16" s="46">
        <v>51020</v>
      </c>
      <c r="C16" s="84"/>
      <c r="D16" s="215" t="s">
        <v>124</v>
      </c>
      <c r="E16" s="22">
        <v>7</v>
      </c>
      <c r="F16" s="22">
        <v>0</v>
      </c>
      <c r="G16" s="22">
        <v>7</v>
      </c>
      <c r="H16" s="22">
        <v>0</v>
      </c>
      <c r="I16" s="22">
        <v>7</v>
      </c>
      <c r="J16" s="22"/>
      <c r="K16" s="83">
        <v>7</v>
      </c>
    </row>
    <row r="17" spans="1:11">
      <c r="A17" s="75">
        <v>63000</v>
      </c>
      <c r="B17" s="46">
        <v>63020</v>
      </c>
      <c r="C17" s="84"/>
      <c r="D17" s="215" t="s">
        <v>165</v>
      </c>
      <c r="E17" s="22">
        <v>7</v>
      </c>
      <c r="F17" s="22">
        <v>1</v>
      </c>
      <c r="G17" s="22">
        <v>8</v>
      </c>
      <c r="H17" s="22">
        <v>1</v>
      </c>
      <c r="I17" s="22">
        <v>9</v>
      </c>
      <c r="J17" s="22"/>
      <c r="K17" s="83">
        <v>9</v>
      </c>
    </row>
    <row r="18" spans="1:11">
      <c r="A18" s="76"/>
      <c r="B18" s="56"/>
      <c r="C18" s="86"/>
      <c r="D18" s="80" t="s">
        <v>630</v>
      </c>
      <c r="E18" s="78">
        <v>18</v>
      </c>
      <c r="F18" s="78">
        <v>2</v>
      </c>
      <c r="G18" s="78">
        <v>20</v>
      </c>
      <c r="H18" s="78">
        <v>1</v>
      </c>
      <c r="I18" s="78">
        <v>21</v>
      </c>
      <c r="J18" s="78">
        <v>0</v>
      </c>
      <c r="K18" s="87">
        <v>21</v>
      </c>
    </row>
    <row r="19" spans="1:11">
      <c r="A19" s="75">
        <v>80000</v>
      </c>
      <c r="B19" s="46">
        <v>80020</v>
      </c>
      <c r="C19" s="84"/>
      <c r="D19" s="215" t="s">
        <v>172</v>
      </c>
      <c r="E19" s="22">
        <v>40</v>
      </c>
      <c r="F19" s="22">
        <v>3</v>
      </c>
      <c r="G19" s="22">
        <v>43</v>
      </c>
      <c r="H19" s="22">
        <v>8</v>
      </c>
      <c r="I19" s="22">
        <v>51</v>
      </c>
      <c r="J19" s="22"/>
      <c r="K19" s="83">
        <v>51</v>
      </c>
    </row>
    <row r="20" spans="1:11">
      <c r="A20" s="75">
        <v>41111</v>
      </c>
      <c r="B20" s="46">
        <v>41121</v>
      </c>
      <c r="C20" s="571" t="s">
        <v>625</v>
      </c>
      <c r="D20" s="215" t="s">
        <v>280</v>
      </c>
      <c r="E20" s="22">
        <v>10</v>
      </c>
      <c r="F20" s="22">
        <v>0</v>
      </c>
      <c r="G20" s="22">
        <v>10</v>
      </c>
      <c r="H20" s="22">
        <v>3</v>
      </c>
      <c r="I20" s="22">
        <v>13</v>
      </c>
      <c r="J20" s="22"/>
      <c r="K20" s="83">
        <v>13</v>
      </c>
    </row>
    <row r="21" spans="1:11">
      <c r="A21" s="75">
        <v>43011</v>
      </c>
      <c r="B21" s="46">
        <v>43021</v>
      </c>
      <c r="C21" s="571"/>
      <c r="D21" s="215" t="s">
        <v>349</v>
      </c>
      <c r="E21" s="22">
        <v>15</v>
      </c>
      <c r="F21" s="22">
        <v>0</v>
      </c>
      <c r="G21" s="22">
        <v>15</v>
      </c>
      <c r="H21" s="22">
        <v>1</v>
      </c>
      <c r="I21" s="22">
        <v>16</v>
      </c>
      <c r="J21" s="22"/>
      <c r="K21" s="83">
        <v>16</v>
      </c>
    </row>
    <row r="22" spans="1:11">
      <c r="A22" s="75">
        <v>41011</v>
      </c>
      <c r="B22" s="46">
        <v>41021</v>
      </c>
      <c r="C22" s="571"/>
      <c r="D22" s="215" t="s">
        <v>258</v>
      </c>
      <c r="E22" s="22">
        <v>20</v>
      </c>
      <c r="F22" s="22">
        <v>0</v>
      </c>
      <c r="G22" s="22">
        <v>20</v>
      </c>
      <c r="H22" s="22">
        <v>2</v>
      </c>
      <c r="I22" s="22">
        <v>22</v>
      </c>
      <c r="J22" s="22"/>
      <c r="K22" s="83">
        <v>22</v>
      </c>
    </row>
    <row r="23" spans="1:11">
      <c r="A23" s="75">
        <v>42111</v>
      </c>
      <c r="B23" s="46">
        <v>42121</v>
      </c>
      <c r="C23" s="571" t="s">
        <v>626</v>
      </c>
      <c r="D23" s="215" t="s">
        <v>305</v>
      </c>
      <c r="E23" s="22">
        <v>9</v>
      </c>
      <c r="F23" s="22">
        <v>0</v>
      </c>
      <c r="G23" s="22">
        <v>9</v>
      </c>
      <c r="H23" s="22">
        <v>0</v>
      </c>
      <c r="I23" s="22">
        <v>9</v>
      </c>
      <c r="J23" s="22"/>
      <c r="K23" s="83">
        <v>9</v>
      </c>
    </row>
    <row r="24" spans="1:11">
      <c r="A24" s="75">
        <v>42411</v>
      </c>
      <c r="B24" s="46">
        <v>42421</v>
      </c>
      <c r="C24" s="571"/>
      <c r="D24" s="215" t="s">
        <v>339</v>
      </c>
      <c r="E24" s="22">
        <v>10</v>
      </c>
      <c r="F24" s="22">
        <v>2</v>
      </c>
      <c r="G24" s="22">
        <v>12</v>
      </c>
      <c r="H24" s="22">
        <v>3</v>
      </c>
      <c r="I24" s="22">
        <v>15</v>
      </c>
      <c r="J24" s="22"/>
      <c r="K24" s="83">
        <v>15</v>
      </c>
    </row>
    <row r="25" spans="1:11">
      <c r="A25" s="75">
        <v>42211</v>
      </c>
      <c r="B25" s="46">
        <v>42221</v>
      </c>
      <c r="C25" s="571"/>
      <c r="D25" s="215" t="s">
        <v>318</v>
      </c>
      <c r="E25" s="22">
        <v>11</v>
      </c>
      <c r="F25" s="22">
        <v>0</v>
      </c>
      <c r="G25" s="22">
        <v>11</v>
      </c>
      <c r="H25" s="22">
        <v>0</v>
      </c>
      <c r="I25" s="22">
        <v>11</v>
      </c>
      <c r="J25" s="22"/>
      <c r="K25" s="83">
        <v>11</v>
      </c>
    </row>
    <row r="26" spans="1:11">
      <c r="A26" s="75">
        <v>42011</v>
      </c>
      <c r="B26" s="46">
        <v>42021</v>
      </c>
      <c r="C26" s="571"/>
      <c r="D26" s="215" t="s">
        <v>290</v>
      </c>
      <c r="E26" s="22">
        <v>13</v>
      </c>
      <c r="F26" s="22">
        <v>0</v>
      </c>
      <c r="G26" s="22">
        <v>13</v>
      </c>
      <c r="H26" s="22">
        <v>2</v>
      </c>
      <c r="I26" s="22">
        <v>15</v>
      </c>
      <c r="J26" s="22"/>
      <c r="K26" s="83">
        <v>15</v>
      </c>
    </row>
    <row r="27" spans="1:11">
      <c r="A27" s="75">
        <v>42311</v>
      </c>
      <c r="B27" s="46">
        <v>42321</v>
      </c>
      <c r="C27" s="571"/>
      <c r="D27" s="215" t="s">
        <v>331</v>
      </c>
      <c r="E27" s="22">
        <v>8</v>
      </c>
      <c r="F27" s="22">
        <v>0</v>
      </c>
      <c r="G27" s="22">
        <v>8</v>
      </c>
      <c r="H27" s="22">
        <v>0</v>
      </c>
      <c r="I27" s="22">
        <v>8</v>
      </c>
      <c r="J27" s="22"/>
      <c r="K27" s="83">
        <v>8</v>
      </c>
    </row>
    <row r="28" spans="1:11">
      <c r="A28" s="75">
        <v>43211</v>
      </c>
      <c r="B28" s="46">
        <v>43221</v>
      </c>
      <c r="C28" s="571" t="s">
        <v>627</v>
      </c>
      <c r="D28" s="215" t="s">
        <v>364</v>
      </c>
      <c r="E28" s="22">
        <v>11</v>
      </c>
      <c r="F28" s="22">
        <v>6</v>
      </c>
      <c r="G28" s="22">
        <v>17</v>
      </c>
      <c r="H28" s="22">
        <v>3</v>
      </c>
      <c r="I28" s="22">
        <v>20</v>
      </c>
      <c r="J28" s="22"/>
      <c r="K28" s="83">
        <v>20</v>
      </c>
    </row>
    <row r="29" spans="1:11">
      <c r="A29" s="75">
        <v>43311</v>
      </c>
      <c r="B29" s="46">
        <v>43321</v>
      </c>
      <c r="C29" s="571"/>
      <c r="D29" s="215" t="s">
        <v>377</v>
      </c>
      <c r="E29" s="22">
        <v>4</v>
      </c>
      <c r="F29" s="22">
        <v>0</v>
      </c>
      <c r="G29" s="22">
        <v>4</v>
      </c>
      <c r="H29" s="22">
        <v>1</v>
      </c>
      <c r="I29" s="22">
        <v>5</v>
      </c>
      <c r="J29" s="22"/>
      <c r="K29" s="83">
        <v>5</v>
      </c>
    </row>
    <row r="30" spans="1:11">
      <c r="A30" s="75">
        <v>41200</v>
      </c>
      <c r="B30" s="46">
        <v>41220</v>
      </c>
      <c r="C30" s="571"/>
      <c r="D30" s="215" t="s">
        <v>103</v>
      </c>
      <c r="E30" s="22">
        <v>6</v>
      </c>
      <c r="F30" s="22">
        <v>0</v>
      </c>
      <c r="G30" s="22">
        <v>6</v>
      </c>
      <c r="H30" s="22">
        <v>5</v>
      </c>
      <c r="I30" s="22">
        <v>11</v>
      </c>
      <c r="J30" s="22"/>
      <c r="K30" s="83">
        <v>11</v>
      </c>
    </row>
    <row r="31" spans="1:11">
      <c r="A31" s="75">
        <v>40400</v>
      </c>
      <c r="B31" s="46">
        <v>40420</v>
      </c>
      <c r="C31" s="571"/>
      <c r="D31" s="215" t="s">
        <v>98</v>
      </c>
      <c r="E31" s="22">
        <v>4</v>
      </c>
      <c r="F31" s="22">
        <v>0</v>
      </c>
      <c r="G31" s="22">
        <v>4</v>
      </c>
      <c r="H31" s="22">
        <v>0</v>
      </c>
      <c r="I31" s="22">
        <v>4</v>
      </c>
      <c r="J31" s="22"/>
      <c r="K31" s="83">
        <v>4</v>
      </c>
    </row>
    <row r="32" spans="1:11">
      <c r="A32" s="75">
        <v>40000</v>
      </c>
      <c r="B32" s="46">
        <v>40020</v>
      </c>
      <c r="C32" s="84"/>
      <c r="D32" s="215" t="s">
        <v>87</v>
      </c>
      <c r="E32" s="22">
        <v>8</v>
      </c>
      <c r="F32" s="22">
        <v>1</v>
      </c>
      <c r="G32" s="22">
        <v>9</v>
      </c>
      <c r="H32" s="22">
        <v>1</v>
      </c>
      <c r="I32" s="22">
        <v>10</v>
      </c>
      <c r="J32" s="22"/>
      <c r="K32" s="83">
        <v>10</v>
      </c>
    </row>
    <row r="33" spans="1:11">
      <c r="A33" s="76"/>
      <c r="B33" s="56"/>
      <c r="C33" s="86"/>
      <c r="D33" s="80" t="s">
        <v>620</v>
      </c>
      <c r="E33" s="78">
        <v>129</v>
      </c>
      <c r="F33" s="78">
        <v>9</v>
      </c>
      <c r="G33" s="78">
        <v>138</v>
      </c>
      <c r="H33" s="78">
        <v>21</v>
      </c>
      <c r="I33" s="78">
        <v>159</v>
      </c>
      <c r="J33" s="78">
        <v>0</v>
      </c>
      <c r="K33" s="87">
        <v>159</v>
      </c>
    </row>
    <row r="34" spans="1:11">
      <c r="A34" s="75">
        <v>67211</v>
      </c>
      <c r="B34" s="46">
        <v>67221</v>
      </c>
      <c r="C34" s="571" t="s">
        <v>625</v>
      </c>
      <c r="D34" s="215" t="s">
        <v>476</v>
      </c>
      <c r="E34" s="22">
        <v>4</v>
      </c>
      <c r="F34" s="22">
        <v>0</v>
      </c>
      <c r="G34" s="22">
        <v>4</v>
      </c>
      <c r="H34" s="22">
        <v>2</v>
      </c>
      <c r="I34" s="22">
        <v>6</v>
      </c>
      <c r="J34" s="22"/>
      <c r="K34" s="83">
        <v>6</v>
      </c>
    </row>
    <row r="35" spans="1:11">
      <c r="A35" s="75">
        <v>68011</v>
      </c>
      <c r="B35" s="46">
        <v>68021</v>
      </c>
      <c r="C35" s="571"/>
      <c r="D35" s="215" t="s">
        <v>483</v>
      </c>
      <c r="E35" s="22">
        <v>3</v>
      </c>
      <c r="F35" s="22">
        <v>0</v>
      </c>
      <c r="G35" s="22">
        <v>3</v>
      </c>
      <c r="H35" s="22">
        <v>1</v>
      </c>
      <c r="I35" s="22">
        <v>4</v>
      </c>
      <c r="J35" s="22"/>
      <c r="K35" s="83">
        <v>4</v>
      </c>
    </row>
    <row r="36" spans="1:11">
      <c r="A36" s="75">
        <v>69211</v>
      </c>
      <c r="B36" s="46">
        <v>69221</v>
      </c>
      <c r="C36" s="571"/>
      <c r="D36" s="215" t="s">
        <v>508</v>
      </c>
      <c r="E36" s="22">
        <v>4</v>
      </c>
      <c r="F36" s="22">
        <v>0</v>
      </c>
      <c r="G36" s="79">
        <v>4</v>
      </c>
      <c r="H36" s="22">
        <v>2</v>
      </c>
      <c r="I36" s="22">
        <v>6</v>
      </c>
      <c r="J36" s="22"/>
      <c r="K36" s="83">
        <v>6</v>
      </c>
    </row>
    <row r="37" spans="1:11">
      <c r="A37" s="75">
        <v>69111</v>
      </c>
      <c r="B37" s="46">
        <v>69121</v>
      </c>
      <c r="C37" s="571"/>
      <c r="D37" s="215" t="s">
        <v>506</v>
      </c>
      <c r="E37" s="22">
        <v>1</v>
      </c>
      <c r="F37" s="22">
        <v>0</v>
      </c>
      <c r="G37" s="79">
        <v>1</v>
      </c>
      <c r="H37" s="22">
        <v>0</v>
      </c>
      <c r="I37" s="22">
        <v>1</v>
      </c>
      <c r="J37" s="22"/>
      <c r="K37" s="83">
        <v>1</v>
      </c>
    </row>
    <row r="38" spans="1:11">
      <c r="A38" s="75">
        <v>64011</v>
      </c>
      <c r="B38" s="46">
        <v>64021</v>
      </c>
      <c r="C38" s="571" t="s">
        <v>626</v>
      </c>
      <c r="D38" s="215" t="s">
        <v>416</v>
      </c>
      <c r="E38" s="22">
        <v>6</v>
      </c>
      <c r="F38" s="22">
        <v>0</v>
      </c>
      <c r="G38" s="22">
        <v>6</v>
      </c>
      <c r="H38" s="22">
        <v>2</v>
      </c>
      <c r="I38" s="22">
        <v>8</v>
      </c>
      <c r="J38" s="22"/>
      <c r="K38" s="83">
        <v>8</v>
      </c>
    </row>
    <row r="39" spans="1:11">
      <c r="A39" s="75">
        <v>64111</v>
      </c>
      <c r="B39" s="46">
        <v>64121</v>
      </c>
      <c r="C39" s="571"/>
      <c r="D39" s="215" t="s">
        <v>422</v>
      </c>
      <c r="E39" s="22">
        <v>3</v>
      </c>
      <c r="F39" s="22">
        <v>1</v>
      </c>
      <c r="G39" s="22">
        <v>4</v>
      </c>
      <c r="H39" s="22">
        <v>1</v>
      </c>
      <c r="I39" s="22">
        <v>5</v>
      </c>
      <c r="J39" s="22"/>
      <c r="K39" s="83">
        <v>5</v>
      </c>
    </row>
    <row r="40" spans="1:11">
      <c r="A40" s="75">
        <v>64211</v>
      </c>
      <c r="B40" s="46">
        <v>64221</v>
      </c>
      <c r="C40" s="571"/>
      <c r="D40" s="215" t="s">
        <v>429</v>
      </c>
      <c r="E40" s="22">
        <v>1</v>
      </c>
      <c r="F40" s="22">
        <v>1</v>
      </c>
      <c r="G40" s="22">
        <v>2</v>
      </c>
      <c r="H40" s="22">
        <v>0</v>
      </c>
      <c r="I40" s="22">
        <v>2</v>
      </c>
      <c r="J40" s="22"/>
      <c r="K40" s="83">
        <v>2</v>
      </c>
    </row>
    <row r="41" spans="1:11">
      <c r="A41" s="75">
        <v>67011</v>
      </c>
      <c r="B41" s="46">
        <v>67021</v>
      </c>
      <c r="C41" s="571"/>
      <c r="D41" s="215" t="s">
        <v>466</v>
      </c>
      <c r="E41" s="22">
        <v>8</v>
      </c>
      <c r="F41" s="22">
        <v>0</v>
      </c>
      <c r="G41" s="22">
        <v>8</v>
      </c>
      <c r="H41" s="22">
        <v>1</v>
      </c>
      <c r="I41" s="22">
        <v>9</v>
      </c>
      <c r="J41" s="22"/>
      <c r="K41" s="83">
        <v>9</v>
      </c>
    </row>
    <row r="42" spans="1:11">
      <c r="A42" s="75">
        <v>68111</v>
      </c>
      <c r="B42" s="46">
        <v>68121</v>
      </c>
      <c r="C42" s="571"/>
      <c r="D42" s="215" t="s">
        <v>485</v>
      </c>
      <c r="E42" s="22">
        <v>4</v>
      </c>
      <c r="F42" s="22">
        <v>1</v>
      </c>
      <c r="G42" s="22">
        <v>5</v>
      </c>
      <c r="H42" s="22">
        <v>0</v>
      </c>
      <c r="I42" s="22">
        <v>5</v>
      </c>
      <c r="J42" s="22"/>
      <c r="K42" s="83">
        <v>5</v>
      </c>
    </row>
    <row r="43" spans="1:11">
      <c r="A43" s="75">
        <v>64311</v>
      </c>
      <c r="B43" s="46">
        <v>64321</v>
      </c>
      <c r="C43" s="571"/>
      <c r="D43" s="215" t="s">
        <v>431</v>
      </c>
      <c r="E43" s="22">
        <v>1</v>
      </c>
      <c r="F43" s="22">
        <v>0</v>
      </c>
      <c r="G43" s="22">
        <v>1</v>
      </c>
      <c r="H43" s="22">
        <v>0</v>
      </c>
      <c r="I43" s="22">
        <v>1</v>
      </c>
      <c r="J43" s="22"/>
      <c r="K43" s="83">
        <v>1</v>
      </c>
    </row>
    <row r="44" spans="1:11">
      <c r="A44" s="75">
        <v>69011</v>
      </c>
      <c r="B44" s="46">
        <v>69021</v>
      </c>
      <c r="C44" s="571" t="s">
        <v>627</v>
      </c>
      <c r="D44" s="215" t="s">
        <v>489</v>
      </c>
      <c r="E44" s="22">
        <v>19</v>
      </c>
      <c r="F44" s="22">
        <v>1</v>
      </c>
      <c r="G44" s="22">
        <v>20</v>
      </c>
      <c r="H44" s="22">
        <v>2</v>
      </c>
      <c r="I44" s="22">
        <v>22</v>
      </c>
      <c r="J44" s="22"/>
      <c r="K44" s="83">
        <v>22</v>
      </c>
    </row>
    <row r="45" spans="1:11">
      <c r="A45" s="75">
        <v>60300</v>
      </c>
      <c r="B45" s="46">
        <v>60320</v>
      </c>
      <c r="C45" s="571"/>
      <c r="D45" s="215" t="s">
        <v>138</v>
      </c>
      <c r="E45" s="22">
        <v>8</v>
      </c>
      <c r="F45" s="22">
        <v>0</v>
      </c>
      <c r="G45" s="22">
        <v>8</v>
      </c>
      <c r="H45" s="22">
        <v>2</v>
      </c>
      <c r="I45" s="22">
        <v>10</v>
      </c>
      <c r="J45" s="22"/>
      <c r="K45" s="83">
        <v>10</v>
      </c>
    </row>
    <row r="46" spans="1:11">
      <c r="A46" s="75">
        <v>60411</v>
      </c>
      <c r="B46" s="46">
        <v>60421</v>
      </c>
      <c r="C46" s="571"/>
      <c r="D46" s="215" t="s">
        <v>411</v>
      </c>
      <c r="E46" s="22">
        <v>2</v>
      </c>
      <c r="F46" s="22">
        <v>1</v>
      </c>
      <c r="G46" s="22">
        <v>3</v>
      </c>
      <c r="H46" s="22">
        <v>3</v>
      </c>
      <c r="I46" s="22">
        <v>6</v>
      </c>
      <c r="J46" s="22"/>
      <c r="K46" s="83">
        <v>6</v>
      </c>
    </row>
    <row r="47" spans="1:11">
      <c r="A47" s="75">
        <v>65011</v>
      </c>
      <c r="B47" s="46">
        <v>65021</v>
      </c>
      <c r="C47" s="571" t="s">
        <v>628</v>
      </c>
      <c r="D47" s="215" t="s">
        <v>433</v>
      </c>
      <c r="E47" s="22">
        <v>15</v>
      </c>
      <c r="F47" s="22">
        <v>1</v>
      </c>
      <c r="G47" s="22">
        <v>16</v>
      </c>
      <c r="H47" s="22">
        <v>5</v>
      </c>
      <c r="I47" s="22">
        <v>21</v>
      </c>
      <c r="J47" s="22"/>
      <c r="K47" s="83">
        <v>21</v>
      </c>
    </row>
    <row r="48" spans="1:11">
      <c r="A48" s="75">
        <v>66011</v>
      </c>
      <c r="B48" s="46">
        <v>66021</v>
      </c>
      <c r="C48" s="571"/>
      <c r="D48" s="215" t="s">
        <v>449</v>
      </c>
      <c r="E48" s="22">
        <v>16</v>
      </c>
      <c r="F48" s="22">
        <v>3</v>
      </c>
      <c r="G48" s="22">
        <v>19</v>
      </c>
      <c r="H48" s="22">
        <v>1</v>
      </c>
      <c r="I48" s="22">
        <v>20</v>
      </c>
      <c r="J48" s="22"/>
      <c r="K48" s="83">
        <v>20</v>
      </c>
    </row>
    <row r="49" spans="1:11">
      <c r="A49" s="75">
        <v>61300</v>
      </c>
      <c r="B49" s="46">
        <v>61320</v>
      </c>
      <c r="C49" s="84"/>
      <c r="D49" s="215" t="s">
        <v>162</v>
      </c>
      <c r="E49" s="22">
        <v>8</v>
      </c>
      <c r="F49" s="22">
        <v>1</v>
      </c>
      <c r="G49" s="22">
        <v>9</v>
      </c>
      <c r="H49" s="22">
        <v>1</v>
      </c>
      <c r="I49" s="22">
        <v>10</v>
      </c>
      <c r="J49" s="22"/>
      <c r="K49" s="83">
        <v>10</v>
      </c>
    </row>
    <row r="50" spans="1:11">
      <c r="A50" s="76"/>
      <c r="B50" s="56"/>
      <c r="C50" s="86"/>
      <c r="D50" s="80" t="s">
        <v>619</v>
      </c>
      <c r="E50" s="78">
        <v>103</v>
      </c>
      <c r="F50" s="78">
        <v>10</v>
      </c>
      <c r="G50" s="78">
        <v>113</v>
      </c>
      <c r="H50" s="78">
        <v>23</v>
      </c>
      <c r="I50" s="78">
        <v>136</v>
      </c>
      <c r="J50" s="78">
        <v>0</v>
      </c>
      <c r="K50" s="87">
        <v>136</v>
      </c>
    </row>
    <row r="51" spans="1:11">
      <c r="A51" s="75">
        <v>44011</v>
      </c>
      <c r="B51" s="46">
        <v>44021</v>
      </c>
      <c r="C51" s="571" t="s">
        <v>625</v>
      </c>
      <c r="D51" s="215" t="s">
        <v>381</v>
      </c>
      <c r="E51" s="22">
        <v>2</v>
      </c>
      <c r="F51" s="22">
        <v>0</v>
      </c>
      <c r="G51" s="22">
        <v>2</v>
      </c>
      <c r="H51" s="22">
        <v>1</v>
      </c>
      <c r="I51" s="22">
        <v>3</v>
      </c>
      <c r="J51" s="22"/>
      <c r="K51" s="83">
        <v>3</v>
      </c>
    </row>
    <row r="52" spans="1:11">
      <c r="A52" s="75">
        <v>44111</v>
      </c>
      <c r="B52" s="46">
        <v>44121</v>
      </c>
      <c r="C52" s="571"/>
      <c r="D52" s="215" t="s">
        <v>383</v>
      </c>
      <c r="E52" s="22">
        <v>4</v>
      </c>
      <c r="F52" s="22">
        <v>0</v>
      </c>
      <c r="G52" s="22">
        <v>4</v>
      </c>
      <c r="H52" s="22">
        <v>0</v>
      </c>
      <c r="I52" s="22">
        <v>4</v>
      </c>
      <c r="J52" s="22"/>
      <c r="K52" s="83">
        <v>4</v>
      </c>
    </row>
    <row r="53" spans="1:11">
      <c r="A53" s="75">
        <v>44511</v>
      </c>
      <c r="B53" s="46">
        <v>44521</v>
      </c>
      <c r="C53" s="571"/>
      <c r="D53" s="215" t="s">
        <v>389</v>
      </c>
      <c r="E53" s="22">
        <v>6</v>
      </c>
      <c r="F53" s="22">
        <v>0</v>
      </c>
      <c r="G53" s="22">
        <v>6</v>
      </c>
      <c r="H53" s="22">
        <v>0</v>
      </c>
      <c r="I53" s="22">
        <v>6</v>
      </c>
      <c r="J53" s="22"/>
      <c r="K53" s="83">
        <v>6</v>
      </c>
    </row>
    <row r="54" spans="1:11">
      <c r="A54" s="75">
        <v>45111</v>
      </c>
      <c r="B54" s="46">
        <v>45121</v>
      </c>
      <c r="C54" s="571"/>
      <c r="D54" s="215" t="s">
        <v>396</v>
      </c>
      <c r="E54" s="22">
        <v>14</v>
      </c>
      <c r="F54" s="22">
        <v>0</v>
      </c>
      <c r="G54" s="22">
        <v>14</v>
      </c>
      <c r="H54" s="22">
        <v>2</v>
      </c>
      <c r="I54" s="22">
        <v>16</v>
      </c>
      <c r="J54" s="22"/>
      <c r="K54" s="83">
        <v>16</v>
      </c>
    </row>
    <row r="55" spans="1:11">
      <c r="A55" s="75">
        <v>44200</v>
      </c>
      <c r="B55" s="46">
        <v>44220</v>
      </c>
      <c r="C55" s="213" t="s">
        <v>626</v>
      </c>
      <c r="D55" s="215" t="s">
        <v>114</v>
      </c>
      <c r="E55" s="22">
        <v>5</v>
      </c>
      <c r="F55" s="22">
        <v>1</v>
      </c>
      <c r="G55" s="22">
        <v>6</v>
      </c>
      <c r="H55" s="22">
        <v>1</v>
      </c>
      <c r="I55" s="22">
        <v>7</v>
      </c>
      <c r="J55" s="22"/>
      <c r="K55" s="83">
        <v>7</v>
      </c>
    </row>
    <row r="56" spans="1:11">
      <c r="A56" s="76"/>
      <c r="B56" s="56"/>
      <c r="C56" s="86"/>
      <c r="D56" s="80" t="s">
        <v>618</v>
      </c>
      <c r="E56" s="78">
        <v>31</v>
      </c>
      <c r="F56" s="78">
        <v>1</v>
      </c>
      <c r="G56" s="78">
        <v>32</v>
      </c>
      <c r="H56" s="78">
        <v>4</v>
      </c>
      <c r="I56" s="78">
        <v>36</v>
      </c>
      <c r="J56" s="78">
        <v>0</v>
      </c>
      <c r="K56" s="87">
        <v>36</v>
      </c>
    </row>
    <row r="57" spans="1:11">
      <c r="A57" s="75">
        <v>20000</v>
      </c>
      <c r="B57" s="46">
        <v>20020</v>
      </c>
      <c r="C57" s="84"/>
      <c r="D57" s="215" t="s">
        <v>45</v>
      </c>
      <c r="E57" s="22">
        <v>2</v>
      </c>
      <c r="F57" s="22">
        <v>1</v>
      </c>
      <c r="G57" s="22">
        <v>3</v>
      </c>
      <c r="H57" s="22">
        <v>0</v>
      </c>
      <c r="I57" s="22">
        <v>3</v>
      </c>
      <c r="J57" s="22"/>
      <c r="K57" s="83">
        <v>3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v>2</v>
      </c>
      <c r="F58" s="22">
        <v>1</v>
      </c>
      <c r="G58" s="22">
        <v>3</v>
      </c>
      <c r="H58" s="22">
        <v>0</v>
      </c>
      <c r="I58" s="22">
        <v>3</v>
      </c>
      <c r="J58" s="22"/>
      <c r="K58" s="83">
        <v>3</v>
      </c>
    </row>
    <row r="59" spans="1:11">
      <c r="A59" s="75">
        <v>22000</v>
      </c>
      <c r="B59" s="46">
        <v>22020</v>
      </c>
      <c r="C59" s="84"/>
      <c r="D59" s="215" t="s">
        <v>49</v>
      </c>
      <c r="E59" s="22">
        <v>3</v>
      </c>
      <c r="F59" s="22">
        <v>2</v>
      </c>
      <c r="G59" s="22">
        <v>5</v>
      </c>
      <c r="H59" s="22">
        <v>0</v>
      </c>
      <c r="I59" s="22">
        <v>5</v>
      </c>
      <c r="J59" s="22"/>
      <c r="K59" s="83">
        <v>5</v>
      </c>
    </row>
    <row r="60" spans="1:11">
      <c r="A60" s="75">
        <v>60000</v>
      </c>
      <c r="B60" s="46">
        <v>60020</v>
      </c>
      <c r="C60" s="84"/>
      <c r="D60" s="215" t="s">
        <v>131</v>
      </c>
      <c r="E60" s="22">
        <v>2</v>
      </c>
      <c r="F60" s="22">
        <v>1</v>
      </c>
      <c r="G60" s="22">
        <v>3</v>
      </c>
      <c r="H60" s="22">
        <v>1</v>
      </c>
      <c r="I60" s="22">
        <v>4</v>
      </c>
      <c r="J60" s="22"/>
      <c r="K60" s="83">
        <v>4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v>1</v>
      </c>
      <c r="F61" s="22">
        <v>3</v>
      </c>
      <c r="G61" s="22">
        <v>4</v>
      </c>
      <c r="H61" s="22">
        <v>0</v>
      </c>
      <c r="I61" s="22">
        <v>4</v>
      </c>
      <c r="J61" s="22"/>
      <c r="K61" s="83">
        <v>4</v>
      </c>
    </row>
    <row r="62" spans="1:11">
      <c r="A62" s="75">
        <v>60200</v>
      </c>
      <c r="B62" s="46">
        <v>60220</v>
      </c>
      <c r="C62" s="84"/>
      <c r="D62" s="215" t="s">
        <v>134</v>
      </c>
      <c r="E62" s="22">
        <v>3</v>
      </c>
      <c r="F62" s="22">
        <v>1</v>
      </c>
      <c r="G62" s="22">
        <v>4</v>
      </c>
      <c r="H62" s="22">
        <v>0</v>
      </c>
      <c r="I62" s="22">
        <v>4</v>
      </c>
      <c r="J62" s="22"/>
      <c r="K62" s="83">
        <v>4</v>
      </c>
    </row>
    <row r="63" spans="1:11">
      <c r="A63" s="76"/>
      <c r="B63" s="56"/>
      <c r="C63" s="86"/>
      <c r="D63" s="80" t="s">
        <v>616</v>
      </c>
      <c r="E63" s="78">
        <v>13</v>
      </c>
      <c r="F63" s="78">
        <v>9</v>
      </c>
      <c r="G63" s="78">
        <v>22</v>
      </c>
      <c r="H63" s="78">
        <v>1</v>
      </c>
      <c r="I63" s="78">
        <v>23</v>
      </c>
      <c r="J63" s="78">
        <v>0</v>
      </c>
      <c r="K63" s="87">
        <v>23</v>
      </c>
    </row>
    <row r="64" spans="1:11">
      <c r="A64" s="75">
        <v>30000</v>
      </c>
      <c r="B64" s="46">
        <v>30020</v>
      </c>
      <c r="C64" s="84"/>
      <c r="D64" s="215" t="s">
        <v>53</v>
      </c>
      <c r="E64" s="22">
        <v>14</v>
      </c>
      <c r="F64" s="22">
        <v>1</v>
      </c>
      <c r="G64" s="22">
        <v>15</v>
      </c>
      <c r="H64" s="22">
        <v>3</v>
      </c>
      <c r="I64" s="22">
        <v>18</v>
      </c>
      <c r="J64" s="22"/>
      <c r="K64" s="83">
        <v>18</v>
      </c>
    </row>
    <row r="65" spans="1:11">
      <c r="A65" s="75">
        <v>31000</v>
      </c>
      <c r="B65" s="46">
        <v>31020</v>
      </c>
      <c r="C65" s="84"/>
      <c r="D65" s="215" t="s">
        <v>72</v>
      </c>
      <c r="E65" s="22">
        <v>7</v>
      </c>
      <c r="F65" s="22">
        <v>1</v>
      </c>
      <c r="G65" s="22">
        <v>8</v>
      </c>
      <c r="H65" s="22">
        <v>1</v>
      </c>
      <c r="I65" s="22">
        <v>9</v>
      </c>
      <c r="J65" s="22"/>
      <c r="K65" s="83">
        <v>9</v>
      </c>
    </row>
    <row r="66" spans="1:11">
      <c r="A66" s="75">
        <v>32000</v>
      </c>
      <c r="B66" s="46">
        <v>32020</v>
      </c>
      <c r="C66" s="84"/>
      <c r="D66" s="215" t="s">
        <v>81</v>
      </c>
      <c r="E66" s="22">
        <v>2</v>
      </c>
      <c r="F66" s="22">
        <v>0</v>
      </c>
      <c r="G66" s="22">
        <v>2</v>
      </c>
      <c r="H66" s="22">
        <v>0</v>
      </c>
      <c r="I66" s="22">
        <v>2</v>
      </c>
      <c r="J66" s="22"/>
      <c r="K66" s="83">
        <v>2</v>
      </c>
    </row>
    <row r="67" spans="1:11">
      <c r="A67" s="75">
        <v>33000</v>
      </c>
      <c r="B67" s="46">
        <v>33020</v>
      </c>
      <c r="C67" s="84"/>
      <c r="D67" s="215" t="s">
        <v>84</v>
      </c>
      <c r="E67" s="22">
        <v>2</v>
      </c>
      <c r="F67" s="22">
        <v>0</v>
      </c>
      <c r="G67" s="22">
        <v>2</v>
      </c>
      <c r="H67" s="22">
        <v>0</v>
      </c>
      <c r="I67" s="22">
        <v>2</v>
      </c>
      <c r="J67" s="22"/>
      <c r="K67" s="83">
        <v>2</v>
      </c>
    </row>
    <row r="68" spans="1:11">
      <c r="A68" s="75">
        <v>61000</v>
      </c>
      <c r="B68" s="46">
        <v>61020</v>
      </c>
      <c r="C68" s="84"/>
      <c r="D68" s="215" t="s">
        <v>147</v>
      </c>
      <c r="E68" s="22">
        <v>10</v>
      </c>
      <c r="F68" s="22">
        <v>1</v>
      </c>
      <c r="G68" s="22">
        <v>11</v>
      </c>
      <c r="H68" s="22">
        <v>2</v>
      </c>
      <c r="I68" s="22">
        <v>13</v>
      </c>
      <c r="J68" s="22"/>
      <c r="K68" s="83">
        <v>13</v>
      </c>
    </row>
    <row r="69" spans="1:11">
      <c r="A69" s="2">
        <v>61200</v>
      </c>
      <c r="B69" s="46">
        <v>61220</v>
      </c>
      <c r="C69" s="84"/>
      <c r="D69" s="215" t="s">
        <v>158</v>
      </c>
      <c r="E69" s="22">
        <v>4</v>
      </c>
      <c r="F69" s="22">
        <v>1</v>
      </c>
      <c r="G69" s="22">
        <v>5</v>
      </c>
      <c r="H69" s="22">
        <v>5</v>
      </c>
      <c r="I69" s="22">
        <v>10</v>
      </c>
      <c r="J69" s="22"/>
      <c r="K69" s="83">
        <v>10</v>
      </c>
    </row>
    <row r="70" spans="1:11">
      <c r="B70" s="56"/>
      <c r="C70" s="86"/>
      <c r="D70" s="80" t="s">
        <v>617</v>
      </c>
      <c r="E70" s="78">
        <v>39</v>
      </c>
      <c r="F70" s="78">
        <v>4</v>
      </c>
      <c r="G70" s="78">
        <v>43</v>
      </c>
      <c r="H70" s="78">
        <v>11</v>
      </c>
      <c r="I70" s="78">
        <v>54</v>
      </c>
      <c r="J70" s="78">
        <v>0</v>
      </c>
      <c r="K70" s="87">
        <v>54</v>
      </c>
    </row>
    <row r="71" spans="1:11" ht="18.600000000000001" thickBot="1">
      <c r="C71" s="89"/>
      <c r="D71" s="216" t="s">
        <v>642</v>
      </c>
      <c r="E71" s="90">
        <v>395</v>
      </c>
      <c r="F71" s="90">
        <v>49</v>
      </c>
      <c r="G71" s="90">
        <v>444</v>
      </c>
      <c r="H71" s="90">
        <v>72</v>
      </c>
      <c r="I71" s="90">
        <v>516</v>
      </c>
      <c r="J71" s="90">
        <v>0</v>
      </c>
      <c r="K71" s="91">
        <v>516</v>
      </c>
    </row>
  </sheetData>
  <mergeCells count="18">
    <mergeCell ref="C47:C48"/>
    <mergeCell ref="C51:C54"/>
    <mergeCell ref="C20:C22"/>
    <mergeCell ref="C23:C27"/>
    <mergeCell ref="C28:C31"/>
    <mergeCell ref="C34:C37"/>
    <mergeCell ref="C38:C43"/>
    <mergeCell ref="C44:C46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B65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17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719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14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214"/>
      <c r="C5" s="576"/>
      <c r="D5" s="577"/>
      <c r="E5" s="215" t="s">
        <v>69</v>
      </c>
      <c r="F5" s="215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214">
        <v>202</v>
      </c>
      <c r="C6" s="213"/>
      <c r="D6" s="215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idden="1">
      <c r="A7" s="77">
        <v>210</v>
      </c>
      <c r="B7" s="214">
        <v>211</v>
      </c>
      <c r="C7" s="213"/>
      <c r="D7" s="215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84"/>
      <c r="D8" s="215" t="s">
        <v>26</v>
      </c>
      <c r="E8" s="22">
        <v>6</v>
      </c>
      <c r="F8" s="22">
        <v>3</v>
      </c>
      <c r="G8" s="22">
        <v>9</v>
      </c>
      <c r="H8" s="22">
        <v>0</v>
      </c>
      <c r="I8" s="22">
        <v>9</v>
      </c>
      <c r="J8" s="22"/>
      <c r="K8" s="83">
        <v>9</v>
      </c>
    </row>
    <row r="9" spans="1:11">
      <c r="A9" s="75">
        <v>11000</v>
      </c>
      <c r="B9" s="46">
        <v>11020</v>
      </c>
      <c r="C9" s="84"/>
      <c r="D9" s="215" t="e">
        <v>#N/A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/>
      <c r="K9" s="83">
        <v>0</v>
      </c>
    </row>
    <row r="10" spans="1:11">
      <c r="A10" s="75">
        <v>90000</v>
      </c>
      <c r="B10" s="46">
        <v>90020</v>
      </c>
      <c r="C10" s="84"/>
      <c r="D10" s="215" t="s">
        <v>218</v>
      </c>
      <c r="E10" s="22">
        <v>7</v>
      </c>
      <c r="F10" s="22">
        <v>3</v>
      </c>
      <c r="G10" s="22">
        <v>10</v>
      </c>
      <c r="H10" s="22">
        <v>0</v>
      </c>
      <c r="I10" s="22">
        <v>10</v>
      </c>
      <c r="J10" s="22"/>
      <c r="K10" s="83">
        <v>10</v>
      </c>
    </row>
    <row r="11" spans="1:11">
      <c r="A11" s="75">
        <v>3000</v>
      </c>
      <c r="B11" s="46">
        <v>3020</v>
      </c>
      <c r="C11" s="85"/>
      <c r="D11" s="215" t="s">
        <v>715</v>
      </c>
      <c r="E11" s="22">
        <v>3</v>
      </c>
      <c r="F11" s="22">
        <v>2</v>
      </c>
      <c r="G11" s="22">
        <v>5</v>
      </c>
      <c r="H11" s="22">
        <v>0</v>
      </c>
      <c r="I11" s="22">
        <v>5</v>
      </c>
      <c r="J11" s="22"/>
      <c r="K11" s="83">
        <v>5</v>
      </c>
    </row>
    <row r="12" spans="1:11">
      <c r="A12" s="76">
        <v>1000</v>
      </c>
      <c r="B12" s="46">
        <v>1020</v>
      </c>
      <c r="C12" s="85"/>
      <c r="D12" s="215" t="s">
        <v>17</v>
      </c>
      <c r="E12" s="22">
        <v>4</v>
      </c>
      <c r="F12" s="22">
        <v>2</v>
      </c>
      <c r="G12" s="22">
        <v>6</v>
      </c>
      <c r="H12" s="22">
        <v>3</v>
      </c>
      <c r="I12" s="22">
        <v>9</v>
      </c>
      <c r="J12" s="22"/>
      <c r="K12" s="83">
        <v>9</v>
      </c>
    </row>
    <row r="13" spans="1:11">
      <c r="A13" s="75">
        <v>1100</v>
      </c>
      <c r="B13" s="46">
        <v>1120</v>
      </c>
      <c r="C13" s="85"/>
      <c r="D13" s="215" t="s">
        <v>13</v>
      </c>
      <c r="E13" s="22">
        <v>2</v>
      </c>
      <c r="F13" s="22">
        <v>1</v>
      </c>
      <c r="G13" s="22">
        <v>3</v>
      </c>
      <c r="H13" s="22">
        <v>0</v>
      </c>
      <c r="I13" s="22">
        <v>3</v>
      </c>
      <c r="J13" s="22"/>
      <c r="K13" s="83">
        <v>3</v>
      </c>
    </row>
    <row r="14" spans="1:11">
      <c r="A14" s="76"/>
      <c r="B14" s="56"/>
      <c r="C14" s="86"/>
      <c r="D14" s="80" t="s">
        <v>629</v>
      </c>
      <c r="E14" s="78">
        <v>6</v>
      </c>
      <c r="F14" s="78">
        <v>3</v>
      </c>
      <c r="G14" s="78">
        <v>9</v>
      </c>
      <c r="H14" s="78">
        <v>3</v>
      </c>
      <c r="I14" s="78">
        <v>12</v>
      </c>
      <c r="J14" s="78">
        <v>0</v>
      </c>
      <c r="K14" s="87">
        <v>12</v>
      </c>
    </row>
    <row r="15" spans="1:11">
      <c r="A15" s="75">
        <v>50000</v>
      </c>
      <c r="B15" s="46">
        <v>50020</v>
      </c>
      <c r="C15" s="84"/>
      <c r="D15" s="215" t="s">
        <v>120</v>
      </c>
      <c r="E15" s="22">
        <v>4</v>
      </c>
      <c r="F15" s="22">
        <v>1</v>
      </c>
      <c r="G15" s="22">
        <v>5</v>
      </c>
      <c r="H15" s="22">
        <v>0</v>
      </c>
      <c r="I15" s="22">
        <v>5</v>
      </c>
      <c r="J15" s="22"/>
      <c r="K15" s="83">
        <v>5</v>
      </c>
    </row>
    <row r="16" spans="1:11">
      <c r="A16" s="75">
        <v>51000</v>
      </c>
      <c r="B16" s="46">
        <v>51020</v>
      </c>
      <c r="C16" s="84"/>
      <c r="D16" s="215" t="s">
        <v>124</v>
      </c>
      <c r="E16" s="22">
        <v>7</v>
      </c>
      <c r="F16" s="22">
        <v>0</v>
      </c>
      <c r="G16" s="22">
        <v>7</v>
      </c>
      <c r="H16" s="22">
        <v>0</v>
      </c>
      <c r="I16" s="22">
        <v>7</v>
      </c>
      <c r="J16" s="22"/>
      <c r="K16" s="83">
        <v>7</v>
      </c>
    </row>
    <row r="17" spans="1:11">
      <c r="A17" s="75">
        <v>63000</v>
      </c>
      <c r="B17" s="46">
        <v>63020</v>
      </c>
      <c r="C17" s="84"/>
      <c r="D17" s="215" t="s">
        <v>165</v>
      </c>
      <c r="E17" s="22">
        <v>7</v>
      </c>
      <c r="F17" s="22">
        <v>1</v>
      </c>
      <c r="G17" s="22">
        <v>8</v>
      </c>
      <c r="H17" s="22">
        <v>1</v>
      </c>
      <c r="I17" s="22">
        <v>9</v>
      </c>
      <c r="J17" s="22"/>
      <c r="K17" s="83">
        <v>9</v>
      </c>
    </row>
    <row r="18" spans="1:11">
      <c r="A18" s="76"/>
      <c r="B18" s="56"/>
      <c r="C18" s="86"/>
      <c r="D18" s="80" t="s">
        <v>630</v>
      </c>
      <c r="E18" s="78">
        <v>18</v>
      </c>
      <c r="F18" s="78">
        <v>2</v>
      </c>
      <c r="G18" s="78">
        <v>20</v>
      </c>
      <c r="H18" s="78">
        <v>1</v>
      </c>
      <c r="I18" s="78">
        <v>21</v>
      </c>
      <c r="J18" s="78">
        <v>0</v>
      </c>
      <c r="K18" s="87">
        <v>21</v>
      </c>
    </row>
    <row r="19" spans="1:11">
      <c r="A19" s="75">
        <v>80000</v>
      </c>
      <c r="B19" s="46">
        <v>80020</v>
      </c>
      <c r="C19" s="84"/>
      <c r="D19" s="215" t="s">
        <v>172</v>
      </c>
      <c r="E19" s="22">
        <v>40</v>
      </c>
      <c r="F19" s="22">
        <v>3</v>
      </c>
      <c r="G19" s="22">
        <v>43</v>
      </c>
      <c r="H19" s="22">
        <v>8</v>
      </c>
      <c r="I19" s="22">
        <v>51</v>
      </c>
      <c r="J19" s="22"/>
      <c r="K19" s="83">
        <v>51</v>
      </c>
    </row>
    <row r="20" spans="1:11">
      <c r="A20" s="75">
        <v>41111</v>
      </c>
      <c r="B20" s="46">
        <v>41121</v>
      </c>
      <c r="C20" s="571" t="s">
        <v>625</v>
      </c>
      <c r="D20" s="215" t="s">
        <v>280</v>
      </c>
      <c r="E20" s="22">
        <v>10</v>
      </c>
      <c r="F20" s="22">
        <v>0</v>
      </c>
      <c r="G20" s="22">
        <v>10</v>
      </c>
      <c r="H20" s="22">
        <v>3</v>
      </c>
      <c r="I20" s="22">
        <v>13</v>
      </c>
      <c r="J20" s="22"/>
      <c r="K20" s="83">
        <v>13</v>
      </c>
    </row>
    <row r="21" spans="1:11">
      <c r="A21" s="75">
        <v>43011</v>
      </c>
      <c r="B21" s="46">
        <v>43021</v>
      </c>
      <c r="C21" s="571"/>
      <c r="D21" s="215" t="s">
        <v>349</v>
      </c>
      <c r="E21" s="22">
        <v>15</v>
      </c>
      <c r="F21" s="22">
        <v>0</v>
      </c>
      <c r="G21" s="22">
        <v>15</v>
      </c>
      <c r="H21" s="22">
        <v>1</v>
      </c>
      <c r="I21" s="22">
        <v>16</v>
      </c>
      <c r="J21" s="22"/>
      <c r="K21" s="83">
        <v>16</v>
      </c>
    </row>
    <row r="22" spans="1:11">
      <c r="A22" s="75">
        <v>41011</v>
      </c>
      <c r="B22" s="46">
        <v>41021</v>
      </c>
      <c r="C22" s="571"/>
      <c r="D22" s="215" t="s">
        <v>258</v>
      </c>
      <c r="E22" s="22">
        <v>20</v>
      </c>
      <c r="F22" s="22">
        <v>0</v>
      </c>
      <c r="G22" s="22">
        <v>20</v>
      </c>
      <c r="H22" s="22">
        <v>2</v>
      </c>
      <c r="I22" s="22">
        <v>22</v>
      </c>
      <c r="J22" s="22"/>
      <c r="K22" s="83">
        <v>22</v>
      </c>
    </row>
    <row r="23" spans="1:11">
      <c r="A23" s="75">
        <v>42111</v>
      </c>
      <c r="B23" s="46">
        <v>42121</v>
      </c>
      <c r="C23" s="571" t="s">
        <v>626</v>
      </c>
      <c r="D23" s="215" t="s">
        <v>305</v>
      </c>
      <c r="E23" s="22">
        <v>9</v>
      </c>
      <c r="F23" s="22">
        <v>0</v>
      </c>
      <c r="G23" s="22">
        <v>9</v>
      </c>
      <c r="H23" s="22">
        <v>0</v>
      </c>
      <c r="I23" s="22">
        <v>9</v>
      </c>
      <c r="J23" s="22"/>
      <c r="K23" s="83">
        <v>9</v>
      </c>
    </row>
    <row r="24" spans="1:11">
      <c r="A24" s="75">
        <v>42411</v>
      </c>
      <c r="B24" s="46">
        <v>42421</v>
      </c>
      <c r="C24" s="571"/>
      <c r="D24" s="215" t="s">
        <v>339</v>
      </c>
      <c r="E24" s="22">
        <v>10</v>
      </c>
      <c r="F24" s="22">
        <v>2</v>
      </c>
      <c r="G24" s="22">
        <v>12</v>
      </c>
      <c r="H24" s="22">
        <v>3</v>
      </c>
      <c r="I24" s="22">
        <v>15</v>
      </c>
      <c r="J24" s="22"/>
      <c r="K24" s="83">
        <v>15</v>
      </c>
    </row>
    <row r="25" spans="1:11">
      <c r="A25" s="75">
        <v>42211</v>
      </c>
      <c r="B25" s="46">
        <v>42221</v>
      </c>
      <c r="C25" s="571"/>
      <c r="D25" s="215" t="s">
        <v>318</v>
      </c>
      <c r="E25" s="22">
        <v>11</v>
      </c>
      <c r="F25" s="22">
        <v>0</v>
      </c>
      <c r="G25" s="22">
        <v>11</v>
      </c>
      <c r="H25" s="22">
        <v>0</v>
      </c>
      <c r="I25" s="22">
        <v>11</v>
      </c>
      <c r="J25" s="22"/>
      <c r="K25" s="83">
        <v>11</v>
      </c>
    </row>
    <row r="26" spans="1:11">
      <c r="A26" s="75">
        <v>42011</v>
      </c>
      <c r="B26" s="46">
        <v>42021</v>
      </c>
      <c r="C26" s="571"/>
      <c r="D26" s="215" t="s">
        <v>290</v>
      </c>
      <c r="E26" s="22">
        <v>13</v>
      </c>
      <c r="F26" s="22">
        <v>0</v>
      </c>
      <c r="G26" s="22">
        <v>13</v>
      </c>
      <c r="H26" s="22">
        <v>2</v>
      </c>
      <c r="I26" s="22">
        <v>15</v>
      </c>
      <c r="J26" s="22"/>
      <c r="K26" s="83">
        <v>15</v>
      </c>
    </row>
    <row r="27" spans="1:11">
      <c r="A27" s="75">
        <v>42311</v>
      </c>
      <c r="B27" s="46">
        <v>42321</v>
      </c>
      <c r="C27" s="571"/>
      <c r="D27" s="215" t="s">
        <v>331</v>
      </c>
      <c r="E27" s="22">
        <v>8</v>
      </c>
      <c r="F27" s="22">
        <v>0</v>
      </c>
      <c r="G27" s="22">
        <v>8</v>
      </c>
      <c r="H27" s="22">
        <v>0</v>
      </c>
      <c r="I27" s="22">
        <v>8</v>
      </c>
      <c r="J27" s="22"/>
      <c r="K27" s="83">
        <v>8</v>
      </c>
    </row>
    <row r="28" spans="1:11">
      <c r="A28" s="75">
        <v>43211</v>
      </c>
      <c r="B28" s="46">
        <v>43221</v>
      </c>
      <c r="C28" s="571" t="s">
        <v>627</v>
      </c>
      <c r="D28" s="215" t="s">
        <v>364</v>
      </c>
      <c r="E28" s="22">
        <v>11</v>
      </c>
      <c r="F28" s="22">
        <v>6</v>
      </c>
      <c r="G28" s="22">
        <v>17</v>
      </c>
      <c r="H28" s="22">
        <v>3</v>
      </c>
      <c r="I28" s="22">
        <v>20</v>
      </c>
      <c r="J28" s="22"/>
      <c r="K28" s="83">
        <v>20</v>
      </c>
    </row>
    <row r="29" spans="1:11">
      <c r="A29" s="75">
        <v>43311</v>
      </c>
      <c r="B29" s="46">
        <v>43321</v>
      </c>
      <c r="C29" s="571"/>
      <c r="D29" s="215" t="s">
        <v>377</v>
      </c>
      <c r="E29" s="22">
        <v>4</v>
      </c>
      <c r="F29" s="22">
        <v>0</v>
      </c>
      <c r="G29" s="22">
        <v>4</v>
      </c>
      <c r="H29" s="22">
        <v>1</v>
      </c>
      <c r="I29" s="22">
        <v>5</v>
      </c>
      <c r="J29" s="22"/>
      <c r="K29" s="83">
        <v>5</v>
      </c>
    </row>
    <row r="30" spans="1:11">
      <c r="A30" s="75">
        <v>41200</v>
      </c>
      <c r="B30" s="46">
        <v>41220</v>
      </c>
      <c r="C30" s="571"/>
      <c r="D30" s="215" t="s">
        <v>103</v>
      </c>
      <c r="E30" s="22">
        <v>6</v>
      </c>
      <c r="F30" s="22">
        <v>0</v>
      </c>
      <c r="G30" s="22">
        <v>6</v>
      </c>
      <c r="H30" s="22">
        <v>5</v>
      </c>
      <c r="I30" s="22">
        <v>11</v>
      </c>
      <c r="J30" s="22"/>
      <c r="K30" s="83">
        <v>11</v>
      </c>
    </row>
    <row r="31" spans="1:11">
      <c r="A31" s="75">
        <v>40400</v>
      </c>
      <c r="B31" s="46">
        <v>40420</v>
      </c>
      <c r="C31" s="571"/>
      <c r="D31" s="215" t="s">
        <v>98</v>
      </c>
      <c r="E31" s="22">
        <v>4</v>
      </c>
      <c r="F31" s="22">
        <v>0</v>
      </c>
      <c r="G31" s="22">
        <v>4</v>
      </c>
      <c r="H31" s="22">
        <v>0</v>
      </c>
      <c r="I31" s="22">
        <v>4</v>
      </c>
      <c r="J31" s="22"/>
      <c r="K31" s="83">
        <v>4</v>
      </c>
    </row>
    <row r="32" spans="1:11">
      <c r="A32" s="75">
        <v>40000</v>
      </c>
      <c r="B32" s="46">
        <v>40020</v>
      </c>
      <c r="C32" s="84"/>
      <c r="D32" s="215" t="s">
        <v>87</v>
      </c>
      <c r="E32" s="22">
        <v>9</v>
      </c>
      <c r="F32" s="22">
        <v>1</v>
      </c>
      <c r="G32" s="22">
        <v>10</v>
      </c>
      <c r="H32" s="22">
        <v>0</v>
      </c>
      <c r="I32" s="22">
        <v>10</v>
      </c>
      <c r="J32" s="22"/>
      <c r="K32" s="83">
        <v>10</v>
      </c>
    </row>
    <row r="33" spans="1:11">
      <c r="A33" s="76"/>
      <c r="B33" s="56"/>
      <c r="C33" s="86"/>
      <c r="D33" s="80" t="s">
        <v>620</v>
      </c>
      <c r="E33" s="78">
        <v>130</v>
      </c>
      <c r="F33" s="78">
        <v>9</v>
      </c>
      <c r="G33" s="78">
        <v>139</v>
      </c>
      <c r="H33" s="78">
        <v>20</v>
      </c>
      <c r="I33" s="78">
        <v>159</v>
      </c>
      <c r="J33" s="78">
        <v>0</v>
      </c>
      <c r="K33" s="87">
        <v>159</v>
      </c>
    </row>
    <row r="34" spans="1:11">
      <c r="A34" s="75">
        <v>67211</v>
      </c>
      <c r="B34" s="46">
        <v>67221</v>
      </c>
      <c r="C34" s="571" t="s">
        <v>625</v>
      </c>
      <c r="D34" s="215" t="s">
        <v>476</v>
      </c>
      <c r="E34" s="22">
        <v>4</v>
      </c>
      <c r="F34" s="22">
        <v>0</v>
      </c>
      <c r="G34" s="22">
        <v>4</v>
      </c>
      <c r="H34" s="22">
        <v>2</v>
      </c>
      <c r="I34" s="22">
        <v>6</v>
      </c>
      <c r="J34" s="22"/>
      <c r="K34" s="83">
        <v>6</v>
      </c>
    </row>
    <row r="35" spans="1:11">
      <c r="A35" s="75">
        <v>68011</v>
      </c>
      <c r="B35" s="46">
        <v>68021</v>
      </c>
      <c r="C35" s="571"/>
      <c r="D35" s="215" t="s">
        <v>483</v>
      </c>
      <c r="E35" s="22">
        <v>2</v>
      </c>
      <c r="F35" s="22">
        <v>0</v>
      </c>
      <c r="G35" s="22">
        <v>2</v>
      </c>
      <c r="H35" s="22">
        <v>1</v>
      </c>
      <c r="I35" s="22">
        <v>3</v>
      </c>
      <c r="J35" s="22"/>
      <c r="K35" s="83">
        <v>3</v>
      </c>
    </row>
    <row r="36" spans="1:11">
      <c r="A36" s="75">
        <v>69211</v>
      </c>
      <c r="B36" s="46">
        <v>69221</v>
      </c>
      <c r="C36" s="571"/>
      <c r="D36" s="215" t="s">
        <v>508</v>
      </c>
      <c r="E36" s="22">
        <v>4</v>
      </c>
      <c r="F36" s="22">
        <v>0</v>
      </c>
      <c r="G36" s="79">
        <v>4</v>
      </c>
      <c r="H36" s="22">
        <v>2</v>
      </c>
      <c r="I36" s="22">
        <v>6</v>
      </c>
      <c r="J36" s="22"/>
      <c r="K36" s="83">
        <v>6</v>
      </c>
    </row>
    <row r="37" spans="1:11">
      <c r="A37" s="75">
        <v>69111</v>
      </c>
      <c r="B37" s="46">
        <v>69121</v>
      </c>
      <c r="C37" s="571"/>
      <c r="D37" s="215" t="s">
        <v>506</v>
      </c>
      <c r="E37" s="22">
        <v>1</v>
      </c>
      <c r="F37" s="22">
        <v>0</v>
      </c>
      <c r="G37" s="79">
        <v>1</v>
      </c>
      <c r="H37" s="22">
        <v>0</v>
      </c>
      <c r="I37" s="22">
        <v>1</v>
      </c>
      <c r="J37" s="22"/>
      <c r="K37" s="83">
        <v>1</v>
      </c>
    </row>
    <row r="38" spans="1:11">
      <c r="A38" s="75">
        <v>64011</v>
      </c>
      <c r="B38" s="46">
        <v>64021</v>
      </c>
      <c r="C38" s="571" t="s">
        <v>626</v>
      </c>
      <c r="D38" s="215" t="s">
        <v>416</v>
      </c>
      <c r="E38" s="22">
        <v>6</v>
      </c>
      <c r="F38" s="22">
        <v>0</v>
      </c>
      <c r="G38" s="22">
        <v>6</v>
      </c>
      <c r="H38" s="22">
        <v>2</v>
      </c>
      <c r="I38" s="22">
        <v>8</v>
      </c>
      <c r="J38" s="22"/>
      <c r="K38" s="83">
        <v>8</v>
      </c>
    </row>
    <row r="39" spans="1:11">
      <c r="A39" s="75">
        <v>64111</v>
      </c>
      <c r="B39" s="46">
        <v>64121</v>
      </c>
      <c r="C39" s="571"/>
      <c r="D39" s="215" t="s">
        <v>422</v>
      </c>
      <c r="E39" s="22">
        <v>3</v>
      </c>
      <c r="F39" s="22">
        <v>1</v>
      </c>
      <c r="G39" s="22">
        <v>4</v>
      </c>
      <c r="H39" s="22">
        <v>1</v>
      </c>
      <c r="I39" s="22">
        <v>5</v>
      </c>
      <c r="J39" s="22"/>
      <c r="K39" s="83">
        <v>5</v>
      </c>
    </row>
    <row r="40" spans="1:11">
      <c r="A40" s="75">
        <v>64211</v>
      </c>
      <c r="B40" s="46">
        <v>64221</v>
      </c>
      <c r="C40" s="571"/>
      <c r="D40" s="215" t="s">
        <v>429</v>
      </c>
      <c r="E40" s="22">
        <v>1</v>
      </c>
      <c r="F40" s="22">
        <v>1</v>
      </c>
      <c r="G40" s="22">
        <v>2</v>
      </c>
      <c r="H40" s="22">
        <v>0</v>
      </c>
      <c r="I40" s="22">
        <v>2</v>
      </c>
      <c r="J40" s="22"/>
      <c r="K40" s="83">
        <v>2</v>
      </c>
    </row>
    <row r="41" spans="1:11">
      <c r="A41" s="75">
        <v>67011</v>
      </c>
      <c r="B41" s="46">
        <v>67021</v>
      </c>
      <c r="C41" s="571"/>
      <c r="D41" s="215" t="s">
        <v>466</v>
      </c>
      <c r="E41" s="22">
        <v>8</v>
      </c>
      <c r="F41" s="22">
        <v>0</v>
      </c>
      <c r="G41" s="22">
        <v>8</v>
      </c>
      <c r="H41" s="22">
        <v>1</v>
      </c>
      <c r="I41" s="22">
        <v>9</v>
      </c>
      <c r="J41" s="22"/>
      <c r="K41" s="83">
        <v>9</v>
      </c>
    </row>
    <row r="42" spans="1:11">
      <c r="A42" s="75">
        <v>68111</v>
      </c>
      <c r="B42" s="46">
        <v>68121</v>
      </c>
      <c r="C42" s="571"/>
      <c r="D42" s="215" t="s">
        <v>485</v>
      </c>
      <c r="E42" s="22">
        <v>4</v>
      </c>
      <c r="F42" s="22">
        <v>1</v>
      </c>
      <c r="G42" s="22">
        <v>5</v>
      </c>
      <c r="H42" s="22">
        <v>0</v>
      </c>
      <c r="I42" s="22">
        <v>5</v>
      </c>
      <c r="J42" s="22"/>
      <c r="K42" s="83">
        <v>5</v>
      </c>
    </row>
    <row r="43" spans="1:11">
      <c r="A43" s="75">
        <v>64311</v>
      </c>
      <c r="B43" s="46">
        <v>64321</v>
      </c>
      <c r="C43" s="571"/>
      <c r="D43" s="215" t="s">
        <v>431</v>
      </c>
      <c r="E43" s="22">
        <v>1</v>
      </c>
      <c r="F43" s="22">
        <v>0</v>
      </c>
      <c r="G43" s="22">
        <v>1</v>
      </c>
      <c r="H43" s="22">
        <v>0</v>
      </c>
      <c r="I43" s="22">
        <v>1</v>
      </c>
      <c r="J43" s="22"/>
      <c r="K43" s="83">
        <v>1</v>
      </c>
    </row>
    <row r="44" spans="1:11">
      <c r="A44" s="75">
        <v>69011</v>
      </c>
      <c r="B44" s="46">
        <v>69021</v>
      </c>
      <c r="C44" s="571" t="s">
        <v>627</v>
      </c>
      <c r="D44" s="215" t="s">
        <v>489</v>
      </c>
      <c r="E44" s="22">
        <v>19</v>
      </c>
      <c r="F44" s="22">
        <v>1</v>
      </c>
      <c r="G44" s="22">
        <v>20</v>
      </c>
      <c r="H44" s="22">
        <v>2</v>
      </c>
      <c r="I44" s="22">
        <v>22</v>
      </c>
      <c r="J44" s="22"/>
      <c r="K44" s="83">
        <v>22</v>
      </c>
    </row>
    <row r="45" spans="1:11">
      <c r="A45" s="75">
        <v>60300</v>
      </c>
      <c r="B45" s="46">
        <v>60320</v>
      </c>
      <c r="C45" s="571"/>
      <c r="D45" s="215" t="s">
        <v>138</v>
      </c>
      <c r="E45" s="22">
        <v>8</v>
      </c>
      <c r="F45" s="22">
        <v>0</v>
      </c>
      <c r="G45" s="22">
        <v>8</v>
      </c>
      <c r="H45" s="22">
        <v>2</v>
      </c>
      <c r="I45" s="22">
        <v>10</v>
      </c>
      <c r="J45" s="22"/>
      <c r="K45" s="83">
        <v>10</v>
      </c>
    </row>
    <row r="46" spans="1:11">
      <c r="A46" s="75">
        <v>60411</v>
      </c>
      <c r="B46" s="46">
        <v>60421</v>
      </c>
      <c r="C46" s="571"/>
      <c r="D46" s="215" t="s">
        <v>411</v>
      </c>
      <c r="E46" s="22">
        <v>2</v>
      </c>
      <c r="F46" s="22">
        <v>1</v>
      </c>
      <c r="G46" s="22">
        <v>3</v>
      </c>
      <c r="H46" s="22">
        <v>3</v>
      </c>
      <c r="I46" s="22">
        <v>6</v>
      </c>
      <c r="J46" s="22"/>
      <c r="K46" s="83">
        <v>6</v>
      </c>
    </row>
    <row r="47" spans="1:11">
      <c r="A47" s="75">
        <v>65011</v>
      </c>
      <c r="B47" s="46">
        <v>65021</v>
      </c>
      <c r="C47" s="571" t="s">
        <v>628</v>
      </c>
      <c r="D47" s="215" t="s">
        <v>433</v>
      </c>
      <c r="E47" s="22">
        <v>15</v>
      </c>
      <c r="F47" s="22">
        <v>1</v>
      </c>
      <c r="G47" s="22">
        <v>16</v>
      </c>
      <c r="H47" s="22">
        <v>5</v>
      </c>
      <c r="I47" s="22">
        <v>21</v>
      </c>
      <c r="J47" s="22"/>
      <c r="K47" s="83">
        <v>21</v>
      </c>
    </row>
    <row r="48" spans="1:11">
      <c r="A48" s="75">
        <v>66011</v>
      </c>
      <c r="B48" s="46">
        <v>66021</v>
      </c>
      <c r="C48" s="571"/>
      <c r="D48" s="215" t="s">
        <v>449</v>
      </c>
      <c r="E48" s="22">
        <v>16</v>
      </c>
      <c r="F48" s="22">
        <v>3</v>
      </c>
      <c r="G48" s="22">
        <v>19</v>
      </c>
      <c r="H48" s="22">
        <v>1</v>
      </c>
      <c r="I48" s="22">
        <v>20</v>
      </c>
      <c r="J48" s="22"/>
      <c r="K48" s="83">
        <v>20</v>
      </c>
    </row>
    <row r="49" spans="1:11">
      <c r="A49" s="75">
        <v>61300</v>
      </c>
      <c r="B49" s="46">
        <v>61320</v>
      </c>
      <c r="C49" s="84"/>
      <c r="D49" s="215" t="s">
        <v>162</v>
      </c>
      <c r="E49" s="22">
        <v>7</v>
      </c>
      <c r="F49" s="22">
        <v>1</v>
      </c>
      <c r="G49" s="22">
        <v>8</v>
      </c>
      <c r="H49" s="22">
        <v>1</v>
      </c>
      <c r="I49" s="22">
        <v>9</v>
      </c>
      <c r="J49" s="22"/>
      <c r="K49" s="83">
        <v>9</v>
      </c>
    </row>
    <row r="50" spans="1:11">
      <c r="A50" s="76"/>
      <c r="B50" s="56"/>
      <c r="C50" s="86"/>
      <c r="D50" s="80" t="s">
        <v>619</v>
      </c>
      <c r="E50" s="78">
        <v>101</v>
      </c>
      <c r="F50" s="78">
        <v>10</v>
      </c>
      <c r="G50" s="78">
        <v>111</v>
      </c>
      <c r="H50" s="78">
        <v>23</v>
      </c>
      <c r="I50" s="78">
        <v>134</v>
      </c>
      <c r="J50" s="78">
        <v>0</v>
      </c>
      <c r="K50" s="87">
        <v>134</v>
      </c>
    </row>
    <row r="51" spans="1:11">
      <c r="A51" s="75">
        <v>44011</v>
      </c>
      <c r="B51" s="46">
        <v>44021</v>
      </c>
      <c r="C51" s="571" t="s">
        <v>625</v>
      </c>
      <c r="D51" s="215" t="s">
        <v>381</v>
      </c>
      <c r="E51" s="22">
        <v>2</v>
      </c>
      <c r="F51" s="22">
        <v>0</v>
      </c>
      <c r="G51" s="22">
        <v>2</v>
      </c>
      <c r="H51" s="22">
        <v>1</v>
      </c>
      <c r="I51" s="22">
        <v>3</v>
      </c>
      <c r="J51" s="22"/>
      <c r="K51" s="83">
        <v>3</v>
      </c>
    </row>
    <row r="52" spans="1:11">
      <c r="A52" s="75">
        <v>44111</v>
      </c>
      <c r="B52" s="46">
        <v>44121</v>
      </c>
      <c r="C52" s="571"/>
      <c r="D52" s="215" t="s">
        <v>383</v>
      </c>
      <c r="E52" s="22">
        <v>4</v>
      </c>
      <c r="F52" s="22">
        <v>0</v>
      </c>
      <c r="G52" s="22">
        <v>4</v>
      </c>
      <c r="H52" s="22">
        <v>0</v>
      </c>
      <c r="I52" s="22">
        <v>4</v>
      </c>
      <c r="J52" s="22"/>
      <c r="K52" s="83">
        <v>4</v>
      </c>
    </row>
    <row r="53" spans="1:11">
      <c r="A53" s="75">
        <v>44511</v>
      </c>
      <c r="B53" s="46">
        <v>44521</v>
      </c>
      <c r="C53" s="571"/>
      <c r="D53" s="215" t="s">
        <v>389</v>
      </c>
      <c r="E53" s="22">
        <v>6</v>
      </c>
      <c r="F53" s="22">
        <v>0</v>
      </c>
      <c r="G53" s="22">
        <v>6</v>
      </c>
      <c r="H53" s="22">
        <v>0</v>
      </c>
      <c r="I53" s="22">
        <v>6</v>
      </c>
      <c r="J53" s="22"/>
      <c r="K53" s="83">
        <v>6</v>
      </c>
    </row>
    <row r="54" spans="1:11">
      <c r="A54" s="75">
        <v>45111</v>
      </c>
      <c r="B54" s="46">
        <v>45121</v>
      </c>
      <c r="C54" s="571"/>
      <c r="D54" s="215" t="s">
        <v>396</v>
      </c>
      <c r="E54" s="22">
        <v>14</v>
      </c>
      <c r="F54" s="22">
        <v>0</v>
      </c>
      <c r="G54" s="22">
        <v>14</v>
      </c>
      <c r="H54" s="22">
        <v>2</v>
      </c>
      <c r="I54" s="22">
        <v>16</v>
      </c>
      <c r="J54" s="22"/>
      <c r="K54" s="83">
        <v>16</v>
      </c>
    </row>
    <row r="55" spans="1:11">
      <c r="A55" s="75">
        <v>44200</v>
      </c>
      <c r="B55" s="46">
        <v>44220</v>
      </c>
      <c r="C55" s="213" t="s">
        <v>626</v>
      </c>
      <c r="D55" s="215" t="s">
        <v>114</v>
      </c>
      <c r="E55" s="22">
        <v>5</v>
      </c>
      <c r="F55" s="22">
        <v>1</v>
      </c>
      <c r="G55" s="22">
        <v>6</v>
      </c>
      <c r="H55" s="22">
        <v>2</v>
      </c>
      <c r="I55" s="22">
        <v>8</v>
      </c>
      <c r="J55" s="22"/>
      <c r="K55" s="83">
        <v>8</v>
      </c>
    </row>
    <row r="56" spans="1:11">
      <c r="A56" s="76"/>
      <c r="B56" s="56"/>
      <c r="C56" s="86"/>
      <c r="D56" s="80" t="s">
        <v>618</v>
      </c>
      <c r="E56" s="78">
        <v>31</v>
      </c>
      <c r="F56" s="78">
        <v>1</v>
      </c>
      <c r="G56" s="78">
        <v>32</v>
      </c>
      <c r="H56" s="78">
        <v>5</v>
      </c>
      <c r="I56" s="78">
        <v>37</v>
      </c>
      <c r="J56" s="78">
        <v>0</v>
      </c>
      <c r="K56" s="87">
        <v>37</v>
      </c>
    </row>
    <row r="57" spans="1:11">
      <c r="A57" s="75">
        <v>20000</v>
      </c>
      <c r="B57" s="46">
        <v>20020</v>
      </c>
      <c r="C57" s="84"/>
      <c r="D57" s="215" t="s">
        <v>45</v>
      </c>
      <c r="E57" s="22">
        <v>2</v>
      </c>
      <c r="F57" s="22">
        <v>1</v>
      </c>
      <c r="G57" s="22">
        <v>3</v>
      </c>
      <c r="H57" s="22">
        <v>0</v>
      </c>
      <c r="I57" s="22">
        <v>3</v>
      </c>
      <c r="J57" s="22"/>
      <c r="K57" s="83">
        <v>3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v>2</v>
      </c>
      <c r="F58" s="22">
        <v>1</v>
      </c>
      <c r="G58" s="22">
        <v>3</v>
      </c>
      <c r="H58" s="22">
        <v>0</v>
      </c>
      <c r="I58" s="22">
        <v>3</v>
      </c>
      <c r="J58" s="22"/>
      <c r="K58" s="83">
        <v>3</v>
      </c>
    </row>
    <row r="59" spans="1:11">
      <c r="A59" s="75">
        <v>22000</v>
      </c>
      <c r="B59" s="46">
        <v>22020</v>
      </c>
      <c r="C59" s="84"/>
      <c r="D59" s="215" t="s">
        <v>49</v>
      </c>
      <c r="E59" s="22">
        <v>3</v>
      </c>
      <c r="F59" s="22">
        <v>2</v>
      </c>
      <c r="G59" s="22">
        <v>5</v>
      </c>
      <c r="H59" s="22">
        <v>0</v>
      </c>
      <c r="I59" s="22">
        <v>5</v>
      </c>
      <c r="J59" s="22"/>
      <c r="K59" s="83">
        <v>5</v>
      </c>
    </row>
    <row r="60" spans="1:11">
      <c r="A60" s="75">
        <v>60000</v>
      </c>
      <c r="B60" s="46">
        <v>60020</v>
      </c>
      <c r="C60" s="84"/>
      <c r="D60" s="215" t="s">
        <v>131</v>
      </c>
      <c r="E60" s="22">
        <v>2</v>
      </c>
      <c r="F60" s="22">
        <v>1</v>
      </c>
      <c r="G60" s="22">
        <v>3</v>
      </c>
      <c r="H60" s="22">
        <v>1</v>
      </c>
      <c r="I60" s="22">
        <v>4</v>
      </c>
      <c r="J60" s="22"/>
      <c r="K60" s="83">
        <v>4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v>1</v>
      </c>
      <c r="F61" s="22">
        <v>3</v>
      </c>
      <c r="G61" s="22">
        <v>4</v>
      </c>
      <c r="H61" s="22">
        <v>0</v>
      </c>
      <c r="I61" s="22">
        <v>4</v>
      </c>
      <c r="J61" s="22"/>
      <c r="K61" s="83">
        <v>4</v>
      </c>
    </row>
    <row r="62" spans="1:11">
      <c r="A62" s="75">
        <v>60200</v>
      </c>
      <c r="B62" s="46">
        <v>60220</v>
      </c>
      <c r="C62" s="84"/>
      <c r="D62" s="215" t="s">
        <v>134</v>
      </c>
      <c r="E62" s="22">
        <v>3</v>
      </c>
      <c r="F62" s="22">
        <v>1</v>
      </c>
      <c r="G62" s="22">
        <v>4</v>
      </c>
      <c r="H62" s="22">
        <v>0</v>
      </c>
      <c r="I62" s="22">
        <v>4</v>
      </c>
      <c r="J62" s="22"/>
      <c r="K62" s="83">
        <v>4</v>
      </c>
    </row>
    <row r="63" spans="1:11">
      <c r="A63" s="76"/>
      <c r="B63" s="56"/>
      <c r="C63" s="86"/>
      <c r="D63" s="80" t="s">
        <v>616</v>
      </c>
      <c r="E63" s="78">
        <v>13</v>
      </c>
      <c r="F63" s="78">
        <v>9</v>
      </c>
      <c r="G63" s="78">
        <v>22</v>
      </c>
      <c r="H63" s="78">
        <v>1</v>
      </c>
      <c r="I63" s="78">
        <v>23</v>
      </c>
      <c r="J63" s="78">
        <v>0</v>
      </c>
      <c r="K63" s="87">
        <v>23</v>
      </c>
    </row>
    <row r="64" spans="1:11">
      <c r="A64" s="75">
        <v>30000</v>
      </c>
      <c r="B64" s="46">
        <v>30020</v>
      </c>
      <c r="C64" s="84"/>
      <c r="D64" s="215" t="s">
        <v>53</v>
      </c>
      <c r="E64" s="22">
        <v>14</v>
      </c>
      <c r="F64" s="22">
        <v>1</v>
      </c>
      <c r="G64" s="22">
        <v>15</v>
      </c>
      <c r="H64" s="22">
        <v>3</v>
      </c>
      <c r="I64" s="22">
        <v>18</v>
      </c>
      <c r="J64" s="22"/>
      <c r="K64" s="83">
        <v>18</v>
      </c>
    </row>
    <row r="65" spans="1:11">
      <c r="A65" s="75">
        <v>31000</v>
      </c>
      <c r="B65" s="46">
        <v>31020</v>
      </c>
      <c r="C65" s="84"/>
      <c r="D65" s="215" t="s">
        <v>72</v>
      </c>
      <c r="E65" s="22">
        <v>6</v>
      </c>
      <c r="F65" s="22">
        <v>1</v>
      </c>
      <c r="G65" s="22">
        <v>7</v>
      </c>
      <c r="H65" s="22">
        <v>1</v>
      </c>
      <c r="I65" s="22">
        <v>8</v>
      </c>
      <c r="J65" s="22"/>
      <c r="K65" s="83">
        <v>8</v>
      </c>
    </row>
    <row r="66" spans="1:11">
      <c r="A66" s="75">
        <v>32000</v>
      </c>
      <c r="B66" s="46">
        <v>32020</v>
      </c>
      <c r="C66" s="84"/>
      <c r="D66" s="215" t="s">
        <v>81</v>
      </c>
      <c r="E66" s="22">
        <v>2</v>
      </c>
      <c r="F66" s="22">
        <v>0</v>
      </c>
      <c r="G66" s="22">
        <v>2</v>
      </c>
      <c r="H66" s="22">
        <v>0</v>
      </c>
      <c r="I66" s="22">
        <v>2</v>
      </c>
      <c r="J66" s="22"/>
      <c r="K66" s="83">
        <v>2</v>
      </c>
    </row>
    <row r="67" spans="1:11">
      <c r="A67" s="75">
        <v>33000</v>
      </c>
      <c r="B67" s="46">
        <v>33020</v>
      </c>
      <c r="C67" s="84"/>
      <c r="D67" s="215" t="s">
        <v>84</v>
      </c>
      <c r="E67" s="22">
        <v>2</v>
      </c>
      <c r="F67" s="22">
        <v>0</v>
      </c>
      <c r="G67" s="22">
        <v>2</v>
      </c>
      <c r="H67" s="22">
        <v>0</v>
      </c>
      <c r="I67" s="22">
        <v>2</v>
      </c>
      <c r="J67" s="22"/>
      <c r="K67" s="83">
        <v>2</v>
      </c>
    </row>
    <row r="68" spans="1:11">
      <c r="A68" s="75">
        <v>61000</v>
      </c>
      <c r="B68" s="46">
        <v>61020</v>
      </c>
      <c r="C68" s="84"/>
      <c r="D68" s="215" t="s">
        <v>147</v>
      </c>
      <c r="E68" s="22">
        <v>10</v>
      </c>
      <c r="F68" s="22">
        <v>1</v>
      </c>
      <c r="G68" s="22">
        <v>11</v>
      </c>
      <c r="H68" s="22">
        <v>2</v>
      </c>
      <c r="I68" s="22">
        <v>13</v>
      </c>
      <c r="J68" s="22"/>
      <c r="K68" s="83">
        <v>13</v>
      </c>
    </row>
    <row r="69" spans="1:11">
      <c r="A69" s="2">
        <v>61200</v>
      </c>
      <c r="B69" s="46">
        <v>61220</v>
      </c>
      <c r="C69" s="84"/>
      <c r="D69" s="215" t="s">
        <v>158</v>
      </c>
      <c r="E69" s="22">
        <v>4</v>
      </c>
      <c r="F69" s="22">
        <v>1</v>
      </c>
      <c r="G69" s="22">
        <v>5</v>
      </c>
      <c r="H69" s="22">
        <v>5</v>
      </c>
      <c r="I69" s="22">
        <v>10</v>
      </c>
      <c r="J69" s="22"/>
      <c r="K69" s="83">
        <v>10</v>
      </c>
    </row>
    <row r="70" spans="1:11">
      <c r="B70" s="56"/>
      <c r="C70" s="86"/>
      <c r="D70" s="80" t="s">
        <v>617</v>
      </c>
      <c r="E70" s="78">
        <v>38</v>
      </c>
      <c r="F70" s="78">
        <v>4</v>
      </c>
      <c r="G70" s="78">
        <v>42</v>
      </c>
      <c r="H70" s="78">
        <v>11</v>
      </c>
      <c r="I70" s="78">
        <v>53</v>
      </c>
      <c r="J70" s="78">
        <v>0</v>
      </c>
      <c r="K70" s="87">
        <v>53</v>
      </c>
    </row>
    <row r="71" spans="1:11" ht="18.600000000000001" thickBot="1">
      <c r="C71" s="89"/>
      <c r="D71" s="216" t="s">
        <v>642</v>
      </c>
      <c r="E71" s="90">
        <v>393</v>
      </c>
      <c r="F71" s="90">
        <v>49</v>
      </c>
      <c r="G71" s="90">
        <v>442</v>
      </c>
      <c r="H71" s="90">
        <v>72</v>
      </c>
      <c r="I71" s="90">
        <v>514</v>
      </c>
      <c r="J71" s="90">
        <v>0</v>
      </c>
      <c r="K71" s="91">
        <v>514</v>
      </c>
    </row>
    <row r="75" spans="1:11">
      <c r="D75" s="217" t="s">
        <v>730</v>
      </c>
    </row>
  </sheetData>
  <mergeCells count="18">
    <mergeCell ref="C47:C48"/>
    <mergeCell ref="C51:C54"/>
    <mergeCell ref="C20:C22"/>
    <mergeCell ref="C23:C27"/>
    <mergeCell ref="C28:C31"/>
    <mergeCell ref="C34:C37"/>
    <mergeCell ref="C38:C43"/>
    <mergeCell ref="C44:C46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opLeftCell="A6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12" customWidth="1"/>
    <col min="5" max="6" width="7" customWidth="1"/>
    <col min="7" max="11" width="6.8984375" customWidth="1"/>
  </cols>
  <sheetData>
    <row r="1" spans="1:11">
      <c r="E1" t="s">
        <v>624</v>
      </c>
    </row>
    <row r="2" spans="1:11" ht="18.600000000000001" thickBot="1"/>
    <row r="3" spans="1:11">
      <c r="C3" s="574"/>
      <c r="D3" s="572" t="s">
        <v>714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208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7" t="s">
        <v>615</v>
      </c>
      <c r="K4" s="578" t="s">
        <v>623</v>
      </c>
    </row>
    <row r="5" spans="1:11">
      <c r="A5" s="569"/>
      <c r="B5" s="208"/>
      <c r="C5" s="576"/>
      <c r="D5" s="577"/>
      <c r="E5" s="209" t="s">
        <v>69</v>
      </c>
      <c r="F5" s="209" t="s">
        <v>42</v>
      </c>
      <c r="G5" s="577"/>
      <c r="H5" s="577"/>
      <c r="I5" s="577"/>
      <c r="J5" s="577"/>
      <c r="K5" s="578"/>
    </row>
    <row r="6" spans="1:11" hidden="1">
      <c r="A6" s="77">
        <v>200</v>
      </c>
      <c r="B6" s="208">
        <v>202</v>
      </c>
      <c r="C6" s="210"/>
      <c r="D6" s="209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idden="1">
      <c r="A7" s="77">
        <v>210</v>
      </c>
      <c r="B7" s="208">
        <v>211</v>
      </c>
      <c r="C7" s="210"/>
      <c r="D7" s="209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84"/>
      <c r="D8" s="209" t="s">
        <v>26</v>
      </c>
      <c r="E8" s="22">
        <v>6</v>
      </c>
      <c r="F8" s="22">
        <v>3</v>
      </c>
      <c r="G8" s="22">
        <v>9</v>
      </c>
      <c r="H8" s="22">
        <v>0</v>
      </c>
      <c r="I8" s="22">
        <v>9</v>
      </c>
      <c r="J8" s="22"/>
      <c r="K8" s="83">
        <v>9</v>
      </c>
    </row>
    <row r="9" spans="1:11">
      <c r="A9" s="75">
        <v>11000</v>
      </c>
      <c r="B9" s="46">
        <v>11020</v>
      </c>
      <c r="C9" s="84"/>
      <c r="D9" s="209" t="e">
        <v>#N/A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/>
      <c r="K9" s="83">
        <v>0</v>
      </c>
    </row>
    <row r="10" spans="1:11">
      <c r="A10" s="75">
        <v>90000</v>
      </c>
      <c r="B10" s="46">
        <v>90020</v>
      </c>
      <c r="C10" s="84"/>
      <c r="D10" s="209" t="s">
        <v>218</v>
      </c>
      <c r="E10" s="22">
        <v>7</v>
      </c>
      <c r="F10" s="22">
        <v>3</v>
      </c>
      <c r="G10" s="22">
        <v>10</v>
      </c>
      <c r="H10" s="22">
        <v>0</v>
      </c>
      <c r="I10" s="22">
        <v>10</v>
      </c>
      <c r="J10" s="22"/>
      <c r="K10" s="83">
        <v>10</v>
      </c>
    </row>
    <row r="11" spans="1:11">
      <c r="A11" s="75">
        <v>3000</v>
      </c>
      <c r="B11" s="46">
        <v>3020</v>
      </c>
      <c r="C11" s="85"/>
      <c r="D11" s="209" t="s">
        <v>715</v>
      </c>
      <c r="E11" s="22">
        <v>3</v>
      </c>
      <c r="F11" s="22">
        <v>2</v>
      </c>
      <c r="G11" s="22">
        <v>5</v>
      </c>
      <c r="H11" s="22">
        <v>0</v>
      </c>
      <c r="I11" s="22">
        <v>5</v>
      </c>
      <c r="J11" s="22"/>
      <c r="K11" s="83">
        <v>5</v>
      </c>
    </row>
    <row r="12" spans="1:11">
      <c r="A12" s="76">
        <v>1000</v>
      </c>
      <c r="B12" s="46">
        <v>1020</v>
      </c>
      <c r="C12" s="85"/>
      <c r="D12" s="209" t="s">
        <v>17</v>
      </c>
      <c r="E12" s="22">
        <v>4</v>
      </c>
      <c r="F12" s="22">
        <v>2</v>
      </c>
      <c r="G12" s="22">
        <v>6</v>
      </c>
      <c r="H12" s="22">
        <v>3</v>
      </c>
      <c r="I12" s="22">
        <v>9</v>
      </c>
      <c r="J12" s="22"/>
      <c r="K12" s="83">
        <v>9</v>
      </c>
    </row>
    <row r="13" spans="1:11">
      <c r="A13" s="75">
        <v>1100</v>
      </c>
      <c r="B13" s="46">
        <v>1120</v>
      </c>
      <c r="C13" s="85"/>
      <c r="D13" s="209" t="s">
        <v>13</v>
      </c>
      <c r="E13" s="22">
        <v>2</v>
      </c>
      <c r="F13" s="22">
        <v>1</v>
      </c>
      <c r="G13" s="22">
        <v>3</v>
      </c>
      <c r="H13" s="22">
        <v>0</v>
      </c>
      <c r="I13" s="22">
        <v>3</v>
      </c>
      <c r="J13" s="22"/>
      <c r="K13" s="83">
        <v>3</v>
      </c>
    </row>
    <row r="14" spans="1:11">
      <c r="A14" s="76"/>
      <c r="B14" s="56"/>
      <c r="C14" s="86"/>
      <c r="D14" s="80" t="s">
        <v>629</v>
      </c>
      <c r="E14" s="78">
        <v>6</v>
      </c>
      <c r="F14" s="78">
        <v>3</v>
      </c>
      <c r="G14" s="78">
        <v>9</v>
      </c>
      <c r="H14" s="78">
        <v>3</v>
      </c>
      <c r="I14" s="78">
        <v>12</v>
      </c>
      <c r="J14" s="78">
        <v>0</v>
      </c>
      <c r="K14" s="87">
        <v>12</v>
      </c>
    </row>
    <row r="15" spans="1:11">
      <c r="A15" s="75">
        <v>50000</v>
      </c>
      <c r="B15" s="46">
        <v>50020</v>
      </c>
      <c r="C15" s="84"/>
      <c r="D15" s="209" t="s">
        <v>120</v>
      </c>
      <c r="E15" s="22">
        <v>4</v>
      </c>
      <c r="F15" s="22">
        <v>1</v>
      </c>
      <c r="G15" s="22">
        <v>5</v>
      </c>
      <c r="H15" s="22">
        <v>0</v>
      </c>
      <c r="I15" s="22">
        <v>5</v>
      </c>
      <c r="J15" s="22"/>
      <c r="K15" s="83">
        <v>5</v>
      </c>
    </row>
    <row r="16" spans="1:11">
      <c r="A16" s="75">
        <v>51000</v>
      </c>
      <c r="B16" s="46">
        <v>51020</v>
      </c>
      <c r="C16" s="84"/>
      <c r="D16" s="209" t="s">
        <v>124</v>
      </c>
      <c r="E16" s="22">
        <v>7</v>
      </c>
      <c r="F16" s="22">
        <v>0</v>
      </c>
      <c r="G16" s="22">
        <v>7</v>
      </c>
      <c r="H16" s="22">
        <v>0</v>
      </c>
      <c r="I16" s="22">
        <v>7</v>
      </c>
      <c r="J16" s="22"/>
      <c r="K16" s="83">
        <v>7</v>
      </c>
    </row>
    <row r="17" spans="1:11">
      <c r="A17" s="75">
        <v>63000</v>
      </c>
      <c r="B17" s="46">
        <v>63020</v>
      </c>
      <c r="C17" s="84"/>
      <c r="D17" s="209" t="s">
        <v>165</v>
      </c>
      <c r="E17" s="22">
        <v>7</v>
      </c>
      <c r="F17" s="22">
        <v>2</v>
      </c>
      <c r="G17" s="22">
        <v>9</v>
      </c>
      <c r="H17" s="22">
        <v>1</v>
      </c>
      <c r="I17" s="22">
        <v>10</v>
      </c>
      <c r="J17" s="22"/>
      <c r="K17" s="83">
        <v>10</v>
      </c>
    </row>
    <row r="18" spans="1:11">
      <c r="A18" s="76"/>
      <c r="B18" s="56"/>
      <c r="C18" s="86"/>
      <c r="D18" s="80" t="s">
        <v>630</v>
      </c>
      <c r="E18" s="78">
        <v>18</v>
      </c>
      <c r="F18" s="78">
        <v>3</v>
      </c>
      <c r="G18" s="78">
        <v>21</v>
      </c>
      <c r="H18" s="78">
        <v>1</v>
      </c>
      <c r="I18" s="78">
        <v>22</v>
      </c>
      <c r="J18" s="78">
        <v>0</v>
      </c>
      <c r="K18" s="87">
        <v>22</v>
      </c>
    </row>
    <row r="19" spans="1:11">
      <c r="A19" s="75">
        <v>80000</v>
      </c>
      <c r="B19" s="46">
        <v>80020</v>
      </c>
      <c r="C19" s="84"/>
      <c r="D19" s="209" t="s">
        <v>172</v>
      </c>
      <c r="E19" s="22">
        <v>42</v>
      </c>
      <c r="F19" s="22">
        <v>3</v>
      </c>
      <c r="G19" s="22">
        <v>45</v>
      </c>
      <c r="H19" s="22">
        <v>8</v>
      </c>
      <c r="I19" s="22">
        <v>53</v>
      </c>
      <c r="J19" s="22"/>
      <c r="K19" s="83">
        <v>53</v>
      </c>
    </row>
    <row r="20" spans="1:11">
      <c r="A20" s="75">
        <v>41111</v>
      </c>
      <c r="B20" s="46">
        <v>41121</v>
      </c>
      <c r="C20" s="571" t="s">
        <v>625</v>
      </c>
      <c r="D20" s="209" t="s">
        <v>280</v>
      </c>
      <c r="E20" s="22">
        <v>9</v>
      </c>
      <c r="F20" s="22">
        <v>0</v>
      </c>
      <c r="G20" s="22">
        <v>9</v>
      </c>
      <c r="H20" s="22">
        <v>3</v>
      </c>
      <c r="I20" s="22">
        <v>12</v>
      </c>
      <c r="J20" s="22"/>
      <c r="K20" s="83">
        <v>12</v>
      </c>
    </row>
    <row r="21" spans="1:11">
      <c r="A21" s="75">
        <v>43011</v>
      </c>
      <c r="B21" s="46">
        <v>43021</v>
      </c>
      <c r="C21" s="571"/>
      <c r="D21" s="209" t="s">
        <v>349</v>
      </c>
      <c r="E21" s="22">
        <v>14</v>
      </c>
      <c r="F21" s="22">
        <v>0</v>
      </c>
      <c r="G21" s="22">
        <v>14</v>
      </c>
      <c r="H21" s="22">
        <v>1</v>
      </c>
      <c r="I21" s="22">
        <v>15</v>
      </c>
      <c r="J21" s="22"/>
      <c r="K21" s="83">
        <v>15</v>
      </c>
    </row>
    <row r="22" spans="1:11">
      <c r="A22" s="75">
        <v>41011</v>
      </c>
      <c r="B22" s="46">
        <v>41021</v>
      </c>
      <c r="C22" s="571"/>
      <c r="D22" s="209" t="s">
        <v>258</v>
      </c>
      <c r="E22" s="22">
        <v>21</v>
      </c>
      <c r="F22" s="22">
        <v>0</v>
      </c>
      <c r="G22" s="22">
        <v>21</v>
      </c>
      <c r="H22" s="22">
        <v>2</v>
      </c>
      <c r="I22" s="22">
        <v>23</v>
      </c>
      <c r="J22" s="22"/>
      <c r="K22" s="83">
        <v>23</v>
      </c>
    </row>
    <row r="23" spans="1:11">
      <c r="A23" s="75">
        <v>42111</v>
      </c>
      <c r="B23" s="46">
        <v>42121</v>
      </c>
      <c r="C23" s="571" t="s">
        <v>626</v>
      </c>
      <c r="D23" s="209" t="s">
        <v>305</v>
      </c>
      <c r="E23" s="22">
        <v>10</v>
      </c>
      <c r="F23" s="22">
        <v>0</v>
      </c>
      <c r="G23" s="22">
        <v>10</v>
      </c>
      <c r="H23" s="22">
        <v>1</v>
      </c>
      <c r="I23" s="22">
        <v>11</v>
      </c>
      <c r="J23" s="22"/>
      <c r="K23" s="83">
        <v>11</v>
      </c>
    </row>
    <row r="24" spans="1:11">
      <c r="A24" s="75">
        <v>42411</v>
      </c>
      <c r="B24" s="46">
        <v>42421</v>
      </c>
      <c r="C24" s="571"/>
      <c r="D24" s="209" t="s">
        <v>339</v>
      </c>
      <c r="E24" s="22">
        <v>9</v>
      </c>
      <c r="F24" s="22">
        <v>1</v>
      </c>
      <c r="G24" s="22">
        <v>10</v>
      </c>
      <c r="H24" s="22">
        <v>3</v>
      </c>
      <c r="I24" s="22">
        <v>13</v>
      </c>
      <c r="J24" s="22"/>
      <c r="K24" s="83">
        <v>13</v>
      </c>
    </row>
    <row r="25" spans="1:11">
      <c r="A25" s="75">
        <v>42211</v>
      </c>
      <c r="B25" s="46">
        <v>42221</v>
      </c>
      <c r="C25" s="571"/>
      <c r="D25" s="209" t="s">
        <v>318</v>
      </c>
      <c r="E25" s="22">
        <v>11</v>
      </c>
      <c r="F25" s="22">
        <v>0</v>
      </c>
      <c r="G25" s="22">
        <v>11</v>
      </c>
      <c r="H25" s="22">
        <v>0</v>
      </c>
      <c r="I25" s="22">
        <v>11</v>
      </c>
      <c r="J25" s="22"/>
      <c r="K25" s="83">
        <v>11</v>
      </c>
    </row>
    <row r="26" spans="1:11">
      <c r="A26" s="75">
        <v>42011</v>
      </c>
      <c r="B26" s="46">
        <v>42021</v>
      </c>
      <c r="C26" s="571"/>
      <c r="D26" s="209" t="s">
        <v>290</v>
      </c>
      <c r="E26" s="22">
        <v>12</v>
      </c>
      <c r="F26" s="22">
        <v>0</v>
      </c>
      <c r="G26" s="22">
        <v>12</v>
      </c>
      <c r="H26" s="22">
        <v>2</v>
      </c>
      <c r="I26" s="22">
        <v>14</v>
      </c>
      <c r="J26" s="22"/>
      <c r="K26" s="83">
        <v>14</v>
      </c>
    </row>
    <row r="27" spans="1:11">
      <c r="A27" s="75">
        <v>42311</v>
      </c>
      <c r="B27" s="46">
        <v>42321</v>
      </c>
      <c r="C27" s="571"/>
      <c r="D27" s="209" t="s">
        <v>331</v>
      </c>
      <c r="E27" s="22">
        <v>7</v>
      </c>
      <c r="F27" s="22">
        <v>0</v>
      </c>
      <c r="G27" s="22">
        <v>7</v>
      </c>
      <c r="H27" s="22">
        <v>0</v>
      </c>
      <c r="I27" s="22">
        <v>7</v>
      </c>
      <c r="J27" s="22"/>
      <c r="K27" s="83">
        <v>7</v>
      </c>
    </row>
    <row r="28" spans="1:11">
      <c r="A28" s="75">
        <v>43211</v>
      </c>
      <c r="B28" s="46">
        <v>43221</v>
      </c>
      <c r="C28" s="571" t="s">
        <v>627</v>
      </c>
      <c r="D28" s="209" t="s">
        <v>364</v>
      </c>
      <c r="E28" s="22">
        <v>11</v>
      </c>
      <c r="F28" s="22">
        <v>5</v>
      </c>
      <c r="G28" s="22">
        <v>16</v>
      </c>
      <c r="H28" s="22">
        <v>3</v>
      </c>
      <c r="I28" s="22">
        <v>19</v>
      </c>
      <c r="J28" s="22"/>
      <c r="K28" s="83">
        <v>19</v>
      </c>
    </row>
    <row r="29" spans="1:11">
      <c r="A29" s="75">
        <v>43311</v>
      </c>
      <c r="B29" s="46">
        <v>43321</v>
      </c>
      <c r="C29" s="571"/>
      <c r="D29" s="209" t="s">
        <v>377</v>
      </c>
      <c r="E29" s="22">
        <v>4</v>
      </c>
      <c r="F29" s="22">
        <v>0</v>
      </c>
      <c r="G29" s="22">
        <v>4</v>
      </c>
      <c r="H29" s="22">
        <v>1</v>
      </c>
      <c r="I29" s="22">
        <v>5</v>
      </c>
      <c r="J29" s="22"/>
      <c r="K29" s="83">
        <v>5</v>
      </c>
    </row>
    <row r="30" spans="1:11">
      <c r="A30" s="75">
        <v>41200</v>
      </c>
      <c r="B30" s="46">
        <v>41220</v>
      </c>
      <c r="C30" s="571"/>
      <c r="D30" s="209" t="s">
        <v>103</v>
      </c>
      <c r="E30" s="22">
        <v>6</v>
      </c>
      <c r="F30" s="22">
        <v>0</v>
      </c>
      <c r="G30" s="22">
        <v>6</v>
      </c>
      <c r="H30" s="22">
        <v>5</v>
      </c>
      <c r="I30" s="22">
        <v>11</v>
      </c>
      <c r="J30" s="22"/>
      <c r="K30" s="83">
        <v>11</v>
      </c>
    </row>
    <row r="31" spans="1:11">
      <c r="A31" s="75">
        <v>40400</v>
      </c>
      <c r="B31" s="46">
        <v>40420</v>
      </c>
      <c r="C31" s="571"/>
      <c r="D31" s="209" t="s">
        <v>98</v>
      </c>
      <c r="E31" s="22">
        <v>4</v>
      </c>
      <c r="F31" s="22">
        <v>0</v>
      </c>
      <c r="G31" s="22">
        <v>4</v>
      </c>
      <c r="H31" s="22">
        <v>0</v>
      </c>
      <c r="I31" s="22">
        <v>4</v>
      </c>
      <c r="J31" s="22"/>
      <c r="K31" s="83">
        <v>4</v>
      </c>
    </row>
    <row r="32" spans="1:11">
      <c r="A32" s="75">
        <v>40000</v>
      </c>
      <c r="B32" s="46">
        <v>40020</v>
      </c>
      <c r="C32" s="84"/>
      <c r="D32" s="209" t="s">
        <v>87</v>
      </c>
      <c r="E32" s="22">
        <v>9</v>
      </c>
      <c r="F32" s="22">
        <v>1</v>
      </c>
      <c r="G32" s="22">
        <v>10</v>
      </c>
      <c r="H32" s="22">
        <v>0</v>
      </c>
      <c r="I32" s="22">
        <v>10</v>
      </c>
      <c r="J32" s="22"/>
      <c r="K32" s="83">
        <v>10</v>
      </c>
    </row>
    <row r="33" spans="1:11">
      <c r="A33" s="76"/>
      <c r="B33" s="56"/>
      <c r="C33" s="86"/>
      <c r="D33" s="80" t="s">
        <v>620</v>
      </c>
      <c r="E33" s="78">
        <v>127</v>
      </c>
      <c r="F33" s="78">
        <v>7</v>
      </c>
      <c r="G33" s="78">
        <v>134</v>
      </c>
      <c r="H33" s="78">
        <v>21</v>
      </c>
      <c r="I33" s="78">
        <v>155</v>
      </c>
      <c r="J33" s="78">
        <v>0</v>
      </c>
      <c r="K33" s="87">
        <v>155</v>
      </c>
    </row>
    <row r="34" spans="1:11">
      <c r="A34" s="75">
        <v>67211</v>
      </c>
      <c r="B34" s="46">
        <v>67221</v>
      </c>
      <c r="C34" s="571" t="s">
        <v>625</v>
      </c>
      <c r="D34" s="209" t="s">
        <v>476</v>
      </c>
      <c r="E34" s="22">
        <v>5</v>
      </c>
      <c r="F34" s="22">
        <v>0</v>
      </c>
      <c r="G34" s="22">
        <v>5</v>
      </c>
      <c r="H34" s="22">
        <v>2</v>
      </c>
      <c r="I34" s="22">
        <v>7</v>
      </c>
      <c r="J34" s="22"/>
      <c r="K34" s="83">
        <v>7</v>
      </c>
    </row>
    <row r="35" spans="1:11">
      <c r="A35" s="75">
        <v>68011</v>
      </c>
      <c r="B35" s="46">
        <v>68021</v>
      </c>
      <c r="C35" s="571"/>
      <c r="D35" s="209" t="s">
        <v>483</v>
      </c>
      <c r="E35" s="22">
        <v>2</v>
      </c>
      <c r="F35" s="22">
        <v>0</v>
      </c>
      <c r="G35" s="22">
        <v>2</v>
      </c>
      <c r="H35" s="22">
        <v>1</v>
      </c>
      <c r="I35" s="22">
        <v>3</v>
      </c>
      <c r="J35" s="22"/>
      <c r="K35" s="83">
        <v>3</v>
      </c>
    </row>
    <row r="36" spans="1:11">
      <c r="A36" s="75">
        <v>69211</v>
      </c>
      <c r="B36" s="46">
        <v>69221</v>
      </c>
      <c r="C36" s="571"/>
      <c r="D36" s="209" t="s">
        <v>508</v>
      </c>
      <c r="E36" s="22">
        <v>4</v>
      </c>
      <c r="F36" s="22">
        <v>1</v>
      </c>
      <c r="G36" s="79">
        <v>5</v>
      </c>
      <c r="H36" s="22">
        <v>2</v>
      </c>
      <c r="I36" s="22">
        <v>7</v>
      </c>
      <c r="J36" s="22"/>
      <c r="K36" s="83">
        <v>7</v>
      </c>
    </row>
    <row r="37" spans="1:11">
      <c r="A37" s="75">
        <v>69111</v>
      </c>
      <c r="B37" s="46">
        <v>69121</v>
      </c>
      <c r="C37" s="571"/>
      <c r="D37" s="209" t="s">
        <v>506</v>
      </c>
      <c r="E37" s="22">
        <v>1</v>
      </c>
      <c r="F37" s="22">
        <v>0</v>
      </c>
      <c r="G37" s="79">
        <v>1</v>
      </c>
      <c r="H37" s="22">
        <v>0</v>
      </c>
      <c r="I37" s="22">
        <v>1</v>
      </c>
      <c r="J37" s="22"/>
      <c r="K37" s="83">
        <v>1</v>
      </c>
    </row>
    <row r="38" spans="1:11">
      <c r="A38" s="75">
        <v>64011</v>
      </c>
      <c r="B38" s="46">
        <v>64021</v>
      </c>
      <c r="C38" s="571" t="s">
        <v>626</v>
      </c>
      <c r="D38" s="209" t="s">
        <v>416</v>
      </c>
      <c r="E38" s="22">
        <v>6</v>
      </c>
      <c r="F38" s="22">
        <v>0</v>
      </c>
      <c r="G38" s="22">
        <v>6</v>
      </c>
      <c r="H38" s="22">
        <v>2</v>
      </c>
      <c r="I38" s="22">
        <v>8</v>
      </c>
      <c r="J38" s="22"/>
      <c r="K38" s="83">
        <v>8</v>
      </c>
    </row>
    <row r="39" spans="1:11">
      <c r="A39" s="75">
        <v>64111</v>
      </c>
      <c r="B39" s="46">
        <v>64121</v>
      </c>
      <c r="C39" s="571"/>
      <c r="D39" s="209" t="s">
        <v>422</v>
      </c>
      <c r="E39" s="22">
        <v>4</v>
      </c>
      <c r="F39" s="22">
        <v>1</v>
      </c>
      <c r="G39" s="22">
        <v>5</v>
      </c>
      <c r="H39" s="22">
        <v>1</v>
      </c>
      <c r="I39" s="22">
        <v>6</v>
      </c>
      <c r="J39" s="22"/>
      <c r="K39" s="83">
        <v>6</v>
      </c>
    </row>
    <row r="40" spans="1:11">
      <c r="A40" s="75">
        <v>64211</v>
      </c>
      <c r="B40" s="46">
        <v>64221</v>
      </c>
      <c r="C40" s="571"/>
      <c r="D40" s="209" t="s">
        <v>429</v>
      </c>
      <c r="E40" s="22">
        <v>1</v>
      </c>
      <c r="F40" s="22">
        <v>1</v>
      </c>
      <c r="G40" s="22">
        <v>2</v>
      </c>
      <c r="H40" s="22">
        <v>0</v>
      </c>
      <c r="I40" s="22">
        <v>2</v>
      </c>
      <c r="J40" s="22"/>
      <c r="K40" s="83">
        <v>2</v>
      </c>
    </row>
    <row r="41" spans="1:11">
      <c r="A41" s="75">
        <v>67011</v>
      </c>
      <c r="B41" s="46">
        <v>67021</v>
      </c>
      <c r="C41" s="571"/>
      <c r="D41" s="209" t="s">
        <v>466</v>
      </c>
      <c r="E41" s="22">
        <v>8</v>
      </c>
      <c r="F41" s="22">
        <v>0</v>
      </c>
      <c r="G41" s="22">
        <v>8</v>
      </c>
      <c r="H41" s="22">
        <v>1</v>
      </c>
      <c r="I41" s="22">
        <v>9</v>
      </c>
      <c r="J41" s="22"/>
      <c r="K41" s="83">
        <v>9</v>
      </c>
    </row>
    <row r="42" spans="1:11">
      <c r="A42" s="75">
        <v>68111</v>
      </c>
      <c r="B42" s="46">
        <v>68121</v>
      </c>
      <c r="C42" s="571"/>
      <c r="D42" s="209" t="s">
        <v>485</v>
      </c>
      <c r="E42" s="22">
        <v>4</v>
      </c>
      <c r="F42" s="22">
        <v>1</v>
      </c>
      <c r="G42" s="22">
        <v>5</v>
      </c>
      <c r="H42" s="22">
        <v>0</v>
      </c>
      <c r="I42" s="22">
        <v>5</v>
      </c>
      <c r="J42" s="22"/>
      <c r="K42" s="83">
        <v>5</v>
      </c>
    </row>
    <row r="43" spans="1:11">
      <c r="A43" s="75">
        <v>64311</v>
      </c>
      <c r="B43" s="46">
        <v>64321</v>
      </c>
      <c r="C43" s="571"/>
      <c r="D43" s="209" t="s">
        <v>431</v>
      </c>
      <c r="E43" s="22">
        <v>1</v>
      </c>
      <c r="F43" s="22">
        <v>0</v>
      </c>
      <c r="G43" s="22">
        <v>1</v>
      </c>
      <c r="H43" s="22">
        <v>0</v>
      </c>
      <c r="I43" s="22">
        <v>1</v>
      </c>
      <c r="J43" s="22"/>
      <c r="K43" s="83">
        <v>1</v>
      </c>
    </row>
    <row r="44" spans="1:11">
      <c r="A44" s="75">
        <v>69011</v>
      </c>
      <c r="B44" s="46">
        <v>69021</v>
      </c>
      <c r="C44" s="571" t="s">
        <v>627</v>
      </c>
      <c r="D44" s="209" t="s">
        <v>489</v>
      </c>
      <c r="E44" s="22">
        <v>17</v>
      </c>
      <c r="F44" s="22">
        <v>1</v>
      </c>
      <c r="G44" s="22">
        <v>18</v>
      </c>
      <c r="H44" s="22">
        <v>2</v>
      </c>
      <c r="I44" s="22">
        <v>20</v>
      </c>
      <c r="J44" s="22"/>
      <c r="K44" s="83">
        <v>20</v>
      </c>
    </row>
    <row r="45" spans="1:11">
      <c r="A45" s="75">
        <v>60300</v>
      </c>
      <c r="B45" s="46">
        <v>60320</v>
      </c>
      <c r="C45" s="571"/>
      <c r="D45" s="209" t="s">
        <v>138</v>
      </c>
      <c r="E45" s="22">
        <v>9</v>
      </c>
      <c r="F45" s="22">
        <v>0</v>
      </c>
      <c r="G45" s="22">
        <v>9</v>
      </c>
      <c r="H45" s="22">
        <v>2</v>
      </c>
      <c r="I45" s="22">
        <v>11</v>
      </c>
      <c r="J45" s="22"/>
      <c r="K45" s="83">
        <v>11</v>
      </c>
    </row>
    <row r="46" spans="1:11">
      <c r="A46" s="75">
        <v>60411</v>
      </c>
      <c r="B46" s="46">
        <v>60421</v>
      </c>
      <c r="C46" s="571"/>
      <c r="D46" s="209" t="s">
        <v>411</v>
      </c>
      <c r="E46" s="22">
        <v>2</v>
      </c>
      <c r="F46" s="22">
        <v>0</v>
      </c>
      <c r="G46" s="22">
        <v>2</v>
      </c>
      <c r="H46" s="22">
        <v>3</v>
      </c>
      <c r="I46" s="22">
        <v>5</v>
      </c>
      <c r="J46" s="22"/>
      <c r="K46" s="83">
        <v>5</v>
      </c>
    </row>
    <row r="47" spans="1:11">
      <c r="A47" s="75">
        <v>65011</v>
      </c>
      <c r="B47" s="46">
        <v>65021</v>
      </c>
      <c r="C47" s="571" t="s">
        <v>628</v>
      </c>
      <c r="D47" s="209" t="s">
        <v>433</v>
      </c>
      <c r="E47" s="22">
        <v>14</v>
      </c>
      <c r="F47" s="22">
        <v>1</v>
      </c>
      <c r="G47" s="22">
        <v>15</v>
      </c>
      <c r="H47" s="22">
        <v>5</v>
      </c>
      <c r="I47" s="22">
        <v>20</v>
      </c>
      <c r="J47" s="22"/>
      <c r="K47" s="83">
        <v>20</v>
      </c>
    </row>
    <row r="48" spans="1:11">
      <c r="A48" s="75">
        <v>66011</v>
      </c>
      <c r="B48" s="46">
        <v>66021</v>
      </c>
      <c r="C48" s="571"/>
      <c r="D48" s="209" t="s">
        <v>449</v>
      </c>
      <c r="E48" s="22">
        <v>15</v>
      </c>
      <c r="F48" s="22">
        <v>3</v>
      </c>
      <c r="G48" s="22">
        <v>18</v>
      </c>
      <c r="H48" s="22">
        <v>1</v>
      </c>
      <c r="I48" s="22">
        <v>19</v>
      </c>
      <c r="J48" s="22"/>
      <c r="K48" s="83">
        <v>19</v>
      </c>
    </row>
    <row r="49" spans="1:11">
      <c r="A49" s="75">
        <v>61300</v>
      </c>
      <c r="B49" s="46">
        <v>61320</v>
      </c>
      <c r="C49" s="84"/>
      <c r="D49" s="209" t="s">
        <v>162</v>
      </c>
      <c r="E49" s="22">
        <v>7</v>
      </c>
      <c r="F49" s="22">
        <v>1</v>
      </c>
      <c r="G49" s="22">
        <v>8</v>
      </c>
      <c r="H49" s="22">
        <v>1</v>
      </c>
      <c r="I49" s="22">
        <v>9</v>
      </c>
      <c r="J49" s="22"/>
      <c r="K49" s="83">
        <v>9</v>
      </c>
    </row>
    <row r="50" spans="1:11">
      <c r="A50" s="76"/>
      <c r="B50" s="56"/>
      <c r="C50" s="86"/>
      <c r="D50" s="80" t="s">
        <v>619</v>
      </c>
      <c r="E50" s="78">
        <v>100</v>
      </c>
      <c r="F50" s="78">
        <v>10</v>
      </c>
      <c r="G50" s="78">
        <v>110</v>
      </c>
      <c r="H50" s="78">
        <v>23</v>
      </c>
      <c r="I50" s="78">
        <v>133</v>
      </c>
      <c r="J50" s="78">
        <v>0</v>
      </c>
      <c r="K50" s="87">
        <v>133</v>
      </c>
    </row>
    <row r="51" spans="1:11">
      <c r="A51" s="75">
        <v>44011</v>
      </c>
      <c r="B51" s="46">
        <v>44021</v>
      </c>
      <c r="C51" s="571" t="s">
        <v>625</v>
      </c>
      <c r="D51" s="209" t="s">
        <v>381</v>
      </c>
      <c r="E51" s="22">
        <v>2</v>
      </c>
      <c r="F51" s="22">
        <v>0</v>
      </c>
      <c r="G51" s="22">
        <v>2</v>
      </c>
      <c r="H51" s="22">
        <v>1</v>
      </c>
      <c r="I51" s="22">
        <v>3</v>
      </c>
      <c r="J51" s="22"/>
      <c r="K51" s="83">
        <v>3</v>
      </c>
    </row>
    <row r="52" spans="1:11">
      <c r="A52" s="75">
        <v>44111</v>
      </c>
      <c r="B52" s="46">
        <v>44121</v>
      </c>
      <c r="C52" s="571"/>
      <c r="D52" s="209" t="s">
        <v>383</v>
      </c>
      <c r="E52" s="22">
        <v>5</v>
      </c>
      <c r="F52" s="22">
        <v>0</v>
      </c>
      <c r="G52" s="22">
        <v>5</v>
      </c>
      <c r="H52" s="22">
        <v>0</v>
      </c>
      <c r="I52" s="22">
        <v>5</v>
      </c>
      <c r="J52" s="22"/>
      <c r="K52" s="83">
        <v>5</v>
      </c>
    </row>
    <row r="53" spans="1:11">
      <c r="A53" s="75">
        <v>44511</v>
      </c>
      <c r="B53" s="46">
        <v>44521</v>
      </c>
      <c r="C53" s="571"/>
      <c r="D53" s="209" t="s">
        <v>389</v>
      </c>
      <c r="E53" s="22">
        <v>6</v>
      </c>
      <c r="F53" s="22">
        <v>0</v>
      </c>
      <c r="G53" s="22">
        <v>6</v>
      </c>
      <c r="H53" s="22">
        <v>0</v>
      </c>
      <c r="I53" s="22">
        <v>6</v>
      </c>
      <c r="J53" s="22"/>
      <c r="K53" s="83">
        <v>6</v>
      </c>
    </row>
    <row r="54" spans="1:11">
      <c r="A54" s="75">
        <v>45111</v>
      </c>
      <c r="B54" s="46">
        <v>45121</v>
      </c>
      <c r="C54" s="571"/>
      <c r="D54" s="209" t="s">
        <v>396</v>
      </c>
      <c r="E54" s="22">
        <v>14</v>
      </c>
      <c r="F54" s="22">
        <v>0</v>
      </c>
      <c r="G54" s="22">
        <v>14</v>
      </c>
      <c r="H54" s="22">
        <v>2</v>
      </c>
      <c r="I54" s="22">
        <v>16</v>
      </c>
      <c r="J54" s="22"/>
      <c r="K54" s="83">
        <v>16</v>
      </c>
    </row>
    <row r="55" spans="1:11">
      <c r="A55" s="75">
        <v>44200</v>
      </c>
      <c r="B55" s="46">
        <v>44220</v>
      </c>
      <c r="C55" s="210" t="s">
        <v>626</v>
      </c>
      <c r="D55" s="209" t="s">
        <v>114</v>
      </c>
      <c r="E55" s="22">
        <v>5</v>
      </c>
      <c r="F55" s="22">
        <v>1</v>
      </c>
      <c r="G55" s="22">
        <v>6</v>
      </c>
      <c r="H55" s="22">
        <v>2</v>
      </c>
      <c r="I55" s="22">
        <v>8</v>
      </c>
      <c r="J55" s="22"/>
      <c r="K55" s="83">
        <v>8</v>
      </c>
    </row>
    <row r="56" spans="1:11">
      <c r="A56" s="76"/>
      <c r="B56" s="56"/>
      <c r="C56" s="86"/>
      <c r="D56" s="80" t="s">
        <v>618</v>
      </c>
      <c r="E56" s="78">
        <v>32</v>
      </c>
      <c r="F56" s="78">
        <v>1</v>
      </c>
      <c r="G56" s="78">
        <v>33</v>
      </c>
      <c r="H56" s="78">
        <v>5</v>
      </c>
      <c r="I56" s="78">
        <v>38</v>
      </c>
      <c r="J56" s="78">
        <v>0</v>
      </c>
      <c r="K56" s="87">
        <v>38</v>
      </c>
    </row>
    <row r="57" spans="1:11">
      <c r="A57" s="75">
        <v>20000</v>
      </c>
      <c r="B57" s="46">
        <v>20020</v>
      </c>
      <c r="C57" s="84"/>
      <c r="D57" s="209" t="s">
        <v>45</v>
      </c>
      <c r="E57" s="22">
        <v>3</v>
      </c>
      <c r="F57" s="22">
        <v>1</v>
      </c>
      <c r="G57" s="22">
        <v>4</v>
      </c>
      <c r="H57" s="22">
        <v>0</v>
      </c>
      <c r="I57" s="22">
        <v>4</v>
      </c>
      <c r="J57" s="22"/>
      <c r="K57" s="83">
        <v>4</v>
      </c>
    </row>
    <row r="58" spans="1:11">
      <c r="A58" s="75">
        <v>21000</v>
      </c>
      <c r="B58" s="46">
        <v>21020</v>
      </c>
      <c r="C58" s="88"/>
      <c r="D58" s="81" t="s">
        <v>638</v>
      </c>
      <c r="E58" s="22">
        <v>3</v>
      </c>
      <c r="F58" s="22">
        <v>1</v>
      </c>
      <c r="G58" s="22">
        <v>4</v>
      </c>
      <c r="H58" s="22">
        <v>0</v>
      </c>
      <c r="I58" s="22">
        <v>4</v>
      </c>
      <c r="J58" s="22"/>
      <c r="K58" s="83">
        <v>4</v>
      </c>
    </row>
    <row r="59" spans="1:11">
      <c r="A59" s="75">
        <v>22000</v>
      </c>
      <c r="B59" s="46">
        <v>22020</v>
      </c>
      <c r="C59" s="84"/>
      <c r="D59" s="209" t="s">
        <v>49</v>
      </c>
      <c r="E59" s="22">
        <v>3</v>
      </c>
      <c r="F59" s="22">
        <v>2</v>
      </c>
      <c r="G59" s="22">
        <v>5</v>
      </c>
      <c r="H59" s="22">
        <v>0</v>
      </c>
      <c r="I59" s="22">
        <v>5</v>
      </c>
      <c r="J59" s="22"/>
      <c r="K59" s="83">
        <v>5</v>
      </c>
    </row>
    <row r="60" spans="1:11">
      <c r="A60" s="75">
        <v>60000</v>
      </c>
      <c r="B60" s="46">
        <v>60020</v>
      </c>
      <c r="C60" s="84"/>
      <c r="D60" s="209" t="s">
        <v>131</v>
      </c>
      <c r="E60" s="22">
        <v>1</v>
      </c>
      <c r="F60" s="22">
        <v>1</v>
      </c>
      <c r="G60" s="22">
        <v>2</v>
      </c>
      <c r="H60" s="22">
        <v>1</v>
      </c>
      <c r="I60" s="22">
        <v>3</v>
      </c>
      <c r="J60" s="22"/>
      <c r="K60" s="83">
        <v>3</v>
      </c>
    </row>
    <row r="61" spans="1:11">
      <c r="A61" s="75">
        <v>60100</v>
      </c>
      <c r="B61" s="46">
        <v>60120</v>
      </c>
      <c r="C61" s="88"/>
      <c r="D61" s="81" t="s">
        <v>639</v>
      </c>
      <c r="E61" s="22">
        <v>1</v>
      </c>
      <c r="F61" s="22">
        <v>3</v>
      </c>
      <c r="G61" s="22">
        <v>4</v>
      </c>
      <c r="H61" s="22">
        <v>0</v>
      </c>
      <c r="I61" s="22">
        <v>4</v>
      </c>
      <c r="J61" s="22"/>
      <c r="K61" s="83">
        <v>4</v>
      </c>
    </row>
    <row r="62" spans="1:11">
      <c r="A62" s="75">
        <v>60200</v>
      </c>
      <c r="B62" s="46">
        <v>60220</v>
      </c>
      <c r="C62" s="84"/>
      <c r="D62" s="209" t="s">
        <v>134</v>
      </c>
      <c r="E62" s="22">
        <v>4</v>
      </c>
      <c r="F62" s="22">
        <v>1</v>
      </c>
      <c r="G62" s="22">
        <v>5</v>
      </c>
      <c r="H62" s="22">
        <v>0</v>
      </c>
      <c r="I62" s="22">
        <v>5</v>
      </c>
      <c r="J62" s="22"/>
      <c r="K62" s="83">
        <v>5</v>
      </c>
    </row>
    <row r="63" spans="1:11">
      <c r="A63" s="76"/>
      <c r="B63" s="56"/>
      <c r="C63" s="86"/>
      <c r="D63" s="80" t="s">
        <v>616</v>
      </c>
      <c r="E63" s="78">
        <v>15</v>
      </c>
      <c r="F63" s="78">
        <v>9</v>
      </c>
      <c r="G63" s="78">
        <v>24</v>
      </c>
      <c r="H63" s="78">
        <v>1</v>
      </c>
      <c r="I63" s="78">
        <v>25</v>
      </c>
      <c r="J63" s="78">
        <v>0</v>
      </c>
      <c r="K63" s="87">
        <v>25</v>
      </c>
    </row>
    <row r="64" spans="1:11">
      <c r="A64" s="75">
        <v>30000</v>
      </c>
      <c r="B64" s="46">
        <v>30020</v>
      </c>
      <c r="C64" s="84"/>
      <c r="D64" s="209" t="s">
        <v>53</v>
      </c>
      <c r="E64" s="22">
        <v>15</v>
      </c>
      <c r="F64" s="22">
        <v>1</v>
      </c>
      <c r="G64" s="22">
        <v>16</v>
      </c>
      <c r="H64" s="22">
        <v>3</v>
      </c>
      <c r="I64" s="22">
        <v>19</v>
      </c>
      <c r="J64" s="22"/>
      <c r="K64" s="83">
        <v>19</v>
      </c>
    </row>
    <row r="65" spans="1:11">
      <c r="A65" s="75">
        <v>31000</v>
      </c>
      <c r="B65" s="46">
        <v>31020</v>
      </c>
      <c r="C65" s="84"/>
      <c r="D65" s="209" t="s">
        <v>72</v>
      </c>
      <c r="E65" s="22">
        <v>6</v>
      </c>
      <c r="F65" s="22">
        <v>1</v>
      </c>
      <c r="G65" s="22">
        <v>7</v>
      </c>
      <c r="H65" s="22">
        <v>1</v>
      </c>
      <c r="I65" s="22">
        <v>8</v>
      </c>
      <c r="J65" s="22"/>
      <c r="K65" s="83">
        <v>8</v>
      </c>
    </row>
    <row r="66" spans="1:11">
      <c r="A66" s="75">
        <v>32000</v>
      </c>
      <c r="B66" s="46">
        <v>32020</v>
      </c>
      <c r="C66" s="84"/>
      <c r="D66" s="209" t="s">
        <v>81</v>
      </c>
      <c r="E66" s="22">
        <v>2</v>
      </c>
      <c r="F66" s="22">
        <v>0</v>
      </c>
      <c r="G66" s="22">
        <v>2</v>
      </c>
      <c r="H66" s="22">
        <v>0</v>
      </c>
      <c r="I66" s="22">
        <v>2</v>
      </c>
      <c r="J66" s="22"/>
      <c r="K66" s="83">
        <v>2</v>
      </c>
    </row>
    <row r="67" spans="1:11">
      <c r="A67" s="75">
        <v>33000</v>
      </c>
      <c r="B67" s="46">
        <v>33020</v>
      </c>
      <c r="C67" s="84"/>
      <c r="D67" s="209" t="s">
        <v>84</v>
      </c>
      <c r="E67" s="22">
        <v>2</v>
      </c>
      <c r="F67" s="22">
        <v>0</v>
      </c>
      <c r="G67" s="22">
        <v>2</v>
      </c>
      <c r="H67" s="22">
        <v>0</v>
      </c>
      <c r="I67" s="22">
        <v>2</v>
      </c>
      <c r="J67" s="22"/>
      <c r="K67" s="83">
        <v>2</v>
      </c>
    </row>
    <row r="68" spans="1:11">
      <c r="A68" s="75">
        <v>61000</v>
      </c>
      <c r="B68" s="46">
        <v>61020</v>
      </c>
      <c r="C68" s="84"/>
      <c r="D68" s="209" t="s">
        <v>147</v>
      </c>
      <c r="E68" s="22">
        <v>9</v>
      </c>
      <c r="F68" s="22">
        <v>1</v>
      </c>
      <c r="G68" s="22">
        <v>10</v>
      </c>
      <c r="H68" s="22">
        <v>2</v>
      </c>
      <c r="I68" s="22">
        <v>12</v>
      </c>
      <c r="J68" s="22"/>
      <c r="K68" s="83">
        <v>12</v>
      </c>
    </row>
    <row r="69" spans="1:11">
      <c r="A69" s="2">
        <v>61200</v>
      </c>
      <c r="B69" s="46">
        <v>61220</v>
      </c>
      <c r="C69" s="84"/>
      <c r="D69" s="209" t="s">
        <v>158</v>
      </c>
      <c r="E69" s="22">
        <v>4</v>
      </c>
      <c r="F69" s="22">
        <v>1</v>
      </c>
      <c r="G69" s="22">
        <v>5</v>
      </c>
      <c r="H69" s="22">
        <v>6</v>
      </c>
      <c r="I69" s="22">
        <v>11</v>
      </c>
      <c r="J69" s="22"/>
      <c r="K69" s="83">
        <v>11</v>
      </c>
    </row>
    <row r="70" spans="1:11">
      <c r="B70" s="56"/>
      <c r="C70" s="86"/>
      <c r="D70" s="80" t="s">
        <v>617</v>
      </c>
      <c r="E70" s="78">
        <v>38</v>
      </c>
      <c r="F70" s="78">
        <v>4</v>
      </c>
      <c r="G70" s="78">
        <v>42</v>
      </c>
      <c r="H70" s="78">
        <v>12</v>
      </c>
      <c r="I70" s="78">
        <v>54</v>
      </c>
      <c r="J70" s="78">
        <v>0</v>
      </c>
      <c r="K70" s="87">
        <v>54</v>
      </c>
    </row>
    <row r="71" spans="1:11" ht="18.600000000000001" thickBot="1">
      <c r="C71" s="89"/>
      <c r="D71" s="211" t="s">
        <v>642</v>
      </c>
      <c r="E71" s="90">
        <v>394</v>
      </c>
      <c r="F71" s="90">
        <v>48</v>
      </c>
      <c r="G71" s="90">
        <v>442</v>
      </c>
      <c r="H71" s="90">
        <v>74</v>
      </c>
      <c r="I71" s="90">
        <v>516</v>
      </c>
      <c r="J71" s="90">
        <v>0</v>
      </c>
      <c r="K71" s="91">
        <v>516</v>
      </c>
    </row>
    <row r="74" spans="1:11">
      <c r="D74" s="212" t="s">
        <v>713</v>
      </c>
    </row>
    <row r="75" spans="1:11">
      <c r="D75" s="212" t="s">
        <v>716</v>
      </c>
    </row>
  </sheetData>
  <mergeCells count="1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47:C48"/>
    <mergeCell ref="C51:C54"/>
    <mergeCell ref="C20:C22"/>
    <mergeCell ref="C23:C27"/>
    <mergeCell ref="C28:C31"/>
    <mergeCell ref="C34:C37"/>
    <mergeCell ref="C38:C43"/>
    <mergeCell ref="C44:C46"/>
  </mergeCells>
  <phoneticPr fontId="2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8"/>
  <sheetViews>
    <sheetView topLeftCell="C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200" customWidth="1"/>
    <col min="5" max="10" width="6.3984375" customWidth="1"/>
    <col min="11" max="11" width="7.19921875" customWidth="1"/>
    <col min="13" max="13" width="11" style="46" customWidth="1"/>
    <col min="14" max="14" width="25.59765625" style="200" customWidth="1"/>
    <col min="15" max="20" width="6.3984375" customWidth="1"/>
    <col min="21" max="21" width="7.19921875" customWidth="1"/>
  </cols>
  <sheetData>
    <row r="1" spans="1:21" hidden="1"/>
    <row r="2" spans="1:21" ht="6.75" customHeight="1" thickBot="1"/>
    <row r="3" spans="1:21" ht="19.8">
      <c r="C3" s="574"/>
      <c r="D3" s="572" t="s">
        <v>704</v>
      </c>
      <c r="E3" s="572"/>
      <c r="F3" s="572"/>
      <c r="G3" s="572"/>
      <c r="H3" s="572"/>
      <c r="I3" s="572"/>
      <c r="J3" s="572"/>
      <c r="K3" s="573"/>
      <c r="M3" s="574"/>
      <c r="N3" s="604" t="s">
        <v>704</v>
      </c>
      <c r="O3" s="604"/>
      <c r="P3" s="604"/>
      <c r="Q3" s="604"/>
      <c r="R3" s="604"/>
      <c r="S3" s="604"/>
      <c r="T3" s="604"/>
      <c r="U3" s="605"/>
    </row>
    <row r="4" spans="1:21">
      <c r="A4" s="569" t="s">
        <v>610</v>
      </c>
      <c r="B4" s="20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  <c r="M4" s="575"/>
      <c r="N4" s="577" t="s">
        <v>611</v>
      </c>
      <c r="O4" s="577" t="s">
        <v>612</v>
      </c>
      <c r="P4" s="577"/>
      <c r="Q4" s="577" t="s">
        <v>614</v>
      </c>
      <c r="R4" s="577" t="s">
        <v>613</v>
      </c>
      <c r="S4" s="577" t="s">
        <v>622</v>
      </c>
      <c r="T4" s="579" t="s">
        <v>656</v>
      </c>
      <c r="U4" s="578" t="s">
        <v>623</v>
      </c>
    </row>
    <row r="5" spans="1:21" ht="18" customHeight="1">
      <c r="A5" s="569"/>
      <c r="B5" s="202"/>
      <c r="C5" s="576"/>
      <c r="D5" s="577"/>
      <c r="E5" s="195" t="s">
        <v>69</v>
      </c>
      <c r="F5" s="195" t="s">
        <v>650</v>
      </c>
      <c r="G5" s="577"/>
      <c r="H5" s="577"/>
      <c r="I5" s="577"/>
      <c r="J5" s="590"/>
      <c r="K5" s="578"/>
      <c r="M5" s="576"/>
      <c r="N5" s="577"/>
      <c r="O5" s="195" t="s">
        <v>707</v>
      </c>
      <c r="P5" s="195" t="s">
        <v>708</v>
      </c>
      <c r="Q5" s="577"/>
      <c r="R5" s="577"/>
      <c r="S5" s="577"/>
      <c r="T5" s="590"/>
      <c r="U5" s="578"/>
    </row>
    <row r="6" spans="1:21" hidden="1">
      <c r="A6" s="77">
        <v>200</v>
      </c>
      <c r="B6" s="202">
        <v>202</v>
      </c>
      <c r="C6" s="198"/>
      <c r="D6" s="195" t="e">
        <f>VLOOKUP(A6,正社員!$P$3:$Q$20,2,FALSE)</f>
        <v>#N/A</v>
      </c>
      <c r="E6" s="22">
        <f>COUNTIF(参考1男性!$C$5:$P$367,A6)</f>
        <v>0</v>
      </c>
      <c r="F6" s="22">
        <f>COUNTIF(参考2女性!$C$5:$Q$52,A6)</f>
        <v>0</v>
      </c>
      <c r="G6" s="22">
        <f>E6+F6</f>
        <v>0</v>
      </c>
      <c r="H6" s="22">
        <f>COUNTIF(参考3パート嘱託!$C$4:$Q$69,B6)</f>
        <v>0</v>
      </c>
      <c r="I6" s="22">
        <f>SUM(G6:H6)</f>
        <v>0</v>
      </c>
      <c r="J6" s="22"/>
      <c r="K6" s="83">
        <f>G6+H6+J6</f>
        <v>0</v>
      </c>
      <c r="M6" s="198"/>
      <c r="N6" s="195" t="e">
        <v>#N/A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/>
      <c r="U6" s="83">
        <v>0</v>
      </c>
    </row>
    <row r="7" spans="1:21" ht="16.5" hidden="1" customHeight="1">
      <c r="A7" s="77">
        <v>210</v>
      </c>
      <c r="B7" s="202">
        <v>211</v>
      </c>
      <c r="C7" s="198"/>
      <c r="D7" s="195" t="e">
        <f>VLOOKUP(A7,正社員!$P$3:$Q$20,2,FALSE)</f>
        <v>#N/A</v>
      </c>
      <c r="E7" s="22">
        <f>COUNTIF(参考1男性!$C$5:$P$367,A7)</f>
        <v>0</v>
      </c>
      <c r="F7" s="22">
        <f>COUNTIF(参考2女性!$C$5:$Q$52,A7)</f>
        <v>0</v>
      </c>
      <c r="G7" s="22">
        <f>E7+F7</f>
        <v>0</v>
      </c>
      <c r="H7" s="22">
        <f>COUNTIF(参考3パート嘱託!$C$4:$Q$69,B7)</f>
        <v>0</v>
      </c>
      <c r="I7" s="22">
        <f t="shared" ref="I7:I16" si="0">SUM(G7:H7)</f>
        <v>0</v>
      </c>
      <c r="J7" s="22"/>
      <c r="K7" s="83">
        <f>G7+H7+J7</f>
        <v>0</v>
      </c>
      <c r="M7" s="198"/>
      <c r="N7" s="195" t="e">
        <v>#N/A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/>
      <c r="U7" s="83">
        <v>0</v>
      </c>
    </row>
    <row r="8" spans="1:2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f>SUM(K9:K10)</f>
        <v>12</v>
      </c>
      <c r="M8" s="595" t="s">
        <v>651</v>
      </c>
      <c r="N8" s="596"/>
      <c r="O8" s="596"/>
      <c r="P8" s="596"/>
      <c r="Q8" s="596"/>
      <c r="R8" s="596"/>
      <c r="S8" s="596"/>
      <c r="T8" s="596"/>
      <c r="U8" s="103">
        <f>SUM(U9:U10)</f>
        <v>12</v>
      </c>
    </row>
    <row r="9" spans="1:21">
      <c r="A9" s="75">
        <v>11000</v>
      </c>
      <c r="B9" s="46">
        <v>11020</v>
      </c>
      <c r="C9" s="84"/>
      <c r="D9" s="195" t="str">
        <f>VLOOKUP(A8,正社員!$P$3:$Q$20,2,FALSE)</f>
        <v>営業部</v>
      </c>
      <c r="E9" s="22">
        <f>COUNTIF(参考1男性!$C$5:$Q$49,A8)</f>
        <v>7</v>
      </c>
      <c r="F9" s="22">
        <f>COUNTIF(参考2女性!$C$5:$Q$52,A8)</f>
        <v>4</v>
      </c>
      <c r="G9" s="22">
        <f>E9+F9</f>
        <v>11</v>
      </c>
      <c r="H9" s="22">
        <f>COUNTIF(参考3パート嘱託!$C$4:$Q$69,B8)</f>
        <v>1</v>
      </c>
      <c r="I9" s="22">
        <f t="shared" si="0"/>
        <v>12</v>
      </c>
      <c r="J9" s="22">
        <v>0</v>
      </c>
      <c r="K9" s="83">
        <f>G9+H9+J9</f>
        <v>12</v>
      </c>
      <c r="M9" s="84"/>
      <c r="N9" s="195" t="s">
        <v>26</v>
      </c>
      <c r="O9" s="22">
        <f t="shared" ref="O9:U10" si="1">E9</f>
        <v>7</v>
      </c>
      <c r="P9" s="22">
        <f t="shared" si="1"/>
        <v>4</v>
      </c>
      <c r="Q9" s="22">
        <f t="shared" si="1"/>
        <v>11</v>
      </c>
      <c r="R9" s="22">
        <f t="shared" si="1"/>
        <v>1</v>
      </c>
      <c r="S9" s="22">
        <f t="shared" si="1"/>
        <v>12</v>
      </c>
      <c r="T9" s="22">
        <f t="shared" si="1"/>
        <v>0</v>
      </c>
      <c r="U9" s="22">
        <f t="shared" si="1"/>
        <v>12</v>
      </c>
    </row>
    <row r="10" spans="1:21">
      <c r="A10" s="75">
        <v>90000</v>
      </c>
      <c r="B10" s="46">
        <v>90020</v>
      </c>
      <c r="C10" s="84"/>
      <c r="D10" s="195" t="s">
        <v>644</v>
      </c>
      <c r="E10" s="101">
        <v>0</v>
      </c>
      <c r="F10" s="22">
        <f>COUNTIF(参考2女性!$C$5:$Q$52,A9)</f>
        <v>0</v>
      </c>
      <c r="G10" s="22">
        <f>E10+F10</f>
        <v>0</v>
      </c>
      <c r="H10" s="22">
        <f>COUNTIF(参考3パート嘱託!$C$4:$Q$69,B9)</f>
        <v>0</v>
      </c>
      <c r="I10" s="22">
        <f t="shared" si="0"/>
        <v>0</v>
      </c>
      <c r="J10" s="22">
        <v>0</v>
      </c>
      <c r="K10" s="83">
        <f>G10+H10+J10</f>
        <v>0</v>
      </c>
      <c r="M10" s="84"/>
      <c r="N10" s="195" t="s">
        <v>644</v>
      </c>
      <c r="O10" s="22">
        <f t="shared" si="1"/>
        <v>0</v>
      </c>
      <c r="P10" s="22">
        <f t="shared" si="1"/>
        <v>0</v>
      </c>
      <c r="Q10" s="22">
        <f t="shared" si="1"/>
        <v>0</v>
      </c>
      <c r="R10" s="22">
        <f t="shared" si="1"/>
        <v>0</v>
      </c>
      <c r="S10" s="22">
        <f t="shared" si="1"/>
        <v>0</v>
      </c>
      <c r="T10" s="22">
        <f t="shared" si="1"/>
        <v>0</v>
      </c>
      <c r="U10" s="22">
        <f t="shared" si="1"/>
        <v>0</v>
      </c>
    </row>
    <row r="11" spans="1:2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f>SUM(K12)</f>
        <v>0</v>
      </c>
      <c r="M11" s="595" t="s">
        <v>698</v>
      </c>
      <c r="N11" s="596"/>
      <c r="O11" s="596"/>
      <c r="P11" s="596"/>
      <c r="Q11" s="596"/>
      <c r="R11" s="596"/>
      <c r="S11" s="596"/>
      <c r="T11" s="596"/>
      <c r="U11" s="105">
        <f>SUM(U12:U14)+U15</f>
        <v>20</v>
      </c>
    </row>
    <row r="12" spans="1:21">
      <c r="A12" s="76">
        <v>1000</v>
      </c>
      <c r="B12" s="46">
        <v>1020</v>
      </c>
      <c r="C12" s="84"/>
      <c r="D12" s="195" t="str">
        <f>VLOOKUP(A10,正社員!$P$39:$Q$195,2,FALSE)</f>
        <v>資材部</v>
      </c>
      <c r="E12" s="22">
        <f>COUNTIF(参考1男性!$C$5:$P$367,A10)</f>
        <v>0</v>
      </c>
      <c r="F12" s="22">
        <f>COUNTIF(参考2女性!$C$5:$Q$52,A10)</f>
        <v>0</v>
      </c>
      <c r="G12" s="22">
        <f>E12+F12</f>
        <v>0</v>
      </c>
      <c r="H12" s="22">
        <f>COUNTIF(参考3パート嘱託!$C$4:$Q$69,B10)</f>
        <v>0</v>
      </c>
      <c r="I12" s="22">
        <f t="shared" si="0"/>
        <v>0</v>
      </c>
      <c r="J12" s="22">
        <v>0</v>
      </c>
      <c r="K12" s="83">
        <f>G12+H12+J12</f>
        <v>0</v>
      </c>
      <c r="M12" s="84"/>
      <c r="N12" s="195" t="s">
        <v>696</v>
      </c>
      <c r="O12" s="101">
        <v>1</v>
      </c>
      <c r="P12" s="22">
        <v>0</v>
      </c>
      <c r="Q12" s="22">
        <v>1</v>
      </c>
      <c r="R12" s="22">
        <v>0</v>
      </c>
      <c r="S12" s="22">
        <v>1</v>
      </c>
      <c r="T12" s="22">
        <v>0</v>
      </c>
      <c r="U12" s="83">
        <v>1</v>
      </c>
    </row>
    <row r="13" spans="1:2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f>SUM(K14:K16)</f>
        <v>19</v>
      </c>
      <c r="M13" s="84"/>
      <c r="N13" s="195" t="s">
        <v>218</v>
      </c>
      <c r="O13" s="22">
        <f>E12</f>
        <v>0</v>
      </c>
      <c r="P13" s="22">
        <f t="shared" ref="P13:U13" si="2">F12</f>
        <v>0</v>
      </c>
      <c r="Q13" s="22">
        <f t="shared" si="2"/>
        <v>0</v>
      </c>
      <c r="R13" s="22">
        <f t="shared" si="2"/>
        <v>0</v>
      </c>
      <c r="S13" s="22">
        <f t="shared" si="2"/>
        <v>0</v>
      </c>
      <c r="T13" s="22">
        <f t="shared" si="2"/>
        <v>0</v>
      </c>
      <c r="U13" s="22">
        <f t="shared" si="2"/>
        <v>0</v>
      </c>
    </row>
    <row r="14" spans="1:21">
      <c r="A14" s="76"/>
      <c r="B14" s="56"/>
      <c r="C14" s="85"/>
      <c r="D14" s="195" t="s">
        <v>648</v>
      </c>
      <c r="E14" s="22">
        <f>COUNTIF(参考1男性!$C$5:$P$367,A11)</f>
        <v>2</v>
      </c>
      <c r="F14" s="22">
        <f>COUNTIF(参考2女性!$C$5:$Q$52,A11)</f>
        <v>2</v>
      </c>
      <c r="G14" s="22">
        <f>E14+F14</f>
        <v>4</v>
      </c>
      <c r="H14" s="22">
        <f>COUNTIF(参考3パート嘱託!$C$4:$Q$69,B11)</f>
        <v>1</v>
      </c>
      <c r="I14" s="22">
        <f t="shared" si="0"/>
        <v>5</v>
      </c>
      <c r="J14" s="22">
        <v>0</v>
      </c>
      <c r="K14" s="83">
        <f>G14+H14+J14</f>
        <v>5</v>
      </c>
      <c r="M14" s="85"/>
      <c r="N14" s="195" t="s">
        <v>648</v>
      </c>
      <c r="O14" s="22">
        <f>E14</f>
        <v>2</v>
      </c>
      <c r="P14" s="22">
        <f t="shared" ref="P14:U14" si="3">F14</f>
        <v>2</v>
      </c>
      <c r="Q14" s="22">
        <f t="shared" si="3"/>
        <v>4</v>
      </c>
      <c r="R14" s="22">
        <f t="shared" si="3"/>
        <v>1</v>
      </c>
      <c r="S14" s="22">
        <f t="shared" si="3"/>
        <v>5</v>
      </c>
      <c r="T14" s="22">
        <f t="shared" si="3"/>
        <v>0</v>
      </c>
      <c r="U14" s="22">
        <f t="shared" si="3"/>
        <v>5</v>
      </c>
    </row>
    <row r="15" spans="1:21">
      <c r="A15" s="75">
        <v>50000</v>
      </c>
      <c r="B15" s="46">
        <v>50020</v>
      </c>
      <c r="C15" s="85"/>
      <c r="D15" s="195" t="str">
        <f>VLOOKUP(A12,正社員!$P$3:$Q$20,2,FALSE)</f>
        <v>総務部</v>
      </c>
      <c r="E15" s="22">
        <f>COUNTIF(参考1男性!$C$5:$P$367,A12)</f>
        <v>5</v>
      </c>
      <c r="F15" s="22">
        <f>COUNTIF(参考2女性!$C$5:$Q$52,A12)</f>
        <v>1</v>
      </c>
      <c r="G15" s="22">
        <f>E15+F15</f>
        <v>6</v>
      </c>
      <c r="H15" s="22">
        <f>COUNTIF(参考3パート嘱託!$C$4:$Q$69,B12)</f>
        <v>1</v>
      </c>
      <c r="I15" s="22">
        <f t="shared" si="0"/>
        <v>7</v>
      </c>
      <c r="J15" s="22">
        <v>4</v>
      </c>
      <c r="K15" s="83">
        <f>G15+H15+J15</f>
        <v>11</v>
      </c>
      <c r="M15" s="584" t="s">
        <v>709</v>
      </c>
      <c r="N15" s="585"/>
      <c r="O15" s="78">
        <f>E17</f>
        <v>6</v>
      </c>
      <c r="P15" s="78">
        <f t="shared" ref="P15:U15" si="4">F17</f>
        <v>2</v>
      </c>
      <c r="Q15" s="78">
        <f t="shared" si="4"/>
        <v>8</v>
      </c>
      <c r="R15" s="78">
        <f t="shared" si="4"/>
        <v>2</v>
      </c>
      <c r="S15" s="78">
        <f t="shared" si="4"/>
        <v>10</v>
      </c>
      <c r="T15" s="78">
        <f t="shared" si="4"/>
        <v>4</v>
      </c>
      <c r="U15" s="78">
        <f t="shared" si="4"/>
        <v>14</v>
      </c>
    </row>
    <row r="16" spans="1:21">
      <c r="A16" s="75">
        <v>51000</v>
      </c>
      <c r="B16" s="46">
        <v>51020</v>
      </c>
      <c r="C16" s="85"/>
      <c r="D16" s="195" t="str">
        <f>VLOOKUP(A13,正社員!$P$3:$Q$20,2,FALSE)</f>
        <v>総務部羽生総務課</v>
      </c>
      <c r="E16" s="22">
        <f>COUNTIF(参考1男性!$C$5:$P$367,A13)</f>
        <v>1</v>
      </c>
      <c r="F16" s="22">
        <f>COUNTIF(参考2女性!$C$5:$Q$52,A13)</f>
        <v>1</v>
      </c>
      <c r="G16" s="22">
        <f>E16+F16</f>
        <v>2</v>
      </c>
      <c r="H16" s="22">
        <f>COUNTIF(参考3パート嘱託!$C$4:$Q$69,B13)</f>
        <v>1</v>
      </c>
      <c r="I16" s="22">
        <f t="shared" si="0"/>
        <v>3</v>
      </c>
      <c r="J16" s="22">
        <v>0</v>
      </c>
      <c r="K16" s="83">
        <f>G16+H16+J16</f>
        <v>3</v>
      </c>
      <c r="M16" s="198" t="s">
        <v>668</v>
      </c>
      <c r="N16" s="195" t="s">
        <v>17</v>
      </c>
      <c r="O16" s="22">
        <f>E15</f>
        <v>5</v>
      </c>
      <c r="P16" s="22">
        <f t="shared" ref="P16:U16" si="5">F15</f>
        <v>1</v>
      </c>
      <c r="Q16" s="22">
        <f t="shared" si="5"/>
        <v>6</v>
      </c>
      <c r="R16" s="22">
        <f t="shared" si="5"/>
        <v>1</v>
      </c>
      <c r="S16" s="22">
        <f t="shared" si="5"/>
        <v>7</v>
      </c>
      <c r="T16" s="22">
        <f t="shared" si="5"/>
        <v>4</v>
      </c>
      <c r="U16" s="22">
        <f t="shared" si="5"/>
        <v>11</v>
      </c>
    </row>
    <row r="17" spans="1:21">
      <c r="A17" s="75">
        <v>63000</v>
      </c>
      <c r="B17" s="46">
        <v>63020</v>
      </c>
      <c r="C17" s="86"/>
      <c r="D17" s="80" t="s">
        <v>629</v>
      </c>
      <c r="E17" s="78">
        <f>SUM(E15:E16)</f>
        <v>6</v>
      </c>
      <c r="F17" s="78">
        <f t="shared" ref="F17:K17" si="6">SUM(F15:F16)</f>
        <v>2</v>
      </c>
      <c r="G17" s="78">
        <f t="shared" si="6"/>
        <v>8</v>
      </c>
      <c r="H17" s="78">
        <f t="shared" si="6"/>
        <v>2</v>
      </c>
      <c r="I17" s="78">
        <f t="shared" si="6"/>
        <v>10</v>
      </c>
      <c r="J17" s="78">
        <f t="shared" si="6"/>
        <v>4</v>
      </c>
      <c r="K17" s="87">
        <f t="shared" si="6"/>
        <v>14</v>
      </c>
      <c r="M17" s="198" t="s">
        <v>647</v>
      </c>
      <c r="N17" s="195" t="s">
        <v>13</v>
      </c>
      <c r="O17" s="22">
        <f>E16</f>
        <v>1</v>
      </c>
      <c r="P17" s="22">
        <f t="shared" ref="P17:U17" si="7">F16</f>
        <v>1</v>
      </c>
      <c r="Q17" s="22">
        <f t="shared" si="7"/>
        <v>2</v>
      </c>
      <c r="R17" s="22">
        <f t="shared" si="7"/>
        <v>1</v>
      </c>
      <c r="S17" s="22">
        <f t="shared" si="7"/>
        <v>3</v>
      </c>
      <c r="T17" s="22">
        <f t="shared" si="7"/>
        <v>0</v>
      </c>
      <c r="U17" s="22">
        <f t="shared" si="7"/>
        <v>3</v>
      </c>
    </row>
    <row r="18" spans="1:21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f>SUM(K19:K21)</f>
        <v>21</v>
      </c>
      <c r="M18" s="591" t="s">
        <v>653</v>
      </c>
      <c r="N18" s="592"/>
      <c r="O18" s="592"/>
      <c r="P18" s="592"/>
      <c r="Q18" s="592"/>
      <c r="R18" s="592"/>
      <c r="S18" s="592"/>
      <c r="T18" s="592"/>
      <c r="U18" s="104">
        <f>U19</f>
        <v>37</v>
      </c>
    </row>
    <row r="19" spans="1:21">
      <c r="A19" s="75">
        <v>80000</v>
      </c>
      <c r="B19" s="46">
        <v>80020</v>
      </c>
      <c r="C19" s="586" t="s">
        <v>643</v>
      </c>
      <c r="D19" s="195" t="str">
        <f>VLOOKUP(A15,正社員!$P$39:$Q$195,2,FALSE)</f>
        <v>品質保証部検査課</v>
      </c>
      <c r="E19" s="22">
        <f>COUNTIF(参考1男性!$C$5:$P$367,A15)</f>
        <v>3</v>
      </c>
      <c r="F19" s="22">
        <f>COUNTIF(参考2女性!$C$5:$Q$52,A15)</f>
        <v>2</v>
      </c>
      <c r="G19" s="22">
        <f>E19+F19</f>
        <v>5</v>
      </c>
      <c r="H19" s="22">
        <f>COUNTIF(参考3パート嘱託!$C$4:$Q$69,B15)</f>
        <v>0</v>
      </c>
      <c r="I19" s="22">
        <f>SUM(G19:H19)</f>
        <v>5</v>
      </c>
      <c r="J19" s="22">
        <v>0</v>
      </c>
      <c r="K19" s="83">
        <f>G19+H19+J19</f>
        <v>5</v>
      </c>
      <c r="M19" s="84"/>
      <c r="N19" s="195" t="s">
        <v>172</v>
      </c>
      <c r="O19" s="22">
        <f>E23</f>
        <v>34</v>
      </c>
      <c r="P19" s="22">
        <f t="shared" ref="P19:U19" si="8">F23</f>
        <v>3</v>
      </c>
      <c r="Q19" s="22">
        <f t="shared" si="8"/>
        <v>37</v>
      </c>
      <c r="R19" s="22">
        <f t="shared" si="8"/>
        <v>0</v>
      </c>
      <c r="S19" s="22">
        <f t="shared" si="8"/>
        <v>37</v>
      </c>
      <c r="T19" s="22">
        <f t="shared" si="8"/>
        <v>0</v>
      </c>
      <c r="U19" s="22">
        <f t="shared" si="8"/>
        <v>37</v>
      </c>
    </row>
    <row r="20" spans="1:21">
      <c r="A20" s="75">
        <v>41111</v>
      </c>
      <c r="B20" s="46">
        <v>41121</v>
      </c>
      <c r="C20" s="576"/>
      <c r="D20" s="195" t="str">
        <f>VLOOKUP(A16,正社員!$P$39:$Q$195,2,FALSE)</f>
        <v>品質保証部品質管理課</v>
      </c>
      <c r="E20" s="22">
        <f>COUNTIF(参考1男性!$C$5:$P$367,A16)</f>
        <v>6</v>
      </c>
      <c r="F20" s="22">
        <f>COUNTIF(参考2女性!$C$5:$Q$52,A16)</f>
        <v>0</v>
      </c>
      <c r="G20" s="22">
        <f>E20+F20</f>
        <v>6</v>
      </c>
      <c r="H20" s="22">
        <f>COUNTIF(参考3パート嘱託!$C$4:$Q$69,B16)</f>
        <v>0</v>
      </c>
      <c r="I20" s="22">
        <f>SUM(G20:H20)</f>
        <v>6</v>
      </c>
      <c r="J20" s="22">
        <v>0</v>
      </c>
      <c r="K20" s="83">
        <f>G20+H20+J20</f>
        <v>6</v>
      </c>
      <c r="M20" s="595" t="s">
        <v>645</v>
      </c>
      <c r="N20" s="596"/>
      <c r="O20" s="596"/>
      <c r="P20" s="596"/>
      <c r="Q20" s="596"/>
      <c r="R20" s="596"/>
      <c r="S20" s="596"/>
      <c r="T20" s="596"/>
      <c r="U20" s="103">
        <v>557</v>
      </c>
    </row>
    <row r="21" spans="1:21">
      <c r="A21" s="75">
        <v>43011</v>
      </c>
      <c r="B21" s="46">
        <v>43021</v>
      </c>
      <c r="C21" s="197" t="s">
        <v>647</v>
      </c>
      <c r="D21" s="195" t="str">
        <f>VLOOKUP(A17,正社員!$P$39:$Q$195,2,FALSE)</f>
        <v>品質保証部（羽生）</v>
      </c>
      <c r="E21" s="22">
        <f>COUNTIF(参考1男性!$C$5:$P$367,A17)</f>
        <v>9</v>
      </c>
      <c r="F21" s="22">
        <f>COUNTIF(参考2女性!$C$5:$Q$52,A17)</f>
        <v>1</v>
      </c>
      <c r="G21" s="22">
        <f>E21+F21</f>
        <v>10</v>
      </c>
      <c r="H21" s="22">
        <f>COUNTIF(参考3パート嘱託!$C$4:$Q$69,B17)</f>
        <v>0</v>
      </c>
      <c r="I21" s="22">
        <f>SUM(G21:H21)</f>
        <v>10</v>
      </c>
      <c r="J21" s="22">
        <v>0</v>
      </c>
      <c r="K21" s="83">
        <f>G21+H21+J21</f>
        <v>10</v>
      </c>
      <c r="M21" s="584" t="s">
        <v>620</v>
      </c>
      <c r="N21" s="585"/>
      <c r="O21" s="78">
        <f t="shared" ref="O21:O26" si="9">E25</f>
        <v>115</v>
      </c>
      <c r="P21" s="78">
        <f t="shared" ref="P21:U21" si="10">F25</f>
        <v>8</v>
      </c>
      <c r="Q21" s="78">
        <f t="shared" si="10"/>
        <v>123</v>
      </c>
      <c r="R21" s="78">
        <f t="shared" si="10"/>
        <v>20</v>
      </c>
      <c r="S21" s="78">
        <f t="shared" si="10"/>
        <v>143</v>
      </c>
      <c r="T21" s="78">
        <f t="shared" si="10"/>
        <v>78</v>
      </c>
      <c r="U21" s="78">
        <f t="shared" si="10"/>
        <v>221</v>
      </c>
    </row>
    <row r="22" spans="1:21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f>K23</f>
        <v>37</v>
      </c>
      <c r="M22" s="586" t="s">
        <v>625</v>
      </c>
      <c r="N22" s="195" t="s">
        <v>280</v>
      </c>
      <c r="O22" s="22">
        <f t="shared" si="9"/>
        <v>8</v>
      </c>
      <c r="P22" s="22">
        <f t="shared" ref="P22:U26" si="11">F26</f>
        <v>0</v>
      </c>
      <c r="Q22" s="22">
        <f t="shared" si="11"/>
        <v>8</v>
      </c>
      <c r="R22" s="22">
        <f t="shared" si="11"/>
        <v>3</v>
      </c>
      <c r="S22" s="22">
        <f t="shared" si="11"/>
        <v>11</v>
      </c>
      <c r="T22" s="22">
        <f t="shared" si="11"/>
        <v>5</v>
      </c>
      <c r="U22" s="22">
        <f t="shared" si="11"/>
        <v>16</v>
      </c>
    </row>
    <row r="23" spans="1:21">
      <c r="A23" s="75">
        <v>42111</v>
      </c>
      <c r="B23" s="46">
        <v>42121</v>
      </c>
      <c r="C23" s="84"/>
      <c r="D23" s="195" t="str">
        <f>VLOOKUP(A19,正社員!$P$39:$Q$195,2,FALSE)</f>
        <v>ＮＥＬ</v>
      </c>
      <c r="E23" s="22">
        <f>COUNTIF(参考1男性!$C$5:$P$367,A19)</f>
        <v>34</v>
      </c>
      <c r="F23" s="22">
        <f>COUNTIF(参考2女性!$C$5:$Q$52,A19)</f>
        <v>3</v>
      </c>
      <c r="G23" s="22">
        <f t="shared" ref="G23:G39" si="12">E23+F23</f>
        <v>37</v>
      </c>
      <c r="H23" s="22">
        <f>COUNTIF(参考3パート嘱託!$C$4:$Q$69,B19)</f>
        <v>0</v>
      </c>
      <c r="I23" s="22">
        <f>SUM(G23:H23)</f>
        <v>37</v>
      </c>
      <c r="J23" s="22">
        <v>0</v>
      </c>
      <c r="K23" s="83">
        <f t="shared" ref="K23:K39" si="13">G23+H23+J23</f>
        <v>37</v>
      </c>
      <c r="M23" s="575"/>
      <c r="N23" s="195" t="s">
        <v>349</v>
      </c>
      <c r="O23" s="22">
        <f t="shared" si="9"/>
        <v>17</v>
      </c>
      <c r="P23" s="22">
        <f t="shared" si="11"/>
        <v>0</v>
      </c>
      <c r="Q23" s="22">
        <f t="shared" si="11"/>
        <v>17</v>
      </c>
      <c r="R23" s="22">
        <f t="shared" si="11"/>
        <v>2</v>
      </c>
      <c r="S23" s="22">
        <f t="shared" si="11"/>
        <v>19</v>
      </c>
      <c r="T23" s="22">
        <f t="shared" si="11"/>
        <v>6</v>
      </c>
      <c r="U23" s="22">
        <f t="shared" si="11"/>
        <v>25</v>
      </c>
    </row>
    <row r="24" spans="1:21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 t="e">
        <f>K25+K40+K58+K64</f>
        <v>#REF!</v>
      </c>
      <c r="M24" s="576"/>
      <c r="N24" s="195" t="s">
        <v>258</v>
      </c>
      <c r="O24" s="22">
        <f t="shared" si="9"/>
        <v>21</v>
      </c>
      <c r="P24" s="22">
        <f t="shared" si="11"/>
        <v>0</v>
      </c>
      <c r="Q24" s="22">
        <f t="shared" si="11"/>
        <v>21</v>
      </c>
      <c r="R24" s="22">
        <f t="shared" si="11"/>
        <v>3</v>
      </c>
      <c r="S24" s="22">
        <f t="shared" si="11"/>
        <v>24</v>
      </c>
      <c r="T24" s="22">
        <f t="shared" si="11"/>
        <v>15</v>
      </c>
      <c r="U24" s="22">
        <f t="shared" si="11"/>
        <v>39</v>
      </c>
    </row>
    <row r="25" spans="1:21">
      <c r="A25" s="75">
        <v>42211</v>
      </c>
      <c r="B25" s="46">
        <v>42221</v>
      </c>
      <c r="C25" s="584" t="s">
        <v>620</v>
      </c>
      <c r="D25" s="585"/>
      <c r="E25" s="78">
        <f>SUM(E26:E39)</f>
        <v>115</v>
      </c>
      <c r="F25" s="78">
        <f t="shared" ref="F25:K25" si="14">SUM(F26:F39)</f>
        <v>8</v>
      </c>
      <c r="G25" s="78">
        <f t="shared" si="14"/>
        <v>123</v>
      </c>
      <c r="H25" s="78">
        <f t="shared" si="14"/>
        <v>20</v>
      </c>
      <c r="I25" s="78">
        <f t="shared" si="14"/>
        <v>143</v>
      </c>
      <c r="J25" s="78">
        <f t="shared" si="14"/>
        <v>78</v>
      </c>
      <c r="K25" s="87">
        <f t="shared" si="14"/>
        <v>221</v>
      </c>
      <c r="L25" s="94"/>
      <c r="M25"/>
      <c r="N25" s="195" t="s">
        <v>305</v>
      </c>
      <c r="O25" s="22">
        <f t="shared" si="9"/>
        <v>14</v>
      </c>
      <c r="P25" s="22">
        <f t="shared" si="11"/>
        <v>1</v>
      </c>
      <c r="Q25" s="22">
        <f t="shared" si="11"/>
        <v>15</v>
      </c>
      <c r="R25" s="22">
        <f t="shared" si="11"/>
        <v>3</v>
      </c>
      <c r="S25" s="22">
        <f t="shared" si="11"/>
        <v>18</v>
      </c>
      <c r="T25" s="22">
        <f t="shared" si="11"/>
        <v>0</v>
      </c>
      <c r="U25" s="22">
        <f t="shared" si="11"/>
        <v>18</v>
      </c>
    </row>
    <row r="26" spans="1:21">
      <c r="A26" s="75">
        <v>42011</v>
      </c>
      <c r="B26" s="46">
        <v>42021</v>
      </c>
      <c r="C26" s="586" t="s">
        <v>625</v>
      </c>
      <c r="D26" s="195" t="str">
        <f>VLOOKUP(A20,正社員!$P$234:$Q$460,2,FALSE)</f>
        <v>本社工場ＮＣ</v>
      </c>
      <c r="E26" s="22">
        <f>COUNTIF(参考1男性!$C$5:$P$367,A20)</f>
        <v>8</v>
      </c>
      <c r="F26" s="22">
        <f>COUNTIF(参考2女性!$C$5:$Q$52,A20)</f>
        <v>0</v>
      </c>
      <c r="G26" s="22">
        <f t="shared" si="12"/>
        <v>8</v>
      </c>
      <c r="H26" s="22">
        <f>COUNTIF(参考3パート嘱託!$C$4:$Q$69,B20)</f>
        <v>3</v>
      </c>
      <c r="I26" s="22">
        <f t="shared" ref="I26:I39" si="15">SUM(G26:H26)</f>
        <v>11</v>
      </c>
      <c r="J26" s="101">
        <v>5</v>
      </c>
      <c r="K26" s="83">
        <f t="shared" si="13"/>
        <v>16</v>
      </c>
      <c r="M26"/>
      <c r="N26" s="195" t="s">
        <v>339</v>
      </c>
      <c r="O26" s="22">
        <f t="shared" si="9"/>
        <v>0</v>
      </c>
      <c r="P26" s="22">
        <f t="shared" si="11"/>
        <v>0</v>
      </c>
      <c r="Q26" s="22">
        <f t="shared" si="11"/>
        <v>0</v>
      </c>
      <c r="R26" s="22">
        <f t="shared" si="11"/>
        <v>0</v>
      </c>
      <c r="S26" s="22">
        <f t="shared" si="11"/>
        <v>0</v>
      </c>
      <c r="T26" s="22">
        <f t="shared" si="11"/>
        <v>0</v>
      </c>
      <c r="U26" s="22">
        <f t="shared" si="11"/>
        <v>0</v>
      </c>
    </row>
    <row r="27" spans="1:21">
      <c r="A27" s="75">
        <v>42311</v>
      </c>
      <c r="B27" s="46">
        <v>42321</v>
      </c>
      <c r="C27" s="575"/>
      <c r="D27" s="195" t="str">
        <f>VLOOKUP(A21,正社員!$P$234:$Q$460,2,FALSE)</f>
        <v>本社工場ＴＰ</v>
      </c>
      <c r="E27" s="22">
        <f>COUNTIF(参考1男性!$C$5:$P$367,A21)</f>
        <v>17</v>
      </c>
      <c r="F27" s="22">
        <f>COUNTIF(参考2女性!$C$5:$Q$52,A21)</f>
        <v>0</v>
      </c>
      <c r="G27" s="22">
        <f t="shared" si="12"/>
        <v>17</v>
      </c>
      <c r="H27" s="22">
        <f>COUNTIF(参考3パート嘱託!$C$4:$Q$69,B21)</f>
        <v>2</v>
      </c>
      <c r="I27" s="22">
        <f t="shared" si="15"/>
        <v>19</v>
      </c>
      <c r="J27" s="101">
        <v>6</v>
      </c>
      <c r="K27" s="83">
        <f t="shared" si="13"/>
        <v>25</v>
      </c>
      <c r="M27"/>
      <c r="N27" s="195" t="s">
        <v>660</v>
      </c>
      <c r="O27" s="22">
        <f>SUM(O25:O26)</f>
        <v>14</v>
      </c>
      <c r="P27" s="22">
        <f t="shared" ref="P27:U27" si="16">SUM(P25:P26)</f>
        <v>1</v>
      </c>
      <c r="Q27" s="22">
        <f t="shared" si="16"/>
        <v>15</v>
      </c>
      <c r="R27" s="22">
        <f t="shared" si="16"/>
        <v>3</v>
      </c>
      <c r="S27" s="22">
        <f t="shared" si="16"/>
        <v>18</v>
      </c>
      <c r="T27" s="22">
        <f t="shared" si="16"/>
        <v>0</v>
      </c>
      <c r="U27" s="22">
        <f t="shared" si="16"/>
        <v>18</v>
      </c>
    </row>
    <row r="28" spans="1:21">
      <c r="A28" s="75">
        <v>43211</v>
      </c>
      <c r="B28" s="46">
        <v>43221</v>
      </c>
      <c r="C28" s="576"/>
      <c r="D28" s="195" t="str">
        <f>VLOOKUP(A22,正社員!$P$234:$Q$460,2,FALSE)</f>
        <v>本社工場ＨＹ</v>
      </c>
      <c r="E28" s="22">
        <f>COUNTIF(参考1男性!$C$5:$P$367,A22)</f>
        <v>21</v>
      </c>
      <c r="F28" s="22">
        <f>COUNTIF(参考2女性!$C$5:$Q$52,A22)</f>
        <v>0</v>
      </c>
      <c r="G28" s="22">
        <f t="shared" si="12"/>
        <v>21</v>
      </c>
      <c r="H28" s="22">
        <f>COUNTIF(参考3パート嘱託!$C$4:$Q$69,B22)</f>
        <v>3</v>
      </c>
      <c r="I28" s="22">
        <f t="shared" si="15"/>
        <v>24</v>
      </c>
      <c r="J28" s="101">
        <v>15</v>
      </c>
      <c r="K28" s="83">
        <f t="shared" si="13"/>
        <v>39</v>
      </c>
      <c r="M28"/>
      <c r="N28" s="195" t="s">
        <v>318</v>
      </c>
      <c r="O28" s="22">
        <f>E32</f>
        <v>11</v>
      </c>
      <c r="P28" s="22">
        <f t="shared" ref="P28:U28" si="17">F32</f>
        <v>0</v>
      </c>
      <c r="Q28" s="22">
        <f t="shared" si="17"/>
        <v>11</v>
      </c>
      <c r="R28" s="22">
        <f t="shared" si="17"/>
        <v>1</v>
      </c>
      <c r="S28" s="22">
        <f t="shared" si="17"/>
        <v>12</v>
      </c>
      <c r="T28" s="22">
        <f t="shared" si="17"/>
        <v>4</v>
      </c>
      <c r="U28" s="22">
        <f t="shared" si="17"/>
        <v>16</v>
      </c>
    </row>
    <row r="29" spans="1:21">
      <c r="A29" s="75">
        <v>43311</v>
      </c>
      <c r="B29" s="46">
        <v>43321</v>
      </c>
      <c r="C29" s="571" t="s">
        <v>626</v>
      </c>
      <c r="D29" s="195" t="str">
        <f>VLOOKUP(A23,正社員!$P$234:$Q$460,2,FALSE)</f>
        <v>本社工場組立第１</v>
      </c>
      <c r="E29" s="22">
        <f>COUNTIF(参考1男性!$C$5:$P$367,A23)</f>
        <v>14</v>
      </c>
      <c r="F29" s="22">
        <f>COUNTIF(参考2女性!$C$5:$Q$52,A23)</f>
        <v>1</v>
      </c>
      <c r="G29" s="22">
        <f t="shared" si="12"/>
        <v>15</v>
      </c>
      <c r="H29" s="22">
        <f>COUNTIF(参考3パート嘱託!$C$4:$Q$69,B23)</f>
        <v>3</v>
      </c>
      <c r="I29" s="22">
        <f t="shared" si="15"/>
        <v>18</v>
      </c>
      <c r="J29" s="101"/>
      <c r="K29" s="83">
        <f t="shared" si="13"/>
        <v>18</v>
      </c>
      <c r="L29" s="206" t="s">
        <v>658</v>
      </c>
      <c r="M29" s="207"/>
      <c r="N29" s="195" t="s">
        <v>711</v>
      </c>
      <c r="O29" s="207"/>
      <c r="P29" s="22">
        <v>0</v>
      </c>
      <c r="Q29" s="22">
        <v>13</v>
      </c>
      <c r="R29" s="22">
        <v>2</v>
      </c>
      <c r="S29" s="22">
        <v>15</v>
      </c>
      <c r="T29" s="101">
        <v>14</v>
      </c>
      <c r="U29" s="83">
        <v>29</v>
      </c>
    </row>
    <row r="30" spans="1:21">
      <c r="A30" s="75">
        <v>41200</v>
      </c>
      <c r="B30" s="46">
        <v>41220</v>
      </c>
      <c r="C30" s="571"/>
      <c r="D30" s="195" t="str">
        <f>VLOOKUP(A24,正社員!$P$234:$Q$460,2,FALSE)</f>
        <v>本社工場組立第２</v>
      </c>
      <c r="E30" s="22">
        <f>COUNTIF(参考1男性!$C$5:$P$367,A24)</f>
        <v>0</v>
      </c>
      <c r="F30" s="22">
        <f>COUNTIF(参考2女性!$C$5:$Q$52,A24)</f>
        <v>0</v>
      </c>
      <c r="G30" s="22">
        <f t="shared" si="12"/>
        <v>0</v>
      </c>
      <c r="H30" s="22">
        <f>COUNTIF(参考3パート嘱託!$C$4:$Q$69,B24)</f>
        <v>0</v>
      </c>
      <c r="I30" s="22">
        <f t="shared" si="15"/>
        <v>0</v>
      </c>
      <c r="J30" s="101"/>
      <c r="K30" s="83">
        <f t="shared" si="13"/>
        <v>0</v>
      </c>
      <c r="L30" s="206"/>
      <c r="M30" s="207"/>
      <c r="N30" s="195" t="s">
        <v>712</v>
      </c>
      <c r="O30" s="207"/>
      <c r="P30" s="22">
        <v>0</v>
      </c>
      <c r="Q30" s="22">
        <v>7</v>
      </c>
      <c r="R30" s="22">
        <v>0</v>
      </c>
      <c r="S30" s="22">
        <v>7</v>
      </c>
      <c r="T30" s="101">
        <v>7</v>
      </c>
      <c r="U30" s="83">
        <v>14</v>
      </c>
    </row>
    <row r="31" spans="1:21">
      <c r="A31" s="75"/>
      <c r="C31" s="571"/>
      <c r="D31" s="195"/>
      <c r="E31" s="22"/>
      <c r="F31" s="22"/>
      <c r="G31" s="22"/>
      <c r="H31" s="22"/>
      <c r="I31" s="22"/>
      <c r="J31" s="101">
        <v>10</v>
      </c>
      <c r="K31" s="83">
        <f t="shared" si="13"/>
        <v>10</v>
      </c>
      <c r="L31" s="201"/>
      <c r="M31" s="207"/>
      <c r="N31" s="195"/>
      <c r="O31" s="207"/>
      <c r="P31" s="22"/>
      <c r="Q31" s="22"/>
      <c r="R31" s="22"/>
      <c r="S31" s="22"/>
      <c r="T31" s="101"/>
      <c r="U31" s="83"/>
    </row>
    <row r="32" spans="1:21">
      <c r="A32" s="75">
        <v>40400</v>
      </c>
      <c r="B32" s="46">
        <v>40420</v>
      </c>
      <c r="C32" s="571"/>
      <c r="D32" s="195" t="str">
        <f>VLOOKUP(A25,正社員!$P$234:$Q$460,2,FALSE)</f>
        <v>本社工場ＡＣ研磨</v>
      </c>
      <c r="E32" s="22">
        <f>COUNTIF(参考1男性!$C$5:$P$367,A25)</f>
        <v>11</v>
      </c>
      <c r="F32" s="22">
        <f>COUNTIF(参考2女性!$C$5:$Q$52,A25)</f>
        <v>0</v>
      </c>
      <c r="G32" s="22">
        <f t="shared" si="12"/>
        <v>11</v>
      </c>
      <c r="H32" s="22">
        <f>COUNTIF(参考3パート嘱託!$C$4:$Q$69,B25)</f>
        <v>1</v>
      </c>
      <c r="I32" s="22">
        <f t="shared" si="15"/>
        <v>12</v>
      </c>
      <c r="J32" s="101">
        <v>4</v>
      </c>
      <c r="K32" s="83">
        <f t="shared" si="13"/>
        <v>16</v>
      </c>
      <c r="M32" s="85" t="s">
        <v>627</v>
      </c>
      <c r="N32" s="195" t="s">
        <v>364</v>
      </c>
      <c r="O32" s="22">
        <f t="shared" ref="O32:O38" si="18">E35</f>
        <v>8</v>
      </c>
      <c r="P32" s="22">
        <f t="shared" ref="P32:U36" si="19">F35</f>
        <v>6</v>
      </c>
      <c r="Q32" s="22">
        <f t="shared" si="19"/>
        <v>14</v>
      </c>
      <c r="R32" s="22">
        <f t="shared" si="19"/>
        <v>2</v>
      </c>
      <c r="S32" s="22">
        <f t="shared" si="19"/>
        <v>16</v>
      </c>
      <c r="T32" s="22">
        <f t="shared" si="19"/>
        <v>15</v>
      </c>
      <c r="U32" s="22">
        <f t="shared" si="19"/>
        <v>31</v>
      </c>
    </row>
    <row r="33" spans="1:21">
      <c r="A33" s="75">
        <v>40000</v>
      </c>
      <c r="B33" s="46">
        <v>40020</v>
      </c>
      <c r="C33" s="571"/>
      <c r="D33" s="195" t="str">
        <f>VLOOKUP(A26,正社員!$P$234:$Q$460,2,FALSE)</f>
        <v>本社工場機械第１</v>
      </c>
      <c r="E33" s="22">
        <f>COUNTIF(参考1男性!$C$5:$P$367,A26)</f>
        <v>10</v>
      </c>
      <c r="F33" s="22">
        <f>COUNTIF(参考2女性!$C$5:$Q$52,A26)</f>
        <v>0</v>
      </c>
      <c r="G33" s="22">
        <f t="shared" si="12"/>
        <v>10</v>
      </c>
      <c r="H33" s="22">
        <f>COUNTIF(参考3パート嘱託!$C$4:$Q$69,B26)</f>
        <v>1</v>
      </c>
      <c r="I33" s="22">
        <f t="shared" si="15"/>
        <v>11</v>
      </c>
      <c r="J33" s="101">
        <v>13</v>
      </c>
      <c r="K33" s="83">
        <f t="shared" si="13"/>
        <v>24</v>
      </c>
      <c r="M33" s="85"/>
      <c r="N33" s="195" t="s">
        <v>377</v>
      </c>
      <c r="O33" s="22">
        <f t="shared" si="18"/>
        <v>3</v>
      </c>
      <c r="P33" s="22">
        <f t="shared" si="19"/>
        <v>0</v>
      </c>
      <c r="Q33" s="22">
        <f t="shared" si="19"/>
        <v>3</v>
      </c>
      <c r="R33" s="22">
        <f t="shared" si="19"/>
        <v>2</v>
      </c>
      <c r="S33" s="22">
        <f t="shared" si="19"/>
        <v>5</v>
      </c>
      <c r="T33" s="22">
        <f t="shared" si="19"/>
        <v>0</v>
      </c>
      <c r="U33" s="22">
        <f t="shared" si="19"/>
        <v>5</v>
      </c>
    </row>
    <row r="34" spans="1:21">
      <c r="A34" s="76"/>
      <c r="B34" s="56"/>
      <c r="C34" s="571"/>
      <c r="D34" s="195" t="s">
        <v>674</v>
      </c>
      <c r="E34" s="22">
        <f>COUNTIF(参考1男性!$C$5:$P$367,A27)</f>
        <v>6</v>
      </c>
      <c r="F34" s="22">
        <f>COUNTIF(参考2女性!$C$5:$Q$52,A27)</f>
        <v>0</v>
      </c>
      <c r="G34" s="22">
        <f t="shared" si="12"/>
        <v>6</v>
      </c>
      <c r="H34" s="22">
        <f>COUNTIF(参考3パート嘱託!$C$4:$Q$69,B27)</f>
        <v>0</v>
      </c>
      <c r="I34" s="22">
        <f t="shared" si="15"/>
        <v>6</v>
      </c>
      <c r="J34" s="101">
        <v>7</v>
      </c>
      <c r="K34" s="83">
        <f t="shared" si="13"/>
        <v>13</v>
      </c>
      <c r="M34" s="85"/>
      <c r="N34" s="195" t="s">
        <v>103</v>
      </c>
      <c r="O34" s="22">
        <f t="shared" si="18"/>
        <v>8</v>
      </c>
      <c r="P34" s="22">
        <f t="shared" si="19"/>
        <v>0</v>
      </c>
      <c r="Q34" s="22">
        <f t="shared" si="19"/>
        <v>8</v>
      </c>
      <c r="R34" s="22">
        <f t="shared" si="19"/>
        <v>2</v>
      </c>
      <c r="S34" s="22">
        <f t="shared" si="19"/>
        <v>10</v>
      </c>
      <c r="T34" s="22">
        <f t="shared" si="19"/>
        <v>3</v>
      </c>
      <c r="U34" s="22">
        <f t="shared" si="19"/>
        <v>13</v>
      </c>
    </row>
    <row r="35" spans="1:21">
      <c r="A35" s="75">
        <v>67211</v>
      </c>
      <c r="B35" s="46">
        <v>67221</v>
      </c>
      <c r="C35" s="571" t="s">
        <v>627</v>
      </c>
      <c r="D35" s="195" t="str">
        <f>VLOOKUP(A28,正社員!$P$234:$Q$460,2,FALSE)</f>
        <v>本社工場ＢＶ</v>
      </c>
      <c r="E35" s="22">
        <f>COUNTIF(参考1男性!$C$5:$P$367,A28)</f>
        <v>8</v>
      </c>
      <c r="F35" s="22">
        <f>COUNTIF(参考2女性!$C$5:$Q$52,A28)</f>
        <v>6</v>
      </c>
      <c r="G35" s="22">
        <f t="shared" si="12"/>
        <v>14</v>
      </c>
      <c r="H35" s="22">
        <f>COUNTIF(参考3パート嘱託!$C$4:$Q$69,B28)</f>
        <v>2</v>
      </c>
      <c r="I35" s="22">
        <f t="shared" si="15"/>
        <v>16</v>
      </c>
      <c r="J35" s="101">
        <v>15</v>
      </c>
      <c r="K35" s="83">
        <f t="shared" si="13"/>
        <v>31</v>
      </c>
      <c r="L35">
        <v>2</v>
      </c>
      <c r="M35" s="85"/>
      <c r="N35" s="195" t="s">
        <v>98</v>
      </c>
      <c r="O35" s="22">
        <f t="shared" si="18"/>
        <v>3</v>
      </c>
      <c r="P35" s="22">
        <f t="shared" si="19"/>
        <v>0</v>
      </c>
      <c r="Q35" s="22">
        <f t="shared" si="19"/>
        <v>3</v>
      </c>
      <c r="R35" s="22">
        <f t="shared" si="19"/>
        <v>1</v>
      </c>
      <c r="S35" s="22">
        <f t="shared" si="19"/>
        <v>4</v>
      </c>
      <c r="T35" s="22">
        <f t="shared" si="19"/>
        <v>0</v>
      </c>
      <c r="U35" s="22">
        <f t="shared" si="19"/>
        <v>4</v>
      </c>
    </row>
    <row r="36" spans="1:21">
      <c r="A36" s="75">
        <v>68011</v>
      </c>
      <c r="B36" s="46">
        <v>68021</v>
      </c>
      <c r="C36" s="571"/>
      <c r="D36" s="195" t="str">
        <f>VLOOKUP(A29,正社員!$P$234:$Q$460,2,FALSE)</f>
        <v>本社工場ＳＰ</v>
      </c>
      <c r="E36" s="22">
        <f>COUNTIF(参考1男性!$C$5:$P$367,A29)</f>
        <v>3</v>
      </c>
      <c r="F36" s="22">
        <f>COUNTIF(参考2女性!$C$5:$Q$52,A29)</f>
        <v>0</v>
      </c>
      <c r="G36" s="22">
        <f t="shared" si="12"/>
        <v>3</v>
      </c>
      <c r="H36" s="22">
        <f>COUNTIF(参考3パート嘱託!$C$4:$Q$69,B29)</f>
        <v>2</v>
      </c>
      <c r="I36" s="22">
        <f t="shared" si="15"/>
        <v>5</v>
      </c>
      <c r="J36" s="101">
        <v>0</v>
      </c>
      <c r="K36" s="83">
        <f t="shared" si="13"/>
        <v>5</v>
      </c>
      <c r="M36" s="84"/>
      <c r="N36" s="195" t="s">
        <v>87</v>
      </c>
      <c r="O36" s="22">
        <f t="shared" si="18"/>
        <v>6</v>
      </c>
      <c r="P36" s="22">
        <f t="shared" si="19"/>
        <v>1</v>
      </c>
      <c r="Q36" s="22">
        <f t="shared" si="19"/>
        <v>7</v>
      </c>
      <c r="R36" s="22">
        <f t="shared" si="19"/>
        <v>0</v>
      </c>
      <c r="S36" s="22">
        <f t="shared" si="19"/>
        <v>7</v>
      </c>
      <c r="T36" s="22">
        <f t="shared" si="19"/>
        <v>0</v>
      </c>
      <c r="U36" s="22">
        <f t="shared" si="19"/>
        <v>7</v>
      </c>
    </row>
    <row r="37" spans="1:21">
      <c r="A37" s="75">
        <v>69211</v>
      </c>
      <c r="B37" s="46">
        <v>69221</v>
      </c>
      <c r="C37" s="571"/>
      <c r="D37" s="195" t="str">
        <f>VLOOKUP(A30,正社員!$P$39:$Q$195,2,FALSE)</f>
        <v>本社工場構内物流</v>
      </c>
      <c r="E37" s="22">
        <f>COUNTIF(参考1男性!$C$5:$P$367,A30)</f>
        <v>8</v>
      </c>
      <c r="F37" s="22">
        <f>COUNTIF(参考2女性!$C$5:$Q$52,A30)</f>
        <v>0</v>
      </c>
      <c r="G37" s="22">
        <f t="shared" si="12"/>
        <v>8</v>
      </c>
      <c r="H37" s="22">
        <f>COUNTIF(参考3パート嘱託!$C$4:$Q$69,B30)</f>
        <v>2</v>
      </c>
      <c r="I37" s="22">
        <f t="shared" si="15"/>
        <v>10</v>
      </c>
      <c r="J37" s="101">
        <v>3</v>
      </c>
      <c r="K37" s="83">
        <f t="shared" si="13"/>
        <v>13</v>
      </c>
      <c r="M37" s="584" t="s">
        <v>619</v>
      </c>
      <c r="N37" s="585"/>
      <c r="O37" s="78">
        <f t="shared" si="18"/>
        <v>93</v>
      </c>
      <c r="P37" s="78">
        <f t="shared" ref="P37:U37" si="20">F40</f>
        <v>10</v>
      </c>
      <c r="Q37" s="78">
        <f t="shared" si="20"/>
        <v>103</v>
      </c>
      <c r="R37" s="78">
        <f t="shared" si="20"/>
        <v>18</v>
      </c>
      <c r="S37" s="78">
        <f t="shared" si="20"/>
        <v>121</v>
      </c>
      <c r="T37" s="78">
        <f t="shared" si="20"/>
        <v>104</v>
      </c>
      <c r="U37" s="78">
        <f t="shared" si="20"/>
        <v>225</v>
      </c>
    </row>
    <row r="38" spans="1:21">
      <c r="A38" s="75">
        <v>69111</v>
      </c>
      <c r="B38" s="46">
        <v>69121</v>
      </c>
      <c r="C38" s="571"/>
      <c r="D38" s="195" t="str">
        <f>VLOOKUP(A32,正社員!$P$39:$Q$195,2,FALSE)</f>
        <v>本社工場改善</v>
      </c>
      <c r="E38" s="22">
        <f>COUNTIF(参考1男性!$C$5:$P$367,A32)</f>
        <v>3</v>
      </c>
      <c r="F38" s="22">
        <f>COUNTIF(参考2女性!$C$5:$Q$52,A32)</f>
        <v>0</v>
      </c>
      <c r="G38" s="22">
        <f t="shared" si="12"/>
        <v>3</v>
      </c>
      <c r="H38" s="22">
        <f>COUNTIF(参考3パート嘱託!$C$4:$Q$69,B32)</f>
        <v>1</v>
      </c>
      <c r="I38" s="22">
        <f t="shared" si="15"/>
        <v>4</v>
      </c>
      <c r="J38" s="101">
        <v>0</v>
      </c>
      <c r="K38" s="83">
        <f t="shared" si="13"/>
        <v>4</v>
      </c>
      <c r="M38" s="586" t="s">
        <v>625</v>
      </c>
      <c r="N38" s="195" t="s">
        <v>476</v>
      </c>
      <c r="O38" s="22">
        <f t="shared" si="18"/>
        <v>6</v>
      </c>
      <c r="P38" s="22">
        <f t="shared" ref="P38:U45" si="21">F41</f>
        <v>0</v>
      </c>
      <c r="Q38" s="22">
        <f t="shared" si="21"/>
        <v>6</v>
      </c>
      <c r="R38" s="22">
        <f t="shared" si="21"/>
        <v>2</v>
      </c>
      <c r="S38" s="22">
        <f t="shared" si="21"/>
        <v>8</v>
      </c>
      <c r="T38" s="22">
        <f t="shared" si="21"/>
        <v>3</v>
      </c>
      <c r="U38" s="22">
        <f t="shared" si="21"/>
        <v>11</v>
      </c>
    </row>
    <row r="39" spans="1:21">
      <c r="A39" s="75">
        <v>64011</v>
      </c>
      <c r="B39" s="46">
        <v>64021</v>
      </c>
      <c r="C39" s="84"/>
      <c r="D39" s="195" t="str">
        <f>VLOOKUP(A33,正社員!$P$39:$Q$195,2,FALSE)</f>
        <v>本社工場工場管理課</v>
      </c>
      <c r="E39" s="22">
        <f>COUNTIF(参考1男性!$C$5:$P$367,A33)</f>
        <v>6</v>
      </c>
      <c r="F39" s="22">
        <f>COUNTIF(参考2女性!$C$5:$Q$52,A33)</f>
        <v>1</v>
      </c>
      <c r="G39" s="22">
        <f t="shared" si="12"/>
        <v>7</v>
      </c>
      <c r="H39" s="22">
        <f>COUNTIF(参考3パート嘱託!$C$4:$Q$69,B33)</f>
        <v>0</v>
      </c>
      <c r="I39" s="22">
        <f t="shared" si="15"/>
        <v>7</v>
      </c>
      <c r="J39" s="101">
        <v>0</v>
      </c>
      <c r="K39" s="83">
        <f t="shared" si="13"/>
        <v>7</v>
      </c>
      <c r="M39" s="575"/>
      <c r="N39" s="195" t="s">
        <v>483</v>
      </c>
      <c r="O39" s="22">
        <f t="shared" ref="O39:O45" si="22">E42</f>
        <v>2</v>
      </c>
      <c r="P39" s="22">
        <f t="shared" si="21"/>
        <v>0</v>
      </c>
      <c r="Q39" s="22">
        <f t="shared" si="21"/>
        <v>2</v>
      </c>
      <c r="R39" s="22">
        <f t="shared" si="21"/>
        <v>1</v>
      </c>
      <c r="S39" s="22">
        <f t="shared" si="21"/>
        <v>3</v>
      </c>
      <c r="T39" s="22">
        <f t="shared" si="21"/>
        <v>9</v>
      </c>
      <c r="U39" s="22">
        <f t="shared" si="21"/>
        <v>12</v>
      </c>
    </row>
    <row r="40" spans="1:21">
      <c r="A40" s="75">
        <v>64111</v>
      </c>
      <c r="B40" s="46">
        <v>64121</v>
      </c>
      <c r="C40" s="584" t="s">
        <v>619</v>
      </c>
      <c r="D40" s="585"/>
      <c r="E40" s="78">
        <f t="shared" ref="E40:K40" si="23">SUM(E41:E57)</f>
        <v>93</v>
      </c>
      <c r="F40" s="78">
        <f t="shared" si="23"/>
        <v>10</v>
      </c>
      <c r="G40" s="78">
        <f t="shared" si="23"/>
        <v>103</v>
      </c>
      <c r="H40" s="78">
        <f t="shared" si="23"/>
        <v>18</v>
      </c>
      <c r="I40" s="78">
        <f t="shared" si="23"/>
        <v>121</v>
      </c>
      <c r="J40" s="78">
        <f t="shared" si="23"/>
        <v>104</v>
      </c>
      <c r="K40" s="87">
        <f t="shared" si="23"/>
        <v>225</v>
      </c>
      <c r="M40" s="575"/>
      <c r="N40" s="195" t="s">
        <v>508</v>
      </c>
      <c r="O40" s="22">
        <f t="shared" si="22"/>
        <v>2</v>
      </c>
      <c r="P40" s="22">
        <f t="shared" si="21"/>
        <v>0</v>
      </c>
      <c r="Q40" s="22">
        <f t="shared" si="21"/>
        <v>2</v>
      </c>
      <c r="R40" s="22">
        <f t="shared" si="21"/>
        <v>1</v>
      </c>
      <c r="S40" s="22">
        <f t="shared" si="21"/>
        <v>3</v>
      </c>
      <c r="T40" s="22">
        <f t="shared" si="21"/>
        <v>0</v>
      </c>
      <c r="U40" s="22">
        <f t="shared" si="21"/>
        <v>3</v>
      </c>
    </row>
    <row r="41" spans="1:21">
      <c r="A41" s="75">
        <v>64211</v>
      </c>
      <c r="B41" s="46">
        <v>64221</v>
      </c>
      <c r="C41" s="586" t="s">
        <v>625</v>
      </c>
      <c r="D41" s="195" t="str">
        <f>VLOOKUP(A35,正社員!$P$234:$Q$460,2,FALSE)</f>
        <v>羽生工場ＮＣ</v>
      </c>
      <c r="E41" s="22">
        <f>COUNTIF(参考1男性!$C$5:$P$367,A35)</f>
        <v>6</v>
      </c>
      <c r="F41" s="22">
        <f>COUNTIF(参考2女性!$C$5:$Q$52,A35)</f>
        <v>0</v>
      </c>
      <c r="G41" s="22">
        <f t="shared" ref="G41:G57" si="24">E41+F41</f>
        <v>6</v>
      </c>
      <c r="H41" s="22">
        <f>COUNTIF(参考3パート嘱託!$C$4:$Q$69,B35)</f>
        <v>2</v>
      </c>
      <c r="I41" s="22">
        <f>SUM(G41:H41)</f>
        <v>8</v>
      </c>
      <c r="J41" s="22">
        <v>3</v>
      </c>
      <c r="K41" s="83">
        <f t="shared" ref="K41:K57" si="25">G41+H41+J41</f>
        <v>11</v>
      </c>
      <c r="M41" s="576"/>
      <c r="N41" s="195" t="s">
        <v>506</v>
      </c>
      <c r="O41" s="22">
        <f t="shared" si="22"/>
        <v>1</v>
      </c>
      <c r="P41" s="22">
        <f t="shared" si="21"/>
        <v>0</v>
      </c>
      <c r="Q41" s="22">
        <f t="shared" si="21"/>
        <v>1</v>
      </c>
      <c r="R41" s="22">
        <f t="shared" si="21"/>
        <v>0</v>
      </c>
      <c r="S41" s="22">
        <f t="shared" si="21"/>
        <v>1</v>
      </c>
      <c r="T41" s="22">
        <f t="shared" si="21"/>
        <v>1</v>
      </c>
      <c r="U41" s="22">
        <f t="shared" si="21"/>
        <v>2</v>
      </c>
    </row>
    <row r="42" spans="1:21">
      <c r="A42" s="75">
        <v>67011</v>
      </c>
      <c r="B42" s="46">
        <v>67021</v>
      </c>
      <c r="C42" s="575"/>
      <c r="D42" s="195" t="str">
        <f>VLOOKUP(A36,正社員!$P$234:$Q$460,2,FALSE)</f>
        <v>羽生工場ＣＢ</v>
      </c>
      <c r="E42" s="22">
        <f>COUNTIF(参考1男性!$C$5:$P$367,A36)</f>
        <v>2</v>
      </c>
      <c r="F42" s="22">
        <f>COUNTIF(参考2女性!$C$5:$Q$52,A36)</f>
        <v>0</v>
      </c>
      <c r="G42" s="22">
        <f t="shared" si="24"/>
        <v>2</v>
      </c>
      <c r="H42" s="22">
        <f>COUNTIF(参考3パート嘱託!$C$4:$Q$69,B36)</f>
        <v>1</v>
      </c>
      <c r="I42" s="22">
        <f t="shared" ref="I42:I57" si="26">SUM(G42:H42)</f>
        <v>3</v>
      </c>
      <c r="J42" s="22">
        <v>9</v>
      </c>
      <c r="K42" s="83">
        <f t="shared" si="25"/>
        <v>12</v>
      </c>
      <c r="M42"/>
      <c r="N42" s="195" t="s">
        <v>416</v>
      </c>
      <c r="O42" s="22">
        <f t="shared" si="22"/>
        <v>6</v>
      </c>
      <c r="P42" s="22">
        <f t="shared" si="21"/>
        <v>0</v>
      </c>
      <c r="Q42" s="22">
        <f t="shared" si="21"/>
        <v>6</v>
      </c>
      <c r="R42" s="22">
        <f t="shared" si="21"/>
        <v>2</v>
      </c>
      <c r="S42" s="22">
        <f t="shared" si="21"/>
        <v>8</v>
      </c>
      <c r="T42" s="22">
        <f t="shared" si="21"/>
        <v>0</v>
      </c>
      <c r="U42" s="22">
        <f t="shared" si="21"/>
        <v>8</v>
      </c>
    </row>
    <row r="43" spans="1:21">
      <c r="A43" s="75">
        <v>68111</v>
      </c>
      <c r="B43" s="46">
        <v>68121</v>
      </c>
      <c r="C43" s="575"/>
      <c r="D43" s="195" t="str">
        <f>VLOOKUP(A37,正社員!$P$234:$Q$460,2,FALSE)</f>
        <v>羽生工場ＢＰＶ</v>
      </c>
      <c r="E43" s="22">
        <f>COUNTIF(参考1男性!$C$5:$P$367,A37)</f>
        <v>2</v>
      </c>
      <c r="F43" s="22">
        <f>COUNTIF(参考2女性!$C$5:$Q$52,A37)</f>
        <v>0</v>
      </c>
      <c r="G43" s="108">
        <f t="shared" si="24"/>
        <v>2</v>
      </c>
      <c r="H43" s="22">
        <f>COUNTIF(参考3パート嘱託!$C$4:$Q$69,B37)</f>
        <v>1</v>
      </c>
      <c r="I43" s="22">
        <f t="shared" si="26"/>
        <v>3</v>
      </c>
      <c r="J43" s="22"/>
      <c r="K43" s="83">
        <f t="shared" si="25"/>
        <v>3</v>
      </c>
      <c r="M43"/>
      <c r="N43" s="195" t="s">
        <v>422</v>
      </c>
      <c r="O43" s="22">
        <f t="shared" si="22"/>
        <v>2</v>
      </c>
      <c r="P43" s="22">
        <f t="shared" si="21"/>
        <v>1</v>
      </c>
      <c r="Q43" s="22">
        <f t="shared" si="21"/>
        <v>3</v>
      </c>
      <c r="R43" s="22">
        <f t="shared" si="21"/>
        <v>0</v>
      </c>
      <c r="S43" s="22">
        <f t="shared" si="21"/>
        <v>3</v>
      </c>
      <c r="T43" s="22">
        <f t="shared" si="21"/>
        <v>0</v>
      </c>
      <c r="U43" s="22">
        <f t="shared" si="21"/>
        <v>3</v>
      </c>
    </row>
    <row r="44" spans="1:21">
      <c r="A44" s="75">
        <v>64311</v>
      </c>
      <c r="B44" s="46">
        <v>64321</v>
      </c>
      <c r="C44" s="576"/>
      <c r="D44" s="195" t="str">
        <f>VLOOKUP(A38,正社員!$P$234:$Q$460,2,FALSE)</f>
        <v>羽生工場ＥＧＲ</v>
      </c>
      <c r="E44" s="22">
        <f>COUNTIF(参考1男性!$C$5:$P$367,A38)</f>
        <v>1</v>
      </c>
      <c r="F44" s="22">
        <f>COUNTIF(参考2女性!$C$5:$Q$52,A38)</f>
        <v>0</v>
      </c>
      <c r="G44" s="108">
        <f t="shared" si="24"/>
        <v>1</v>
      </c>
      <c r="H44" s="22">
        <f>COUNTIF(参考3パート嘱託!$C$4:$Q$69,B38)</f>
        <v>0</v>
      </c>
      <c r="I44" s="22">
        <f t="shared" si="26"/>
        <v>1</v>
      </c>
      <c r="J44" s="22">
        <v>1</v>
      </c>
      <c r="K44" s="83">
        <f t="shared" si="25"/>
        <v>2</v>
      </c>
      <c r="M44"/>
      <c r="N44" s="195" t="s">
        <v>657</v>
      </c>
      <c r="O44" s="22">
        <f t="shared" si="22"/>
        <v>0</v>
      </c>
      <c r="P44" s="22">
        <f t="shared" si="21"/>
        <v>0</v>
      </c>
      <c r="Q44" s="22">
        <f t="shared" si="21"/>
        <v>0</v>
      </c>
      <c r="R44" s="22">
        <f t="shared" si="21"/>
        <v>0</v>
      </c>
      <c r="S44" s="22">
        <f t="shared" si="21"/>
        <v>0</v>
      </c>
      <c r="T44" s="22">
        <f t="shared" si="21"/>
        <v>4</v>
      </c>
      <c r="U44" s="22">
        <f t="shared" si="21"/>
        <v>4</v>
      </c>
    </row>
    <row r="45" spans="1:21">
      <c r="A45" s="75">
        <v>69011</v>
      </c>
      <c r="B45" s="46">
        <v>69021</v>
      </c>
      <c r="C45" s="571" t="s">
        <v>626</v>
      </c>
      <c r="D45" s="195" t="str">
        <f>VLOOKUP(A39,正社員!$P$234:$Q$460,2,FALSE)</f>
        <v>羽生工場ＢＣ</v>
      </c>
      <c r="E45" s="22">
        <f>COUNTIF(参考1男性!$C$5:$P$367,A39)</f>
        <v>6</v>
      </c>
      <c r="F45" s="22">
        <f>COUNTIF(参考2女性!$C$5:$Q$52,A39)</f>
        <v>0</v>
      </c>
      <c r="G45" s="22">
        <f t="shared" si="24"/>
        <v>6</v>
      </c>
      <c r="H45" s="22">
        <f>COUNTIF(参考3パート嘱託!$C$4:$Q$69,B39)</f>
        <v>2</v>
      </c>
      <c r="I45" s="22">
        <f t="shared" si="26"/>
        <v>8</v>
      </c>
      <c r="J45" s="22"/>
      <c r="K45" s="83">
        <f t="shared" si="25"/>
        <v>8</v>
      </c>
      <c r="L45" s="199" t="s">
        <v>659</v>
      </c>
      <c r="M45"/>
      <c r="N45" s="195" t="s">
        <v>429</v>
      </c>
      <c r="O45" s="22">
        <f t="shared" si="22"/>
        <v>1</v>
      </c>
      <c r="P45" s="22">
        <f t="shared" si="21"/>
        <v>0</v>
      </c>
      <c r="Q45" s="22">
        <f t="shared" si="21"/>
        <v>1</v>
      </c>
      <c r="R45" s="22">
        <f t="shared" si="21"/>
        <v>0</v>
      </c>
      <c r="S45" s="22">
        <f t="shared" si="21"/>
        <v>1</v>
      </c>
      <c r="T45" s="22">
        <f t="shared" si="21"/>
        <v>0</v>
      </c>
      <c r="U45" s="22">
        <f t="shared" si="21"/>
        <v>1</v>
      </c>
    </row>
    <row r="46" spans="1:21">
      <c r="A46" s="75">
        <v>60300</v>
      </c>
      <c r="B46" s="46">
        <v>60320</v>
      </c>
      <c r="C46" s="571"/>
      <c r="D46" s="195" t="str">
        <f>VLOOKUP(A40,正社員!$P$234:$Q$460,2,FALSE)</f>
        <v>羽生工場ＢＢ</v>
      </c>
      <c r="E46" s="22">
        <f>COUNTIF(参考1男性!$C$5:$P$367,A40)</f>
        <v>2</v>
      </c>
      <c r="F46" s="22">
        <f>COUNTIF(参考2女性!$C$5:$Q$52,A40)</f>
        <v>1</v>
      </c>
      <c r="G46" s="22">
        <f t="shared" si="24"/>
        <v>3</v>
      </c>
      <c r="H46" s="22">
        <f>COUNTIF(参考3パート嘱託!$C$4:$Q$69,B40)</f>
        <v>0</v>
      </c>
      <c r="I46" s="22">
        <f t="shared" si="26"/>
        <v>3</v>
      </c>
      <c r="J46" s="22"/>
      <c r="K46" s="83">
        <f t="shared" si="25"/>
        <v>3</v>
      </c>
      <c r="L46" s="199"/>
      <c r="M46" s="200"/>
      <c r="O46" s="22">
        <v>9</v>
      </c>
      <c r="P46" s="22">
        <v>0</v>
      </c>
      <c r="Q46" s="22">
        <v>9</v>
      </c>
      <c r="R46" s="22">
        <v>1</v>
      </c>
      <c r="S46" s="22">
        <v>10</v>
      </c>
      <c r="T46" s="22">
        <v>2</v>
      </c>
      <c r="U46" s="83">
        <v>12</v>
      </c>
    </row>
    <row r="47" spans="1:21">
      <c r="A47" s="75"/>
      <c r="C47" s="571"/>
      <c r="D47" s="195" t="s">
        <v>657</v>
      </c>
      <c r="E47" s="22"/>
      <c r="F47" s="22"/>
      <c r="G47" s="22"/>
      <c r="H47" s="22"/>
      <c r="I47" s="22"/>
      <c r="J47" s="22">
        <v>4</v>
      </c>
      <c r="K47" s="83">
        <f t="shared" si="25"/>
        <v>4</v>
      </c>
      <c r="M47" s="200"/>
      <c r="O47" s="22">
        <v>4</v>
      </c>
      <c r="P47" s="22">
        <v>1</v>
      </c>
      <c r="Q47" s="22">
        <v>5</v>
      </c>
      <c r="R47" s="22">
        <v>0</v>
      </c>
      <c r="S47" s="22">
        <v>5</v>
      </c>
      <c r="T47" s="22">
        <v>0</v>
      </c>
      <c r="U47" s="83">
        <v>5</v>
      </c>
    </row>
    <row r="48" spans="1:21">
      <c r="A48" s="75">
        <v>60411</v>
      </c>
      <c r="B48" s="46">
        <v>60421</v>
      </c>
      <c r="C48" s="571"/>
      <c r="D48" s="195" t="str">
        <f>VLOOKUP(A41,正社員!$P$234:$Q$460,2,FALSE)</f>
        <v>羽生工場ＡＳ</v>
      </c>
      <c r="E48" s="22">
        <f>COUNTIF(参考1男性!$C$5:$P$367,A41)</f>
        <v>1</v>
      </c>
      <c r="F48" s="22">
        <f>COUNTIF(参考2女性!$C$5:$Q$52,A41)</f>
        <v>0</v>
      </c>
      <c r="G48" s="22">
        <f t="shared" si="24"/>
        <v>1</v>
      </c>
      <c r="H48" s="22">
        <f>COUNTIF(参考3パート嘱託!$C$4:$Q$69,B41)</f>
        <v>0</v>
      </c>
      <c r="I48" s="22">
        <f t="shared" si="26"/>
        <v>1</v>
      </c>
      <c r="J48" s="22"/>
      <c r="K48" s="83">
        <f t="shared" si="25"/>
        <v>1</v>
      </c>
      <c r="M48"/>
      <c r="N48" s="195" t="s">
        <v>431</v>
      </c>
      <c r="O48" s="22">
        <f>E51</f>
        <v>1</v>
      </c>
      <c r="P48" s="22">
        <f t="shared" ref="P48:U48" si="27">F51</f>
        <v>1</v>
      </c>
      <c r="Q48" s="22">
        <f t="shared" si="27"/>
        <v>2</v>
      </c>
      <c r="R48" s="22">
        <f t="shared" si="27"/>
        <v>0</v>
      </c>
      <c r="S48" s="22">
        <f t="shared" si="27"/>
        <v>2</v>
      </c>
      <c r="T48" s="22">
        <f t="shared" si="27"/>
        <v>4</v>
      </c>
      <c r="U48" s="22">
        <f t="shared" si="27"/>
        <v>6</v>
      </c>
    </row>
    <row r="49" spans="1:21">
      <c r="A49" s="75">
        <v>65011</v>
      </c>
      <c r="B49" s="46">
        <v>65021</v>
      </c>
      <c r="C49" s="571"/>
      <c r="D49" s="195" t="str">
        <f>VLOOKUP(A42,正社員!$P$234:$Q$460,2,FALSE)</f>
        <v>羽生工場プレス</v>
      </c>
      <c r="E49" s="22">
        <f>COUNTIF(参考1男性!$C$5:$P$367,A42)</f>
        <v>10</v>
      </c>
      <c r="F49" s="22">
        <f>COUNTIF(参考2女性!$C$5:$Q$52,A42)</f>
        <v>0</v>
      </c>
      <c r="G49" s="22">
        <f t="shared" si="24"/>
        <v>10</v>
      </c>
      <c r="H49" s="22">
        <f>COUNTIF(参考3パート嘱託!$C$4:$Q$69,B42)</f>
        <v>1</v>
      </c>
      <c r="I49" s="22">
        <f t="shared" si="26"/>
        <v>11</v>
      </c>
      <c r="J49" s="22">
        <v>1</v>
      </c>
      <c r="K49" s="83">
        <f t="shared" si="25"/>
        <v>12</v>
      </c>
      <c r="M49" s="571" t="s">
        <v>627</v>
      </c>
      <c r="N49" s="195" t="s">
        <v>489</v>
      </c>
      <c r="O49" s="22">
        <f t="shared" ref="O49:O54" si="28">E52</f>
        <v>21</v>
      </c>
      <c r="P49" s="22">
        <f t="shared" ref="P49:P67" si="29">F52</f>
        <v>1</v>
      </c>
      <c r="Q49" s="22">
        <f t="shared" ref="Q49:Q67" si="30">G52</f>
        <v>22</v>
      </c>
      <c r="R49" s="22">
        <f t="shared" ref="R49:R67" si="31">H52</f>
        <v>2</v>
      </c>
      <c r="S49" s="22">
        <f t="shared" ref="S49:S67" si="32">I52</f>
        <v>24</v>
      </c>
      <c r="T49" s="22">
        <f t="shared" ref="T49:T67" si="33">J52</f>
        <v>23</v>
      </c>
      <c r="U49" s="22">
        <f t="shared" ref="U49:U67" si="34">K52</f>
        <v>47</v>
      </c>
    </row>
    <row r="50" spans="1:21">
      <c r="A50" s="75">
        <v>66011</v>
      </c>
      <c r="B50" s="46">
        <v>66021</v>
      </c>
      <c r="C50" s="571"/>
      <c r="D50" s="195" t="str">
        <f>VLOOKUP(A43,正社員!$P$234:$Q$460,2,FALSE)</f>
        <v>羽生工場ＰＳＨ</v>
      </c>
      <c r="E50" s="22">
        <f>COUNTIF(参考1男性!$C$5:$P$367,A43)</f>
        <v>3</v>
      </c>
      <c r="F50" s="22">
        <f>COUNTIF(参考2女性!$C$5:$Q$52,A43)</f>
        <v>1</v>
      </c>
      <c r="G50" s="22">
        <f t="shared" si="24"/>
        <v>4</v>
      </c>
      <c r="H50" s="22">
        <f>COUNTIF(参考3パート嘱託!$C$4:$Q$69,B43)</f>
        <v>0</v>
      </c>
      <c r="I50" s="22">
        <f t="shared" si="26"/>
        <v>4</v>
      </c>
      <c r="J50" s="22"/>
      <c r="K50" s="83">
        <f t="shared" si="25"/>
        <v>4</v>
      </c>
      <c r="M50" s="571"/>
      <c r="N50" s="195" t="s">
        <v>138</v>
      </c>
      <c r="O50" s="22">
        <f t="shared" si="28"/>
        <v>8</v>
      </c>
      <c r="P50" s="22">
        <f t="shared" si="29"/>
        <v>0</v>
      </c>
      <c r="Q50" s="22">
        <f t="shared" si="30"/>
        <v>8</v>
      </c>
      <c r="R50" s="22">
        <f t="shared" si="31"/>
        <v>1</v>
      </c>
      <c r="S50" s="22">
        <f t="shared" si="32"/>
        <v>9</v>
      </c>
      <c r="T50" s="22">
        <f t="shared" si="33"/>
        <v>8</v>
      </c>
      <c r="U50" s="22">
        <f t="shared" si="34"/>
        <v>17</v>
      </c>
    </row>
    <row r="51" spans="1:21">
      <c r="A51" s="75">
        <v>61300</v>
      </c>
      <c r="B51" s="46">
        <v>61320</v>
      </c>
      <c r="C51" s="571"/>
      <c r="D51" s="195" t="str">
        <f>VLOOKUP(A44,正社員!$P$234:$Q$460,2,FALSE)</f>
        <v>羽生工場ＭＳＵ</v>
      </c>
      <c r="E51" s="22">
        <f>COUNTIF(参考1男性!$C$5:$P$367,A44)</f>
        <v>1</v>
      </c>
      <c r="F51" s="22">
        <f>COUNTIF(参考2女性!$C$5:$Q$52,A44)</f>
        <v>1</v>
      </c>
      <c r="G51" s="22">
        <f t="shared" si="24"/>
        <v>2</v>
      </c>
      <c r="H51" s="22">
        <f>COUNTIF(参考3パート嘱託!$C$4:$Q$69,B44)</f>
        <v>0</v>
      </c>
      <c r="I51" s="22">
        <f t="shared" si="26"/>
        <v>2</v>
      </c>
      <c r="J51" s="22">
        <v>4</v>
      </c>
      <c r="K51" s="83">
        <f t="shared" si="25"/>
        <v>6</v>
      </c>
      <c r="M51" s="571"/>
      <c r="N51" s="195" t="s">
        <v>411</v>
      </c>
      <c r="O51" s="22">
        <f t="shared" si="28"/>
        <v>2</v>
      </c>
      <c r="P51" s="22">
        <f t="shared" si="29"/>
        <v>1</v>
      </c>
      <c r="Q51" s="22">
        <f t="shared" si="30"/>
        <v>3</v>
      </c>
      <c r="R51" s="22">
        <f t="shared" si="31"/>
        <v>2</v>
      </c>
      <c r="S51" s="22">
        <f t="shared" si="32"/>
        <v>5</v>
      </c>
      <c r="T51" s="22">
        <f t="shared" si="33"/>
        <v>2</v>
      </c>
      <c r="U51" s="22">
        <f t="shared" si="34"/>
        <v>7</v>
      </c>
    </row>
    <row r="52" spans="1:21">
      <c r="A52" s="76"/>
      <c r="B52" s="56"/>
      <c r="C52" s="571" t="s">
        <v>627</v>
      </c>
      <c r="D52" s="195" t="str">
        <f>VLOOKUP(A45,正社員!$P$234:$Q$460,2,FALSE)</f>
        <v>羽生工場ＴＣ</v>
      </c>
      <c r="E52" s="22">
        <f>COUNTIF(参考1男性!$C$5:$P$367,A45)</f>
        <v>21</v>
      </c>
      <c r="F52" s="22">
        <f>COUNTIF(参考2女性!$C$5:$Q$52,A45)</f>
        <v>1</v>
      </c>
      <c r="G52" s="22">
        <f t="shared" si="24"/>
        <v>22</v>
      </c>
      <c r="H52" s="22">
        <f>COUNTIF(参考3パート嘱託!$C$4:$Q$69,B45)</f>
        <v>2</v>
      </c>
      <c r="I52" s="22">
        <f t="shared" si="26"/>
        <v>24</v>
      </c>
      <c r="J52" s="22">
        <v>23</v>
      </c>
      <c r="K52" s="83">
        <f t="shared" si="25"/>
        <v>47</v>
      </c>
      <c r="M52" s="571" t="s">
        <v>628</v>
      </c>
      <c r="N52" s="195" t="s">
        <v>433</v>
      </c>
      <c r="O52" s="22">
        <f t="shared" si="28"/>
        <v>11</v>
      </c>
      <c r="P52" s="22">
        <f t="shared" si="29"/>
        <v>1</v>
      </c>
      <c r="Q52" s="22">
        <f t="shared" si="30"/>
        <v>12</v>
      </c>
      <c r="R52" s="22">
        <f t="shared" si="31"/>
        <v>3</v>
      </c>
      <c r="S52" s="22">
        <f t="shared" si="32"/>
        <v>15</v>
      </c>
      <c r="T52" s="22">
        <f t="shared" si="33"/>
        <v>40</v>
      </c>
      <c r="U52" s="22">
        <f t="shared" si="34"/>
        <v>55</v>
      </c>
    </row>
    <row r="53" spans="1:21">
      <c r="A53" s="75">
        <v>44011</v>
      </c>
      <c r="B53" s="46">
        <v>44021</v>
      </c>
      <c r="C53" s="571"/>
      <c r="D53" s="195" t="str">
        <f>VLOOKUP(A46,正社員!$P$39:$Q$195,2,FALSE)</f>
        <v>羽生工場構内物流</v>
      </c>
      <c r="E53" s="22">
        <f>COUNTIF(参考1男性!$C$5:$P$367,A46)</f>
        <v>8</v>
      </c>
      <c r="F53" s="22">
        <f>COUNTIF(参考2女性!$C$5:$Q$52,A46)</f>
        <v>0</v>
      </c>
      <c r="G53" s="22">
        <f t="shared" si="24"/>
        <v>8</v>
      </c>
      <c r="H53" s="22">
        <f>COUNTIF(参考3パート嘱託!$C$4:$Q$69,B46)</f>
        <v>1</v>
      </c>
      <c r="I53" s="22">
        <f t="shared" si="26"/>
        <v>9</v>
      </c>
      <c r="J53" s="22">
        <v>8</v>
      </c>
      <c r="K53" s="83">
        <f t="shared" si="25"/>
        <v>17</v>
      </c>
      <c r="M53" s="571"/>
      <c r="N53" s="195" t="s">
        <v>449</v>
      </c>
      <c r="O53" s="22">
        <f t="shared" si="28"/>
        <v>10</v>
      </c>
      <c r="P53" s="22">
        <f t="shared" si="29"/>
        <v>3</v>
      </c>
      <c r="Q53" s="22">
        <f t="shared" si="30"/>
        <v>13</v>
      </c>
      <c r="R53" s="22">
        <f t="shared" si="31"/>
        <v>2</v>
      </c>
      <c r="S53" s="22">
        <f t="shared" si="32"/>
        <v>15</v>
      </c>
      <c r="T53" s="22">
        <f t="shared" si="33"/>
        <v>9</v>
      </c>
      <c r="U53" s="22">
        <f t="shared" si="34"/>
        <v>24</v>
      </c>
    </row>
    <row r="54" spans="1:21">
      <c r="A54" s="75">
        <v>44111</v>
      </c>
      <c r="B54" s="46">
        <v>44121</v>
      </c>
      <c r="C54" s="571"/>
      <c r="D54" s="195" t="str">
        <f>VLOOKUP(A48,正社員!$P$234:$Q$460,2,FALSE)</f>
        <v>羽生工場構内ＳＰ</v>
      </c>
      <c r="E54" s="22">
        <f>COUNTIF(参考1男性!$C$5:$P$367,A48)</f>
        <v>2</v>
      </c>
      <c r="F54" s="22">
        <f>COUNTIF(参考2女性!$C$5:$Q$52,A48)</f>
        <v>1</v>
      </c>
      <c r="G54" s="22">
        <f t="shared" si="24"/>
        <v>3</v>
      </c>
      <c r="H54" s="22">
        <f>COUNTIF(参考3パート嘱託!$C$4:$Q$69,B48)</f>
        <v>2</v>
      </c>
      <c r="I54" s="22">
        <f t="shared" si="26"/>
        <v>5</v>
      </c>
      <c r="J54" s="22">
        <v>2</v>
      </c>
      <c r="K54" s="83">
        <f t="shared" si="25"/>
        <v>7</v>
      </c>
      <c r="M54" s="84"/>
      <c r="N54" s="195" t="s">
        <v>162</v>
      </c>
      <c r="O54" s="22">
        <f t="shared" si="28"/>
        <v>7</v>
      </c>
      <c r="P54" s="22">
        <f t="shared" si="29"/>
        <v>1</v>
      </c>
      <c r="Q54" s="22">
        <f t="shared" si="30"/>
        <v>8</v>
      </c>
      <c r="R54" s="22">
        <f t="shared" si="31"/>
        <v>1</v>
      </c>
      <c r="S54" s="22">
        <f t="shared" si="32"/>
        <v>9</v>
      </c>
      <c r="T54" s="22">
        <f t="shared" si="33"/>
        <v>0</v>
      </c>
      <c r="U54" s="22">
        <f t="shared" si="34"/>
        <v>9</v>
      </c>
    </row>
    <row r="55" spans="1:21">
      <c r="A55" s="75">
        <v>44511</v>
      </c>
      <c r="B55" s="46">
        <v>44521</v>
      </c>
      <c r="C55" s="571" t="s">
        <v>628</v>
      </c>
      <c r="D55" s="195" t="str">
        <f>VLOOKUP(A49,正社員!$P$234:$Q$460,2,FALSE)</f>
        <v>羽生工場ＶＰ－１</v>
      </c>
      <c r="E55" s="22">
        <f>COUNTIF(参考1男性!$C$5:$P$367,A49)</f>
        <v>11</v>
      </c>
      <c r="F55" s="22">
        <f>COUNTIF(参考2女性!$C$5:$Q$52,A49)</f>
        <v>1</v>
      </c>
      <c r="G55" s="22">
        <f t="shared" si="24"/>
        <v>12</v>
      </c>
      <c r="H55" s="22">
        <f>COUNTIF(参考3パート嘱託!$C$4:$Q$69,B49)</f>
        <v>3</v>
      </c>
      <c r="I55" s="22">
        <f t="shared" si="26"/>
        <v>15</v>
      </c>
      <c r="J55" s="22">
        <v>40</v>
      </c>
      <c r="K55" s="83">
        <f t="shared" si="25"/>
        <v>55</v>
      </c>
      <c r="M55" s="584" t="s">
        <v>618</v>
      </c>
      <c r="N55" s="585"/>
      <c r="O55" s="78">
        <f t="shared" ref="O55:O67" si="35">E58</f>
        <v>30</v>
      </c>
      <c r="P55" s="78">
        <f t="shared" si="29"/>
        <v>2</v>
      </c>
      <c r="Q55" s="78">
        <f t="shared" si="30"/>
        <v>32</v>
      </c>
      <c r="R55" s="78">
        <f t="shared" si="31"/>
        <v>6</v>
      </c>
      <c r="S55" s="78">
        <f t="shared" si="32"/>
        <v>38</v>
      </c>
      <c r="T55" s="78">
        <f t="shared" si="33"/>
        <v>11</v>
      </c>
      <c r="U55" s="78">
        <f t="shared" si="34"/>
        <v>49</v>
      </c>
    </row>
    <row r="56" spans="1:21">
      <c r="A56" s="75">
        <v>45111</v>
      </c>
      <c r="B56" s="46">
        <v>45121</v>
      </c>
      <c r="C56" s="571"/>
      <c r="D56" s="195" t="str">
        <f>VLOOKUP(A50,正社員!$P$234:$Q$460,2,FALSE)</f>
        <v>羽生工場ＶＰ－２</v>
      </c>
      <c r="E56" s="22">
        <f>COUNTIF(参考1男性!$C$5:$P$367,A50)</f>
        <v>10</v>
      </c>
      <c r="F56" s="22">
        <f>COUNTIF(参考2女性!$C$5:$Q$52,A50)</f>
        <v>3</v>
      </c>
      <c r="G56" s="22">
        <f t="shared" si="24"/>
        <v>13</v>
      </c>
      <c r="H56" s="22">
        <f>COUNTIF(参考3パート嘱託!$C$4:$Q$69,B50)</f>
        <v>2</v>
      </c>
      <c r="I56" s="22">
        <f t="shared" si="26"/>
        <v>15</v>
      </c>
      <c r="J56" s="22">
        <v>9</v>
      </c>
      <c r="K56" s="83">
        <f t="shared" si="25"/>
        <v>24</v>
      </c>
      <c r="M56" s="586" t="s">
        <v>625</v>
      </c>
      <c r="N56" s="195" t="s">
        <v>381</v>
      </c>
      <c r="O56" s="22">
        <f t="shared" si="35"/>
        <v>2</v>
      </c>
      <c r="P56" s="22">
        <f t="shared" si="29"/>
        <v>0</v>
      </c>
      <c r="Q56" s="22">
        <f t="shared" si="30"/>
        <v>2</v>
      </c>
      <c r="R56" s="22">
        <f t="shared" si="31"/>
        <v>0</v>
      </c>
      <c r="S56" s="22">
        <f t="shared" si="32"/>
        <v>2</v>
      </c>
      <c r="T56" s="22">
        <f t="shared" si="33"/>
        <v>1</v>
      </c>
      <c r="U56" s="22">
        <f t="shared" si="34"/>
        <v>3</v>
      </c>
    </row>
    <row r="57" spans="1:21">
      <c r="A57" s="75">
        <v>44200</v>
      </c>
      <c r="B57" s="46">
        <v>44220</v>
      </c>
      <c r="C57" s="84"/>
      <c r="D57" s="195" t="str">
        <f>VLOOKUP(A51,正社員!$P$39:$Q$195,2,FALSE)</f>
        <v>羽生工場工場管理課</v>
      </c>
      <c r="E57" s="22">
        <f>COUNTIF(参考1男性!$C$5:$P$367,A51)</f>
        <v>7</v>
      </c>
      <c r="F57" s="22">
        <f>COUNTIF(参考2女性!$C$5:$Q$52,A51)</f>
        <v>1</v>
      </c>
      <c r="G57" s="22">
        <f t="shared" si="24"/>
        <v>8</v>
      </c>
      <c r="H57" s="22">
        <f>COUNTIF(参考3パート嘱託!$C$4:$Q$69,B51)</f>
        <v>1</v>
      </c>
      <c r="I57" s="22">
        <f t="shared" si="26"/>
        <v>9</v>
      </c>
      <c r="J57" s="22">
        <v>0</v>
      </c>
      <c r="K57" s="83">
        <f t="shared" si="25"/>
        <v>9</v>
      </c>
      <c r="M57" s="575"/>
      <c r="N57" s="195" t="s">
        <v>383</v>
      </c>
      <c r="O57" s="22">
        <f t="shared" si="35"/>
        <v>4</v>
      </c>
      <c r="P57" s="22">
        <f t="shared" si="29"/>
        <v>0</v>
      </c>
      <c r="Q57" s="22">
        <f t="shared" si="30"/>
        <v>4</v>
      </c>
      <c r="R57" s="22">
        <f t="shared" si="31"/>
        <v>1</v>
      </c>
      <c r="S57" s="22">
        <f t="shared" si="32"/>
        <v>5</v>
      </c>
      <c r="T57" s="22">
        <f t="shared" si="33"/>
        <v>0</v>
      </c>
      <c r="U57" s="22">
        <f t="shared" si="34"/>
        <v>5</v>
      </c>
    </row>
    <row r="58" spans="1:21">
      <c r="A58" s="76"/>
      <c r="B58" s="56"/>
      <c r="C58" s="584" t="s">
        <v>618</v>
      </c>
      <c r="D58" s="585"/>
      <c r="E58" s="78">
        <f>SUM(E59:E63)</f>
        <v>30</v>
      </c>
      <c r="F58" s="78">
        <f t="shared" ref="F58:K58" si="36">SUM(F59:F63)</f>
        <v>2</v>
      </c>
      <c r="G58" s="78">
        <f t="shared" si="36"/>
        <v>32</v>
      </c>
      <c r="H58" s="78">
        <f t="shared" si="36"/>
        <v>6</v>
      </c>
      <c r="I58" s="78">
        <f t="shared" si="36"/>
        <v>38</v>
      </c>
      <c r="J58" s="78">
        <f t="shared" si="36"/>
        <v>11</v>
      </c>
      <c r="K58" s="87">
        <f t="shared" si="36"/>
        <v>49</v>
      </c>
      <c r="L58" s="94"/>
      <c r="M58" s="575"/>
      <c r="N58" s="195" t="s">
        <v>389</v>
      </c>
      <c r="O58" s="22">
        <f t="shared" si="35"/>
        <v>4</v>
      </c>
      <c r="P58" s="22">
        <f t="shared" si="29"/>
        <v>0</v>
      </c>
      <c r="Q58" s="22">
        <f t="shared" si="30"/>
        <v>4</v>
      </c>
      <c r="R58" s="22">
        <f t="shared" si="31"/>
        <v>2</v>
      </c>
      <c r="S58" s="22">
        <f t="shared" si="32"/>
        <v>6</v>
      </c>
      <c r="T58" s="22">
        <f t="shared" si="33"/>
        <v>2</v>
      </c>
      <c r="U58" s="22">
        <f t="shared" si="34"/>
        <v>8</v>
      </c>
    </row>
    <row r="59" spans="1:21">
      <c r="A59" s="75">
        <v>20000</v>
      </c>
      <c r="B59" s="46">
        <v>20020</v>
      </c>
      <c r="C59" s="586" t="s">
        <v>625</v>
      </c>
      <c r="D59" s="195" t="str">
        <f>VLOOKUP(A53,正社員!$P$234:$Q$460,2,FALSE)</f>
        <v>川越第二工場１係</v>
      </c>
      <c r="E59" s="22">
        <f>COUNTIF(参考1男性!$C$5:$P$367,A53)</f>
        <v>2</v>
      </c>
      <c r="F59" s="22">
        <f>COUNTIF(参考2女性!$C$5:$Q$52,A53)</f>
        <v>0</v>
      </c>
      <c r="G59" s="22">
        <f>E59+F59</f>
        <v>2</v>
      </c>
      <c r="H59" s="22">
        <f>COUNTIF(参考3パート嘱託!$C$4:$Q$69,B53)</f>
        <v>0</v>
      </c>
      <c r="I59" s="22">
        <f>SUM(G59:H59)</f>
        <v>2</v>
      </c>
      <c r="J59" s="22">
        <v>1</v>
      </c>
      <c r="K59" s="83">
        <f>G59+H59+J59</f>
        <v>3</v>
      </c>
      <c r="M59" s="576"/>
      <c r="N59" s="195" t="s">
        <v>396</v>
      </c>
      <c r="O59" s="22">
        <f t="shared" si="35"/>
        <v>15</v>
      </c>
      <c r="P59" s="22">
        <f t="shared" si="29"/>
        <v>0</v>
      </c>
      <c r="Q59" s="22">
        <f t="shared" si="30"/>
        <v>15</v>
      </c>
      <c r="R59" s="22">
        <f t="shared" si="31"/>
        <v>1</v>
      </c>
      <c r="S59" s="22">
        <f t="shared" si="32"/>
        <v>16</v>
      </c>
      <c r="T59" s="22">
        <f t="shared" si="33"/>
        <v>8</v>
      </c>
      <c r="U59" s="22">
        <f t="shared" si="34"/>
        <v>24</v>
      </c>
    </row>
    <row r="60" spans="1:21">
      <c r="A60" s="75">
        <v>21000</v>
      </c>
      <c r="B60" s="46">
        <v>21020</v>
      </c>
      <c r="C60" s="575"/>
      <c r="D60" s="195" t="str">
        <f>VLOOKUP(A54,正社員!$P$234:$Q$460,2,FALSE)</f>
        <v>川越第二工場２係</v>
      </c>
      <c r="E60" s="22">
        <f>COUNTIF(参考1男性!$C$5:$P$367,A54)</f>
        <v>4</v>
      </c>
      <c r="F60" s="22">
        <f>COUNTIF(参考2女性!$C$5:$Q$52,A54)</f>
        <v>0</v>
      </c>
      <c r="G60" s="22">
        <f>E60+F60</f>
        <v>4</v>
      </c>
      <c r="H60" s="22">
        <f>COUNTIF(参考3パート嘱託!$C$4:$Q$69,B54)</f>
        <v>1</v>
      </c>
      <c r="I60" s="22">
        <f>SUM(G60:H60)</f>
        <v>5</v>
      </c>
      <c r="J60" s="22">
        <v>0</v>
      </c>
      <c r="K60" s="83">
        <f>G60+H60+J60</f>
        <v>5</v>
      </c>
      <c r="M60" s="198" t="s">
        <v>626</v>
      </c>
      <c r="N60" s="195" t="s">
        <v>114</v>
      </c>
      <c r="O60" s="22">
        <f t="shared" si="35"/>
        <v>5</v>
      </c>
      <c r="P60" s="22">
        <f t="shared" si="29"/>
        <v>2</v>
      </c>
      <c r="Q60" s="22">
        <f t="shared" si="30"/>
        <v>7</v>
      </c>
      <c r="R60" s="22">
        <f t="shared" si="31"/>
        <v>2</v>
      </c>
      <c r="S60" s="22">
        <f t="shared" si="32"/>
        <v>9</v>
      </c>
      <c r="T60" s="22">
        <f t="shared" si="33"/>
        <v>0</v>
      </c>
      <c r="U60" s="22">
        <f t="shared" si="34"/>
        <v>9</v>
      </c>
    </row>
    <row r="61" spans="1:21">
      <c r="A61" s="75">
        <v>22000</v>
      </c>
      <c r="B61" s="46">
        <v>22020</v>
      </c>
      <c r="C61" s="575"/>
      <c r="D61" s="195" t="str">
        <f>VLOOKUP(A55,正社員!$P$234:$Q$460,2,FALSE)</f>
        <v>川越第二工場５係</v>
      </c>
      <c r="E61" s="22">
        <f>COUNTIF(参考1男性!$C$5:$P$367,A55)</f>
        <v>4</v>
      </c>
      <c r="F61" s="22">
        <f>COUNTIF(参考2女性!$C$5:$Q$52,A55)</f>
        <v>0</v>
      </c>
      <c r="G61" s="22">
        <f>E61+F61</f>
        <v>4</v>
      </c>
      <c r="H61" s="22">
        <f>COUNTIF(参考3パート嘱託!$C$4:$Q$69,B55)</f>
        <v>2</v>
      </c>
      <c r="I61" s="22">
        <f>SUM(G61:H61)</f>
        <v>6</v>
      </c>
      <c r="J61" s="22">
        <v>2</v>
      </c>
      <c r="K61" s="83">
        <f>G61+H61+J61</f>
        <v>8</v>
      </c>
      <c r="M61" s="584" t="s">
        <v>616</v>
      </c>
      <c r="N61" s="585"/>
      <c r="O61" s="78">
        <f t="shared" si="35"/>
        <v>13</v>
      </c>
      <c r="P61" s="78">
        <f t="shared" si="29"/>
        <v>9</v>
      </c>
      <c r="Q61" s="78">
        <f t="shared" si="30"/>
        <v>22</v>
      </c>
      <c r="R61" s="78" t="e">
        <f t="shared" si="31"/>
        <v>#REF!</v>
      </c>
      <c r="S61" s="78" t="e">
        <f t="shared" si="32"/>
        <v>#REF!</v>
      </c>
      <c r="T61" s="78">
        <f t="shared" si="33"/>
        <v>2</v>
      </c>
      <c r="U61" s="78" t="e">
        <f t="shared" si="34"/>
        <v>#REF!</v>
      </c>
    </row>
    <row r="62" spans="1:21">
      <c r="A62" s="75">
        <v>60000</v>
      </c>
      <c r="B62" s="46">
        <v>60020</v>
      </c>
      <c r="C62" s="576"/>
      <c r="D62" s="195" t="str">
        <f>VLOOKUP(A56,正社員!$P$234:$Q$460,2,FALSE)</f>
        <v>川越第二工場鋳造部門</v>
      </c>
      <c r="E62" s="22">
        <f>COUNTIF(参考1男性!$C$5:$P$367,A56)</f>
        <v>15</v>
      </c>
      <c r="F62" s="22">
        <f>COUNTIF(参考2女性!$C$5:$Q$52,A56)</f>
        <v>0</v>
      </c>
      <c r="G62" s="22">
        <f>E62+F62</f>
        <v>15</v>
      </c>
      <c r="H62" s="22">
        <f>COUNTIF(参考3パート嘱託!$C$4:$Q$69,B56)</f>
        <v>1</v>
      </c>
      <c r="I62" s="22">
        <f>SUM(G62:H62)</f>
        <v>16</v>
      </c>
      <c r="J62" s="22">
        <v>8</v>
      </c>
      <c r="K62" s="83">
        <f>G62+H62+J62</f>
        <v>24</v>
      </c>
      <c r="M62" s="586" t="s">
        <v>643</v>
      </c>
      <c r="N62" s="195" t="s">
        <v>45</v>
      </c>
      <c r="O62" s="22">
        <f t="shared" si="35"/>
        <v>2</v>
      </c>
      <c r="P62" s="22">
        <f t="shared" si="29"/>
        <v>1</v>
      </c>
      <c r="Q62" s="22">
        <f t="shared" si="30"/>
        <v>3</v>
      </c>
      <c r="R62" s="22">
        <f t="shared" si="31"/>
        <v>0</v>
      </c>
      <c r="S62" s="22">
        <f t="shared" si="32"/>
        <v>3</v>
      </c>
      <c r="T62" s="22">
        <f t="shared" si="33"/>
        <v>0</v>
      </c>
      <c r="U62" s="22">
        <f t="shared" si="34"/>
        <v>3</v>
      </c>
    </row>
    <row r="63" spans="1:21">
      <c r="A63" s="75">
        <v>60100</v>
      </c>
      <c r="B63" s="46">
        <v>60120</v>
      </c>
      <c r="C63" s="198" t="s">
        <v>626</v>
      </c>
      <c r="D63" s="195" t="str">
        <f>VLOOKUP(A57,正社員!$P$39:$Q$195,2,FALSE)</f>
        <v>川越第二工場管理</v>
      </c>
      <c r="E63" s="22">
        <f>COUNTIF(参考1男性!$C$5:$P$367,A57)</f>
        <v>5</v>
      </c>
      <c r="F63" s="22">
        <f>COUNTIF(参考2女性!$C$5:$Q$52,A57)</f>
        <v>2</v>
      </c>
      <c r="G63" s="22">
        <f>E63+F63</f>
        <v>7</v>
      </c>
      <c r="H63" s="22">
        <f>COUNTIF(参考3パート嘱託!$C$4:$Q$69,B57)</f>
        <v>2</v>
      </c>
      <c r="I63" s="22">
        <f>SUM(G63:H63)</f>
        <v>9</v>
      </c>
      <c r="J63" s="22">
        <v>0</v>
      </c>
      <c r="K63" s="83">
        <f>G63+H63+J63</f>
        <v>9</v>
      </c>
      <c r="M63" s="575"/>
      <c r="N63" s="81" t="s">
        <v>638</v>
      </c>
      <c r="O63" s="22">
        <f t="shared" si="35"/>
        <v>3</v>
      </c>
      <c r="P63" s="22">
        <f t="shared" si="29"/>
        <v>1</v>
      </c>
      <c r="Q63" s="22">
        <f t="shared" si="30"/>
        <v>4</v>
      </c>
      <c r="R63" s="22">
        <f t="shared" si="31"/>
        <v>0</v>
      </c>
      <c r="S63" s="22">
        <f t="shared" si="32"/>
        <v>4</v>
      </c>
      <c r="T63" s="22">
        <f t="shared" si="33"/>
        <v>1</v>
      </c>
      <c r="U63" s="22">
        <f t="shared" si="34"/>
        <v>5</v>
      </c>
    </row>
    <row r="64" spans="1:21">
      <c r="A64" s="75">
        <v>60200</v>
      </c>
      <c r="B64" s="46">
        <v>60220</v>
      </c>
      <c r="C64" s="584" t="s">
        <v>616</v>
      </c>
      <c r="D64" s="585"/>
      <c r="E64" s="78">
        <f>SUM(E65:E70)</f>
        <v>13</v>
      </c>
      <c r="F64" s="78">
        <f t="shared" ref="F64:K64" si="37">SUM(F65:F70)</f>
        <v>9</v>
      </c>
      <c r="G64" s="78">
        <f t="shared" si="37"/>
        <v>22</v>
      </c>
      <c r="H64" s="78" t="e">
        <f t="shared" si="37"/>
        <v>#REF!</v>
      </c>
      <c r="I64" s="78" t="e">
        <f t="shared" si="37"/>
        <v>#REF!</v>
      </c>
      <c r="J64" s="78">
        <f t="shared" si="37"/>
        <v>2</v>
      </c>
      <c r="K64" s="87" t="e">
        <f t="shared" si="37"/>
        <v>#REF!</v>
      </c>
      <c r="L64" s="94"/>
      <c r="M64" s="576"/>
      <c r="N64" s="195" t="s">
        <v>49</v>
      </c>
      <c r="O64" s="22">
        <f t="shared" si="35"/>
        <v>4</v>
      </c>
      <c r="P64" s="22">
        <f t="shared" si="29"/>
        <v>2</v>
      </c>
      <c r="Q64" s="22">
        <f t="shared" si="30"/>
        <v>6</v>
      </c>
      <c r="R64" s="22">
        <f t="shared" si="31"/>
        <v>0</v>
      </c>
      <c r="S64" s="22">
        <f t="shared" si="32"/>
        <v>6</v>
      </c>
      <c r="T64" s="22">
        <f t="shared" si="33"/>
        <v>1</v>
      </c>
      <c r="U64" s="22">
        <f t="shared" si="34"/>
        <v>7</v>
      </c>
    </row>
    <row r="65" spans="1:21">
      <c r="A65" s="76"/>
      <c r="B65" s="56"/>
      <c r="C65" s="586" t="s">
        <v>643</v>
      </c>
      <c r="D65" s="195" t="str">
        <f>VLOOKUP(A59,正社員!$P$39:$Q$195,2,FALSE)</f>
        <v>生産管理部製品管理課</v>
      </c>
      <c r="E65" s="22">
        <f>COUNTIF(参考1男性!$C$5:$P$367,A59)</f>
        <v>2</v>
      </c>
      <c r="F65" s="22">
        <f>COUNTIF(参考2女性!$C$5:$Q$52,A59)</f>
        <v>1</v>
      </c>
      <c r="G65" s="22">
        <f t="shared" ref="G65:G70" si="38">E65+F65</f>
        <v>3</v>
      </c>
      <c r="H65" s="22">
        <f>COUNTIF(参考3パート嘱託!$C$4:$Q$69,B59)</f>
        <v>0</v>
      </c>
      <c r="I65" s="22">
        <f t="shared" ref="I65:I70" si="39">SUM(G65:H65)</f>
        <v>3</v>
      </c>
      <c r="J65" s="22">
        <v>0</v>
      </c>
      <c r="K65" s="83">
        <f t="shared" ref="K65:K70" si="40">G65+H65+J65</f>
        <v>3</v>
      </c>
      <c r="M65" s="586" t="s">
        <v>647</v>
      </c>
      <c r="N65" s="195" t="s">
        <v>131</v>
      </c>
      <c r="O65" s="22">
        <f t="shared" si="35"/>
        <v>2</v>
      </c>
      <c r="P65" s="22">
        <f t="shared" si="29"/>
        <v>2</v>
      </c>
      <c r="Q65" s="22">
        <f t="shared" si="30"/>
        <v>4</v>
      </c>
      <c r="R65" s="22">
        <f t="shared" si="31"/>
        <v>1</v>
      </c>
      <c r="S65" s="22">
        <f t="shared" si="32"/>
        <v>5</v>
      </c>
      <c r="T65" s="22">
        <f t="shared" si="33"/>
        <v>0</v>
      </c>
      <c r="U65" s="22">
        <f t="shared" si="34"/>
        <v>5</v>
      </c>
    </row>
    <row r="66" spans="1:21">
      <c r="A66" s="75">
        <v>30000</v>
      </c>
      <c r="B66" s="46">
        <v>30020</v>
      </c>
      <c r="C66" s="575"/>
      <c r="D66" s="81" t="s">
        <v>638</v>
      </c>
      <c r="E66" s="22">
        <f>COUNTIF(参考1男性!$C$5:$P$367,A60)</f>
        <v>3</v>
      </c>
      <c r="F66" s="22">
        <f>COUNTIF(参考2女性!$C$5:$Q$52,A60)</f>
        <v>1</v>
      </c>
      <c r="G66" s="22">
        <f t="shared" si="38"/>
        <v>4</v>
      </c>
      <c r="H66" s="22">
        <f>COUNTIF(参考3パート嘱託!$C$4:$Q$69,B60)</f>
        <v>0</v>
      </c>
      <c r="I66" s="22">
        <f t="shared" si="39"/>
        <v>4</v>
      </c>
      <c r="J66" s="22">
        <v>1</v>
      </c>
      <c r="K66" s="83">
        <f t="shared" si="40"/>
        <v>5</v>
      </c>
      <c r="M66" s="575"/>
      <c r="N66" s="81" t="s">
        <v>639</v>
      </c>
      <c r="O66" s="22">
        <f t="shared" si="35"/>
        <v>1</v>
      </c>
      <c r="P66" s="22">
        <f t="shared" si="29"/>
        <v>2</v>
      </c>
      <c r="Q66" s="22">
        <f t="shared" si="30"/>
        <v>3</v>
      </c>
      <c r="R66" s="22">
        <f t="shared" si="31"/>
        <v>0</v>
      </c>
      <c r="S66" s="22">
        <f t="shared" si="32"/>
        <v>3</v>
      </c>
      <c r="T66" s="22">
        <f t="shared" si="33"/>
        <v>0</v>
      </c>
      <c r="U66" s="22">
        <f t="shared" si="34"/>
        <v>3</v>
      </c>
    </row>
    <row r="67" spans="1:21">
      <c r="A67" s="75">
        <v>31000</v>
      </c>
      <c r="B67" s="46">
        <v>31020</v>
      </c>
      <c r="C67" s="576"/>
      <c r="D67" s="195" t="str">
        <f>VLOOKUP(A61,正社員!$P$39:$Q$195,2,FALSE)</f>
        <v>生産管理部ＩＴ管理課</v>
      </c>
      <c r="E67" s="22">
        <f>COUNTIF(参考1男性!$C$5:$P$367,A61)</f>
        <v>4</v>
      </c>
      <c r="F67" s="22">
        <f>COUNTIF(参考2女性!$C$5:$Q$52,A61)</f>
        <v>2</v>
      </c>
      <c r="G67" s="22">
        <f t="shared" si="38"/>
        <v>6</v>
      </c>
      <c r="H67" s="22">
        <f>COUNTIF(参考3パート嘱託!$C$4:$Q$69,B61)</f>
        <v>0</v>
      </c>
      <c r="I67" s="22">
        <f t="shared" si="39"/>
        <v>6</v>
      </c>
      <c r="J67" s="22">
        <v>1</v>
      </c>
      <c r="K67" s="83">
        <f t="shared" si="40"/>
        <v>7</v>
      </c>
      <c r="M67" s="576"/>
      <c r="N67" s="195" t="s">
        <v>134</v>
      </c>
      <c r="O67" s="22">
        <f t="shared" si="35"/>
        <v>1</v>
      </c>
      <c r="P67" s="22">
        <f t="shared" si="29"/>
        <v>1</v>
      </c>
      <c r="Q67" s="22">
        <f t="shared" si="30"/>
        <v>2</v>
      </c>
      <c r="R67" s="22" t="e">
        <f t="shared" si="31"/>
        <v>#REF!</v>
      </c>
      <c r="S67" s="22" t="e">
        <f t="shared" si="32"/>
        <v>#REF!</v>
      </c>
      <c r="T67" s="22">
        <f t="shared" si="33"/>
        <v>0</v>
      </c>
      <c r="U67" s="22" t="e">
        <f t="shared" si="34"/>
        <v>#REF!</v>
      </c>
    </row>
    <row r="68" spans="1:21">
      <c r="A68" s="75">
        <v>32000</v>
      </c>
      <c r="B68" s="46">
        <v>32020</v>
      </c>
      <c r="C68" s="586" t="s">
        <v>647</v>
      </c>
      <c r="D68" s="195" t="str">
        <f>VLOOKUP(A62,正社員!$P$39:$Q$195,2,FALSE)</f>
        <v>生産管理部製品管理課(羽生)</v>
      </c>
      <c r="E68" s="22">
        <f>COUNTIF(参考1男性!$C$5:$P$367,A62)</f>
        <v>2</v>
      </c>
      <c r="F68" s="22">
        <f>COUNTIF(参考2女性!$C$5:$Q$52,A62)</f>
        <v>2</v>
      </c>
      <c r="G68" s="22">
        <f t="shared" si="38"/>
        <v>4</v>
      </c>
      <c r="H68" s="22">
        <f>COUNTIF(参考3パート嘱託!$C$4:$Q$69,B62)</f>
        <v>1</v>
      </c>
      <c r="I68" s="22">
        <f t="shared" si="39"/>
        <v>5</v>
      </c>
      <c r="J68" s="22">
        <v>0</v>
      </c>
      <c r="K68" s="83">
        <f t="shared" si="40"/>
        <v>5</v>
      </c>
      <c r="M68" s="591" t="s">
        <v>646</v>
      </c>
      <c r="N68" s="592"/>
      <c r="O68" s="592"/>
      <c r="P68" s="592"/>
      <c r="Q68" s="592"/>
      <c r="R68" s="592"/>
      <c r="S68" s="592"/>
      <c r="T68" s="592"/>
      <c r="U68" s="104">
        <v>82</v>
      </c>
    </row>
    <row r="69" spans="1:21">
      <c r="A69" s="75">
        <v>33000</v>
      </c>
      <c r="B69" s="46">
        <v>33020</v>
      </c>
      <c r="C69" s="575"/>
      <c r="D69" s="81" t="s">
        <v>639</v>
      </c>
      <c r="E69" s="22">
        <f>COUNTIF(参考1男性!$C$5:$P$367,A63)</f>
        <v>1</v>
      </c>
      <c r="F69" s="22">
        <f>COUNTIF(参考2女性!$C$5:$Q$52,A63)</f>
        <v>2</v>
      </c>
      <c r="G69" s="22">
        <f t="shared" si="38"/>
        <v>3</v>
      </c>
      <c r="H69" s="22">
        <f>COUNTIF(参考3パート嘱託!$C$4:$Q$69,B63)</f>
        <v>0</v>
      </c>
      <c r="I69" s="22">
        <f t="shared" si="39"/>
        <v>3</v>
      </c>
      <c r="J69" s="22">
        <v>0</v>
      </c>
      <c r="K69" s="83">
        <f t="shared" si="40"/>
        <v>3</v>
      </c>
      <c r="M69" s="584" t="s">
        <v>617</v>
      </c>
      <c r="N69" s="585"/>
      <c r="O69" s="78">
        <f t="shared" ref="O69:O75" si="41">E72</f>
        <v>38</v>
      </c>
      <c r="P69" s="78">
        <f t="shared" ref="P69:U69" si="42">F72</f>
        <v>3</v>
      </c>
      <c r="Q69" s="78">
        <f t="shared" si="42"/>
        <v>41</v>
      </c>
      <c r="R69" s="78">
        <f t="shared" si="42"/>
        <v>5</v>
      </c>
      <c r="S69" s="78">
        <f t="shared" si="42"/>
        <v>46</v>
      </c>
      <c r="T69" s="78">
        <f t="shared" si="42"/>
        <v>6</v>
      </c>
      <c r="U69" s="78">
        <f t="shared" si="42"/>
        <v>52</v>
      </c>
    </row>
    <row r="70" spans="1:21">
      <c r="A70" s="75">
        <v>61000</v>
      </c>
      <c r="B70" s="46">
        <v>61020</v>
      </c>
      <c r="C70" s="576"/>
      <c r="D70" s="195" t="str">
        <f>VLOOKUP(A64,正社員!$P$39:$Q$195,2,FALSE)</f>
        <v>生産管理部ＩＴ管理課(羽生)</v>
      </c>
      <c r="E70" s="22">
        <f>COUNTIF(参考1男性!$C$5:$P$367,A64)</f>
        <v>1</v>
      </c>
      <c r="F70" s="22">
        <f>COUNTIF(参考2女性!$C$5:$Q$52,A64)</f>
        <v>1</v>
      </c>
      <c r="G70" s="22">
        <f t="shared" si="38"/>
        <v>2</v>
      </c>
      <c r="H70" s="22" t="e">
        <f>COUNTIF(#REF!,B64)</f>
        <v>#REF!</v>
      </c>
      <c r="I70" s="22" t="e">
        <f t="shared" si="39"/>
        <v>#REF!</v>
      </c>
      <c r="J70" s="22">
        <v>0</v>
      </c>
      <c r="K70" s="83" t="e">
        <f t="shared" si="40"/>
        <v>#REF!</v>
      </c>
      <c r="M70" s="586" t="s">
        <v>643</v>
      </c>
      <c r="N70" s="195" t="s">
        <v>53</v>
      </c>
      <c r="O70" s="22">
        <f t="shared" si="41"/>
        <v>13</v>
      </c>
      <c r="P70" s="22">
        <f t="shared" ref="P70:U75" si="43">F73</f>
        <v>0</v>
      </c>
      <c r="Q70" s="22">
        <f t="shared" si="43"/>
        <v>13</v>
      </c>
      <c r="R70" s="22">
        <f t="shared" si="43"/>
        <v>2</v>
      </c>
      <c r="S70" s="22">
        <f t="shared" si="43"/>
        <v>15</v>
      </c>
      <c r="T70" s="22">
        <f t="shared" si="43"/>
        <v>1</v>
      </c>
      <c r="U70" s="22">
        <f t="shared" si="43"/>
        <v>16</v>
      </c>
    </row>
    <row r="71" spans="1:21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f>K72</f>
        <v>52</v>
      </c>
      <c r="M71" s="575"/>
      <c r="N71" s="195" t="s">
        <v>72</v>
      </c>
      <c r="O71" s="22">
        <f t="shared" si="41"/>
        <v>8</v>
      </c>
      <c r="P71" s="22">
        <f t="shared" si="43"/>
        <v>1</v>
      </c>
      <c r="Q71" s="22">
        <f t="shared" si="43"/>
        <v>9</v>
      </c>
      <c r="R71" s="22">
        <f t="shared" si="43"/>
        <v>0</v>
      </c>
      <c r="S71" s="22">
        <f t="shared" si="43"/>
        <v>9</v>
      </c>
      <c r="T71" s="22">
        <f t="shared" si="43"/>
        <v>0</v>
      </c>
      <c r="U71" s="22">
        <f t="shared" si="43"/>
        <v>9</v>
      </c>
    </row>
    <row r="72" spans="1:21">
      <c r="C72" s="584" t="s">
        <v>617</v>
      </c>
      <c r="D72" s="585"/>
      <c r="E72" s="78">
        <f>SUM(E73:E78)</f>
        <v>38</v>
      </c>
      <c r="F72" s="78">
        <f t="shared" ref="F72:K72" si="44">SUM(F73:F78)</f>
        <v>3</v>
      </c>
      <c r="G72" s="78">
        <f t="shared" si="44"/>
        <v>41</v>
      </c>
      <c r="H72" s="78">
        <f t="shared" si="44"/>
        <v>5</v>
      </c>
      <c r="I72" s="78">
        <f t="shared" si="44"/>
        <v>46</v>
      </c>
      <c r="J72" s="78">
        <f t="shared" si="44"/>
        <v>6</v>
      </c>
      <c r="K72" s="87">
        <f t="shared" si="44"/>
        <v>52</v>
      </c>
      <c r="L72" s="37"/>
      <c r="M72" s="575"/>
      <c r="N72" s="195" t="s">
        <v>81</v>
      </c>
      <c r="O72" s="22">
        <f t="shared" si="41"/>
        <v>2</v>
      </c>
      <c r="P72" s="22">
        <f t="shared" si="43"/>
        <v>0</v>
      </c>
      <c r="Q72" s="22">
        <f t="shared" si="43"/>
        <v>2</v>
      </c>
      <c r="R72" s="22">
        <f t="shared" si="43"/>
        <v>0</v>
      </c>
      <c r="S72" s="22">
        <f t="shared" si="43"/>
        <v>2</v>
      </c>
      <c r="T72" s="22">
        <f t="shared" si="43"/>
        <v>0</v>
      </c>
      <c r="U72" s="22">
        <f t="shared" si="43"/>
        <v>2</v>
      </c>
    </row>
    <row r="73" spans="1:21">
      <c r="B73" s="56"/>
      <c r="C73" s="586" t="s">
        <v>643</v>
      </c>
      <c r="D73" s="195" t="str">
        <f>VLOOKUP(A66,正社員!$P$39:$Q$195,2,FALSE)</f>
        <v>生産技術部１課</v>
      </c>
      <c r="E73" s="22">
        <f>COUNTIF(参考1男性!$C$5:$P$367,A66)</f>
        <v>13</v>
      </c>
      <c r="F73" s="22">
        <f>COUNTIF(参考2女性!$C$5:$Q$52,A66)</f>
        <v>0</v>
      </c>
      <c r="G73" s="22">
        <f t="shared" ref="G73:G78" si="45">E73+F73</f>
        <v>13</v>
      </c>
      <c r="H73" s="22">
        <f>COUNTIF(参考3パート嘱託!$C$4:$Q$69,B66)</f>
        <v>2</v>
      </c>
      <c r="I73" s="22">
        <f t="shared" ref="I73:I78" si="46">SUM(G73:H73)</f>
        <v>15</v>
      </c>
      <c r="J73" s="22">
        <v>1</v>
      </c>
      <c r="K73" s="83">
        <f t="shared" ref="K73:K78" si="47">G73+H73+J73</f>
        <v>16</v>
      </c>
      <c r="M73" s="576"/>
      <c r="N73" s="195" t="s">
        <v>84</v>
      </c>
      <c r="O73" s="22">
        <f t="shared" si="41"/>
        <v>1</v>
      </c>
      <c r="P73" s="22">
        <f t="shared" si="43"/>
        <v>0</v>
      </c>
      <c r="Q73" s="22">
        <f t="shared" si="43"/>
        <v>1</v>
      </c>
      <c r="R73" s="22">
        <f t="shared" si="43"/>
        <v>0</v>
      </c>
      <c r="S73" s="22">
        <f t="shared" si="43"/>
        <v>1</v>
      </c>
      <c r="T73" s="22">
        <f t="shared" si="43"/>
        <v>3</v>
      </c>
      <c r="U73" s="22">
        <f t="shared" si="43"/>
        <v>4</v>
      </c>
    </row>
    <row r="74" spans="1:21">
      <c r="C74" s="575"/>
      <c r="D74" s="195" t="str">
        <f>VLOOKUP(A67,正社員!$P$39:$Q$195,2,FALSE)</f>
        <v>生産技術部２課工機係</v>
      </c>
      <c r="E74" s="22">
        <f>COUNTIF(参考1男性!$C$5:$P$367,A67)</f>
        <v>8</v>
      </c>
      <c r="F74" s="22">
        <f>COUNTIF(参考2女性!$C$5:$Q$52,A67)</f>
        <v>1</v>
      </c>
      <c r="G74" s="22">
        <f t="shared" si="45"/>
        <v>9</v>
      </c>
      <c r="H74" s="22">
        <f>COUNTIF(参考3パート嘱託!$C$4:$Q$69,B67)</f>
        <v>0</v>
      </c>
      <c r="I74" s="22">
        <f t="shared" si="46"/>
        <v>9</v>
      </c>
      <c r="J74" s="22">
        <v>0</v>
      </c>
      <c r="K74" s="83">
        <f t="shared" si="47"/>
        <v>9</v>
      </c>
      <c r="M74" s="586" t="s">
        <v>647</v>
      </c>
      <c r="N74" s="195" t="s">
        <v>147</v>
      </c>
      <c r="O74" s="22">
        <f t="shared" si="41"/>
        <v>10</v>
      </c>
      <c r="P74" s="22">
        <f t="shared" si="43"/>
        <v>1</v>
      </c>
      <c r="Q74" s="22">
        <f t="shared" si="43"/>
        <v>11</v>
      </c>
      <c r="R74" s="22">
        <f t="shared" si="43"/>
        <v>1</v>
      </c>
      <c r="S74" s="22">
        <f t="shared" si="43"/>
        <v>12</v>
      </c>
      <c r="T74" s="22">
        <f t="shared" si="43"/>
        <v>0</v>
      </c>
      <c r="U74" s="22">
        <f t="shared" si="43"/>
        <v>12</v>
      </c>
    </row>
    <row r="75" spans="1:21">
      <c r="C75" s="575"/>
      <c r="D75" s="195" t="str">
        <f>VLOOKUP(A68,正社員!$P$39:$Q$195,2,FALSE)</f>
        <v>生産技術部２課試作係</v>
      </c>
      <c r="E75" s="22">
        <f>COUNTIF(参考1男性!$C$5:$P$367,A68)</f>
        <v>2</v>
      </c>
      <c r="F75" s="22">
        <f>COUNTIF(参考2女性!$C$5:$Q$52,A68)</f>
        <v>0</v>
      </c>
      <c r="G75" s="22">
        <f t="shared" si="45"/>
        <v>2</v>
      </c>
      <c r="H75" s="22">
        <f>COUNTIF(参考3パート嘱託!$C$4:$Q$69,B68)</f>
        <v>0</v>
      </c>
      <c r="I75" s="22">
        <f t="shared" si="46"/>
        <v>2</v>
      </c>
      <c r="J75" s="22">
        <v>0</v>
      </c>
      <c r="K75" s="83">
        <f t="shared" si="47"/>
        <v>2</v>
      </c>
      <c r="M75" s="576"/>
      <c r="N75" s="195" t="s">
        <v>158</v>
      </c>
      <c r="O75" s="22">
        <f t="shared" si="41"/>
        <v>4</v>
      </c>
      <c r="P75" s="22">
        <f t="shared" si="43"/>
        <v>1</v>
      </c>
      <c r="Q75" s="22">
        <f t="shared" si="43"/>
        <v>5</v>
      </c>
      <c r="R75" s="22">
        <f t="shared" si="43"/>
        <v>2</v>
      </c>
      <c r="S75" s="22">
        <f t="shared" si="43"/>
        <v>7</v>
      </c>
      <c r="T75" s="22">
        <f t="shared" si="43"/>
        <v>2</v>
      </c>
      <c r="U75" s="22">
        <f t="shared" si="43"/>
        <v>9</v>
      </c>
    </row>
    <row r="76" spans="1:21">
      <c r="C76" s="576"/>
      <c r="D76" s="195" t="str">
        <f>VLOOKUP(A69,正社員!$P$39:$Q$195,2,FALSE)</f>
        <v>生産技術部２課保全係</v>
      </c>
      <c r="E76" s="22">
        <f>COUNTIF(参考1男性!$C$5:$P$367,A69)</f>
        <v>1</v>
      </c>
      <c r="F76" s="22">
        <f>COUNTIF(参考2女性!$C$5:$Q$52,A69)</f>
        <v>0</v>
      </c>
      <c r="G76" s="22">
        <f t="shared" si="45"/>
        <v>1</v>
      </c>
      <c r="H76" s="22">
        <f>COUNTIF(参考3パート嘱託!$C$4:$Q$69,B69)</f>
        <v>0</v>
      </c>
      <c r="I76" s="22">
        <f t="shared" si="46"/>
        <v>1</v>
      </c>
      <c r="J76" s="22">
        <v>3</v>
      </c>
      <c r="K76" s="83">
        <f t="shared" si="47"/>
        <v>4</v>
      </c>
      <c r="M76" s="584" t="s">
        <v>697</v>
      </c>
      <c r="N76" s="585"/>
      <c r="O76" s="78">
        <f>E19</f>
        <v>3</v>
      </c>
      <c r="P76" s="78">
        <v>4</v>
      </c>
      <c r="Q76" s="78">
        <v>21</v>
      </c>
      <c r="R76" s="78">
        <v>2</v>
      </c>
      <c r="S76" s="78">
        <v>23</v>
      </c>
      <c r="T76" s="78">
        <v>0</v>
      </c>
      <c r="U76" s="87">
        <v>23</v>
      </c>
    </row>
    <row r="77" spans="1:21">
      <c r="C77" s="586" t="s">
        <v>647</v>
      </c>
      <c r="D77" s="195" t="str">
        <f>VLOOKUP(A70,正社員!$P$39:$Q$195,2,FALSE)</f>
        <v>生産技術部（羽生）</v>
      </c>
      <c r="E77" s="22">
        <f>COUNTIF(参考1男性!$C$5:$P$367,A70)</f>
        <v>10</v>
      </c>
      <c r="F77" s="22">
        <f>COUNTIF(参考2女性!$C$5:$Q$52,A70)</f>
        <v>1</v>
      </c>
      <c r="G77" s="22">
        <f t="shared" si="45"/>
        <v>11</v>
      </c>
      <c r="H77" s="22">
        <f>COUNTIF(参考3パート嘱託!$C$4:$Q$69,B70)</f>
        <v>1</v>
      </c>
      <c r="I77" s="22">
        <f t="shared" si="46"/>
        <v>12</v>
      </c>
      <c r="J77" s="22">
        <v>0</v>
      </c>
      <c r="K77" s="83">
        <f t="shared" si="47"/>
        <v>12</v>
      </c>
      <c r="M77" s="586" t="s">
        <v>643</v>
      </c>
      <c r="N77" s="195" t="s">
        <v>120</v>
      </c>
      <c r="O77" s="22">
        <f>E19</f>
        <v>3</v>
      </c>
      <c r="P77" s="22">
        <f t="shared" ref="P77:U77" si="48">F19</f>
        <v>2</v>
      </c>
      <c r="Q77" s="22">
        <f t="shared" si="48"/>
        <v>5</v>
      </c>
      <c r="R77" s="22">
        <f t="shared" si="48"/>
        <v>0</v>
      </c>
      <c r="S77" s="22">
        <f t="shared" si="48"/>
        <v>5</v>
      </c>
      <c r="T77" s="22">
        <f t="shared" si="48"/>
        <v>0</v>
      </c>
      <c r="U77" s="22">
        <f t="shared" si="48"/>
        <v>5</v>
      </c>
    </row>
    <row r="78" spans="1:21">
      <c r="C78" s="576"/>
      <c r="D78" s="195" t="str">
        <f>VLOOKUP(A71,正社員!$P$39:$Q$195,2,FALSE)</f>
        <v>生産技術部工機（羽生）</v>
      </c>
      <c r="E78" s="22">
        <f>COUNTIF(参考1男性!$C$5:$P$367,A71)</f>
        <v>4</v>
      </c>
      <c r="F78" s="22">
        <f>COUNTIF(参考2女性!$C$5:$Q$52,A71)</f>
        <v>1</v>
      </c>
      <c r="G78" s="22">
        <f t="shared" si="45"/>
        <v>5</v>
      </c>
      <c r="H78" s="22">
        <f>COUNTIF(参考3パート嘱託!$C$4:$Q$69,B71)</f>
        <v>2</v>
      </c>
      <c r="I78" s="22">
        <f t="shared" si="46"/>
        <v>7</v>
      </c>
      <c r="J78" s="22">
        <v>2</v>
      </c>
      <c r="K78" s="83">
        <f t="shared" si="47"/>
        <v>9</v>
      </c>
      <c r="M78" s="576"/>
      <c r="N78" s="195" t="s">
        <v>124</v>
      </c>
      <c r="O78" s="22">
        <f>E20</f>
        <v>6</v>
      </c>
      <c r="P78" s="22">
        <f t="shared" ref="P78:U78" si="49">F20</f>
        <v>0</v>
      </c>
      <c r="Q78" s="22">
        <f t="shared" si="49"/>
        <v>6</v>
      </c>
      <c r="R78" s="22">
        <f t="shared" si="49"/>
        <v>0</v>
      </c>
      <c r="S78" s="22">
        <f t="shared" si="49"/>
        <v>6</v>
      </c>
      <c r="T78" s="22">
        <f t="shared" si="49"/>
        <v>0</v>
      </c>
      <c r="U78" s="22">
        <f t="shared" si="49"/>
        <v>6</v>
      </c>
    </row>
    <row r="79" spans="1:21" ht="18.600000000000001" thickBot="1">
      <c r="C79" s="597" t="s">
        <v>642</v>
      </c>
      <c r="D79" s="598"/>
      <c r="E79" s="92">
        <f t="shared" ref="E79:K79" si="50">E72+E64+E58+E40+E25+E23+E19+E20+E21+E17+E14+E12+E9+E10</f>
        <v>356</v>
      </c>
      <c r="F79" s="92">
        <f t="shared" si="50"/>
        <v>46</v>
      </c>
      <c r="G79" s="92">
        <f t="shared" si="50"/>
        <v>402</v>
      </c>
      <c r="H79" s="92" t="e">
        <f t="shared" si="50"/>
        <v>#REF!</v>
      </c>
      <c r="I79" s="92" t="e">
        <f t="shared" si="50"/>
        <v>#REF!</v>
      </c>
      <c r="J79" s="92">
        <f t="shared" si="50"/>
        <v>205</v>
      </c>
      <c r="K79" s="93" t="e">
        <f t="shared" si="50"/>
        <v>#REF!</v>
      </c>
      <c r="L79" s="94"/>
      <c r="M79" s="197" t="s">
        <v>647</v>
      </c>
      <c r="N79" s="195" t="s">
        <v>165</v>
      </c>
      <c r="O79" s="22">
        <f>E21</f>
        <v>9</v>
      </c>
      <c r="P79" s="22">
        <f t="shared" ref="P79:U79" si="51">F21</f>
        <v>1</v>
      </c>
      <c r="Q79" s="22">
        <f t="shared" si="51"/>
        <v>10</v>
      </c>
      <c r="R79" s="22">
        <f t="shared" si="51"/>
        <v>0</v>
      </c>
      <c r="S79" s="22">
        <f t="shared" si="51"/>
        <v>10</v>
      </c>
      <c r="T79" s="22">
        <f t="shared" si="51"/>
        <v>0</v>
      </c>
      <c r="U79" s="22">
        <f t="shared" si="51"/>
        <v>10</v>
      </c>
    </row>
    <row r="80" spans="1:21" ht="18.600000000000001" thickBot="1">
      <c r="C80" s="574"/>
      <c r="D80" s="572" t="s">
        <v>693</v>
      </c>
      <c r="E80" s="572"/>
      <c r="F80" s="572"/>
      <c r="G80" s="572"/>
      <c r="H80" s="572"/>
      <c r="I80" s="572"/>
      <c r="J80" s="572"/>
      <c r="K80" s="573"/>
      <c r="L80" s="37"/>
      <c r="M80" s="597" t="s">
        <v>642</v>
      </c>
      <c r="N80" s="598"/>
      <c r="O80" s="92">
        <f>E79</f>
        <v>356</v>
      </c>
      <c r="P80" s="92">
        <f t="shared" ref="P80:U80" si="52">F79</f>
        <v>46</v>
      </c>
      <c r="Q80" s="92">
        <f t="shared" si="52"/>
        <v>402</v>
      </c>
      <c r="R80" s="92" t="e">
        <f t="shared" si="52"/>
        <v>#REF!</v>
      </c>
      <c r="S80" s="92" t="e">
        <f t="shared" si="52"/>
        <v>#REF!</v>
      </c>
      <c r="T80" s="92">
        <f t="shared" si="52"/>
        <v>205</v>
      </c>
      <c r="U80" s="92" t="e">
        <f t="shared" si="52"/>
        <v>#REF!</v>
      </c>
    </row>
    <row r="81" spans="3:21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  <c r="M81" s="575"/>
      <c r="N81" s="609" t="s">
        <v>611</v>
      </c>
      <c r="O81" s="126" t="s">
        <v>635</v>
      </c>
      <c r="P81" s="126" t="s">
        <v>650</v>
      </c>
      <c r="Q81" s="609" t="s">
        <v>614</v>
      </c>
      <c r="R81" s="609" t="s">
        <v>613</v>
      </c>
      <c r="S81" s="609" t="s">
        <v>622</v>
      </c>
      <c r="T81" s="610" t="s">
        <v>656</v>
      </c>
      <c r="U81" s="611" t="s">
        <v>623</v>
      </c>
    </row>
    <row r="82" spans="3:21" ht="15.75" customHeight="1" thickBot="1">
      <c r="C82" s="587"/>
      <c r="D82" s="553"/>
      <c r="E82" s="196" t="s">
        <v>69</v>
      </c>
      <c r="F82" s="196" t="s">
        <v>650</v>
      </c>
      <c r="G82" s="553"/>
      <c r="H82" s="553"/>
      <c r="I82" s="553"/>
      <c r="J82" s="580"/>
      <c r="K82" s="581"/>
      <c r="L82" s="37"/>
      <c r="M82" s="587"/>
      <c r="N82" s="553"/>
      <c r="O82" s="612" t="s">
        <v>612</v>
      </c>
      <c r="P82" s="612"/>
      <c r="Q82" s="553"/>
      <c r="R82" s="553"/>
      <c r="S82" s="553"/>
      <c r="T82" s="580"/>
      <c r="U82" s="581"/>
    </row>
    <row r="83" spans="3:21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  <c r="M83" s="606" t="s">
        <v>667</v>
      </c>
      <c r="N83" s="127" t="s">
        <v>668</v>
      </c>
      <c r="O83" s="128">
        <f t="shared" ref="O83:U83" si="53">O9+O12+O13+O14+O16+O77+O78+O19+O21+O62+O63+O64+O70+O71+O72+O73</f>
        <v>206</v>
      </c>
      <c r="P83" s="128">
        <f t="shared" si="53"/>
        <v>25</v>
      </c>
      <c r="Q83" s="128">
        <f t="shared" si="53"/>
        <v>231</v>
      </c>
      <c r="R83" s="128">
        <f t="shared" si="53"/>
        <v>25</v>
      </c>
      <c r="S83" s="128">
        <f t="shared" si="53"/>
        <v>256</v>
      </c>
      <c r="T83" s="128">
        <f t="shared" si="53"/>
        <v>88</v>
      </c>
      <c r="U83" s="129">
        <f t="shared" si="53"/>
        <v>344</v>
      </c>
    </row>
    <row r="84" spans="3:21">
      <c r="M84" s="607"/>
      <c r="N84" s="203" t="s">
        <v>647</v>
      </c>
      <c r="O84" s="204">
        <f t="shared" ref="O84:U84" si="54">O17+O79+O37+O65+O66+O67+O74+O75</f>
        <v>121</v>
      </c>
      <c r="P84" s="204">
        <f t="shared" si="54"/>
        <v>19</v>
      </c>
      <c r="Q84" s="204">
        <f t="shared" si="54"/>
        <v>140</v>
      </c>
      <c r="R84" s="204" t="e">
        <f t="shared" si="54"/>
        <v>#REF!</v>
      </c>
      <c r="S84" s="204" t="e">
        <f t="shared" si="54"/>
        <v>#REF!</v>
      </c>
      <c r="T84" s="204">
        <f t="shared" si="54"/>
        <v>106</v>
      </c>
      <c r="U84" s="205" t="e">
        <f t="shared" si="54"/>
        <v>#REF!</v>
      </c>
    </row>
    <row r="85" spans="3:21" ht="18.600000000000001" thickBot="1">
      <c r="M85" s="608"/>
      <c r="N85" s="133" t="s">
        <v>669</v>
      </c>
      <c r="O85" s="134">
        <f t="shared" ref="O85:U85" si="55">O55</f>
        <v>30</v>
      </c>
      <c r="P85" s="134">
        <f t="shared" si="55"/>
        <v>2</v>
      </c>
      <c r="Q85" s="134">
        <f t="shared" si="55"/>
        <v>32</v>
      </c>
      <c r="R85" s="134">
        <f t="shared" si="55"/>
        <v>6</v>
      </c>
      <c r="S85" s="134">
        <f t="shared" si="55"/>
        <v>38</v>
      </c>
      <c r="T85" s="134">
        <f t="shared" si="55"/>
        <v>11</v>
      </c>
      <c r="U85" s="135">
        <f t="shared" si="55"/>
        <v>49</v>
      </c>
    </row>
    <row r="86" spans="3:21">
      <c r="D86" s="200" t="s">
        <v>706</v>
      </c>
      <c r="M86" s="582" t="s">
        <v>710</v>
      </c>
      <c r="N86" s="583"/>
      <c r="O86" s="583"/>
      <c r="P86" s="583"/>
      <c r="Q86" s="583"/>
      <c r="R86" s="583"/>
      <c r="S86" s="583"/>
      <c r="T86" s="583"/>
      <c r="U86" s="583"/>
    </row>
    <row r="88" spans="3:21">
      <c r="D88" s="200" t="s">
        <v>705</v>
      </c>
    </row>
  </sheetData>
  <mergeCells count="88">
    <mergeCell ref="M83:M85"/>
    <mergeCell ref="M86:U86"/>
    <mergeCell ref="Q81:Q82"/>
    <mergeCell ref="R81:R82"/>
    <mergeCell ref="S81:S82"/>
    <mergeCell ref="T81:T82"/>
    <mergeCell ref="U81:U82"/>
    <mergeCell ref="O82:P82"/>
    <mergeCell ref="M81:M82"/>
    <mergeCell ref="N81:N82"/>
    <mergeCell ref="M70:M73"/>
    <mergeCell ref="M74:M75"/>
    <mergeCell ref="M76:N76"/>
    <mergeCell ref="M77:M78"/>
    <mergeCell ref="M80:N80"/>
    <mergeCell ref="M69:N69"/>
    <mergeCell ref="M18:T18"/>
    <mergeCell ref="M20:T20"/>
    <mergeCell ref="M21:N21"/>
    <mergeCell ref="M22:M24"/>
    <mergeCell ref="M37:N37"/>
    <mergeCell ref="M38:M41"/>
    <mergeCell ref="M49:M51"/>
    <mergeCell ref="M52:M53"/>
    <mergeCell ref="M55:N55"/>
    <mergeCell ref="M56:M59"/>
    <mergeCell ref="M61:N61"/>
    <mergeCell ref="M62:M64"/>
    <mergeCell ref="M65:M67"/>
    <mergeCell ref="M68:T68"/>
    <mergeCell ref="S4:S5"/>
    <mergeCell ref="T4:T5"/>
    <mergeCell ref="U4:U5"/>
    <mergeCell ref="M8:T8"/>
    <mergeCell ref="M11:T11"/>
    <mergeCell ref="M3:M5"/>
    <mergeCell ref="N3:U3"/>
    <mergeCell ref="N4:N5"/>
    <mergeCell ref="O4:P4"/>
    <mergeCell ref="Q4:Q5"/>
    <mergeCell ref="R4:R5"/>
    <mergeCell ref="M15:N15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C58:D58"/>
    <mergeCell ref="C59:C62"/>
    <mergeCell ref="C64:D64"/>
    <mergeCell ref="C65:C67"/>
    <mergeCell ref="C68:C70"/>
    <mergeCell ref="C71:J71"/>
    <mergeCell ref="C40:D40"/>
    <mergeCell ref="C41:C44"/>
    <mergeCell ref="C45:C51"/>
    <mergeCell ref="C52:C54"/>
    <mergeCell ref="C55:C56"/>
    <mergeCell ref="C24:J24"/>
    <mergeCell ref="C25:D25"/>
    <mergeCell ref="C26:C28"/>
    <mergeCell ref="C29:C34"/>
    <mergeCell ref="C35:C38"/>
    <mergeCell ref="C22:J22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8:J8"/>
    <mergeCell ref="C11:J11"/>
    <mergeCell ref="C13:J13"/>
    <mergeCell ref="C18:J18"/>
    <mergeCell ref="C19:C20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9"/>
  <sheetViews>
    <sheetView topLeftCell="A67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190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703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189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189"/>
      <c r="C5" s="576"/>
      <c r="D5" s="577"/>
      <c r="E5" s="191" t="s">
        <v>69</v>
      </c>
      <c r="F5" s="191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189">
        <v>202</v>
      </c>
      <c r="C6" s="193"/>
      <c r="D6" s="191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189">
        <v>211</v>
      </c>
      <c r="C7" s="193"/>
      <c r="D7" s="191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11</v>
      </c>
    </row>
    <row r="9" spans="1:11">
      <c r="A9" s="75">
        <v>11000</v>
      </c>
      <c r="B9" s="46">
        <v>11020</v>
      </c>
      <c r="C9" s="84"/>
      <c r="D9" s="191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/>
      <c r="K9" s="83">
        <v>10</v>
      </c>
    </row>
    <row r="10" spans="1:11">
      <c r="A10" s="75">
        <v>90000</v>
      </c>
      <c r="B10" s="46">
        <v>90020</v>
      </c>
      <c r="C10" s="84"/>
      <c r="D10" s="191" t="s">
        <v>696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/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9</v>
      </c>
    </row>
    <row r="12" spans="1:11">
      <c r="A12" s="76">
        <v>1000</v>
      </c>
      <c r="B12" s="46">
        <v>1020</v>
      </c>
      <c r="C12" s="84"/>
      <c r="D12" s="191" t="s">
        <v>218</v>
      </c>
      <c r="E12" s="22">
        <v>7</v>
      </c>
      <c r="F12" s="22">
        <v>2</v>
      </c>
      <c r="G12" s="22">
        <v>9</v>
      </c>
      <c r="H12" s="22">
        <v>0</v>
      </c>
      <c r="I12" s="22">
        <v>9</v>
      </c>
      <c r="J12" s="22"/>
      <c r="K12" s="83">
        <v>9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/>
    </row>
    <row r="14" spans="1:11">
      <c r="A14" s="76"/>
      <c r="B14" s="56"/>
      <c r="C14" s="85"/>
      <c r="D14" s="191" t="s">
        <v>648</v>
      </c>
      <c r="E14" s="22">
        <v>2</v>
      </c>
      <c r="F14" s="22">
        <v>2</v>
      </c>
      <c r="G14" s="22">
        <v>4</v>
      </c>
      <c r="H14" s="22">
        <v>0</v>
      </c>
      <c r="I14" s="22">
        <v>4</v>
      </c>
      <c r="J14" s="22"/>
      <c r="K14" s="83">
        <v>4</v>
      </c>
    </row>
    <row r="15" spans="1:11">
      <c r="A15" s="75">
        <v>50000</v>
      </c>
      <c r="B15" s="46">
        <v>50020</v>
      </c>
      <c r="C15" s="85"/>
      <c r="D15" s="191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191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/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23</v>
      </c>
    </row>
    <row r="19" spans="1:15">
      <c r="A19" s="75">
        <v>80000</v>
      </c>
      <c r="B19" s="46">
        <v>80020</v>
      </c>
      <c r="C19" s="586" t="s">
        <v>643</v>
      </c>
      <c r="D19" s="191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/>
      <c r="K19" s="83">
        <v>6</v>
      </c>
    </row>
    <row r="20" spans="1:15">
      <c r="A20" s="75">
        <v>41111</v>
      </c>
      <c r="B20" s="46">
        <v>41121</v>
      </c>
      <c r="C20" s="576"/>
      <c r="D20" s="191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/>
      <c r="K20" s="83">
        <v>7</v>
      </c>
    </row>
    <row r="21" spans="1:15">
      <c r="A21" s="75">
        <v>43011</v>
      </c>
      <c r="B21" s="46">
        <v>43021</v>
      </c>
      <c r="C21" s="192" t="s">
        <v>647</v>
      </c>
      <c r="D21" s="191" t="s">
        <v>165</v>
      </c>
      <c r="E21" s="22">
        <v>6</v>
      </c>
      <c r="F21" s="22">
        <v>2</v>
      </c>
      <c r="G21" s="22">
        <v>8</v>
      </c>
      <c r="H21" s="22">
        <v>2</v>
      </c>
      <c r="I21" s="22">
        <v>10</v>
      </c>
      <c r="J21" s="22"/>
      <c r="K21" s="83">
        <v>10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54</v>
      </c>
    </row>
    <row r="23" spans="1:15">
      <c r="A23" s="75">
        <v>42111</v>
      </c>
      <c r="B23" s="46">
        <v>42121</v>
      </c>
      <c r="C23" s="84"/>
      <c r="D23" s="191" t="s">
        <v>172</v>
      </c>
      <c r="E23" s="22">
        <v>43</v>
      </c>
      <c r="F23" s="22">
        <v>3</v>
      </c>
      <c r="G23" s="22">
        <v>46</v>
      </c>
      <c r="H23" s="22">
        <v>8</v>
      </c>
      <c r="I23" s="22">
        <v>54</v>
      </c>
      <c r="J23" s="22"/>
      <c r="K23" s="83">
        <v>54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557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129</v>
      </c>
      <c r="F25" s="78">
        <v>7</v>
      </c>
      <c r="G25" s="78">
        <v>136</v>
      </c>
      <c r="H25" s="78">
        <v>21</v>
      </c>
      <c r="I25" s="78">
        <v>157</v>
      </c>
      <c r="J25" s="78">
        <v>82</v>
      </c>
      <c r="K25" s="87">
        <v>239</v>
      </c>
      <c r="L25" s="94"/>
    </row>
    <row r="26" spans="1:15">
      <c r="A26" s="75">
        <v>42011</v>
      </c>
      <c r="B26" s="46">
        <v>42021</v>
      </c>
      <c r="C26" s="586" t="s">
        <v>625</v>
      </c>
      <c r="D26" s="191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5</v>
      </c>
      <c r="K26" s="83">
        <v>17</v>
      </c>
    </row>
    <row r="27" spans="1:15">
      <c r="A27" s="75">
        <v>42311</v>
      </c>
      <c r="B27" s="46">
        <v>42321</v>
      </c>
      <c r="C27" s="575"/>
      <c r="D27" s="191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6</v>
      </c>
      <c r="K27" s="83">
        <v>21</v>
      </c>
    </row>
    <row r="28" spans="1:15">
      <c r="A28" s="75">
        <v>43211</v>
      </c>
      <c r="B28" s="46">
        <v>43221</v>
      </c>
      <c r="C28" s="576"/>
      <c r="D28" s="191" t="s">
        <v>258</v>
      </c>
      <c r="E28" s="22">
        <v>21</v>
      </c>
      <c r="F28" s="22">
        <v>0</v>
      </c>
      <c r="G28" s="22">
        <v>21</v>
      </c>
      <c r="H28" s="22">
        <v>2</v>
      </c>
      <c r="I28" s="22">
        <v>23</v>
      </c>
      <c r="J28" s="101">
        <v>15</v>
      </c>
      <c r="K28" s="83">
        <v>38</v>
      </c>
    </row>
    <row r="29" spans="1:15">
      <c r="A29" s="75">
        <v>43311</v>
      </c>
      <c r="B29" s="46">
        <v>43321</v>
      </c>
      <c r="C29" s="571" t="s">
        <v>626</v>
      </c>
      <c r="D29" s="191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/>
      <c r="K29" s="83">
        <v>11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191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/>
      <c r="K30" s="83">
        <v>13</v>
      </c>
      <c r="L30" s="588"/>
      <c r="M30" s="589"/>
      <c r="N30" s="589"/>
      <c r="O30" s="589"/>
    </row>
    <row r="31" spans="1:15">
      <c r="A31" s="75"/>
      <c r="C31" s="571"/>
      <c r="D31" s="191"/>
      <c r="E31" s="22"/>
      <c r="F31" s="22"/>
      <c r="G31" s="22"/>
      <c r="H31" s="22"/>
      <c r="I31" s="22"/>
      <c r="J31" s="101">
        <v>10</v>
      </c>
      <c r="K31" s="83">
        <v>10</v>
      </c>
      <c r="L31" s="194"/>
      <c r="M31" s="194"/>
      <c r="N31" s="194"/>
      <c r="O31" s="194"/>
    </row>
    <row r="32" spans="1:15">
      <c r="A32" s="75">
        <v>40400</v>
      </c>
      <c r="B32" s="46">
        <v>40420</v>
      </c>
      <c r="C32" s="571"/>
      <c r="D32" s="191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191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14</v>
      </c>
      <c r="K33" s="83">
        <v>29</v>
      </c>
    </row>
    <row r="34" spans="1:14">
      <c r="A34" s="76"/>
      <c r="B34" s="56"/>
      <c r="C34" s="571"/>
      <c r="D34" s="191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7</v>
      </c>
      <c r="K34" s="83">
        <v>14</v>
      </c>
    </row>
    <row r="35" spans="1:14">
      <c r="A35" s="75">
        <v>67211</v>
      </c>
      <c r="B35" s="46">
        <v>67221</v>
      </c>
      <c r="C35" s="571" t="s">
        <v>627</v>
      </c>
      <c r="D35" s="191" t="s">
        <v>364</v>
      </c>
      <c r="E35" s="22">
        <v>12</v>
      </c>
      <c r="F35" s="22">
        <v>5</v>
      </c>
      <c r="G35" s="22">
        <v>17</v>
      </c>
      <c r="H35" s="22">
        <v>3</v>
      </c>
      <c r="I35" s="22">
        <v>20</v>
      </c>
      <c r="J35" s="101">
        <v>18</v>
      </c>
      <c r="K35" s="83">
        <v>38</v>
      </c>
      <c r="L35">
        <v>2</v>
      </c>
    </row>
    <row r="36" spans="1:14">
      <c r="A36" s="75">
        <v>68011</v>
      </c>
      <c r="B36" s="46">
        <v>68021</v>
      </c>
      <c r="C36" s="571"/>
      <c r="D36" s="191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191" t="s">
        <v>103</v>
      </c>
      <c r="E37" s="22">
        <v>6</v>
      </c>
      <c r="F37" s="22">
        <v>0</v>
      </c>
      <c r="G37" s="22">
        <v>6</v>
      </c>
      <c r="H37" s="22">
        <v>5</v>
      </c>
      <c r="I37" s="22">
        <v>11</v>
      </c>
      <c r="J37" s="101"/>
      <c r="K37" s="83">
        <v>11</v>
      </c>
    </row>
    <row r="38" spans="1:14">
      <c r="A38" s="75">
        <v>69111</v>
      </c>
      <c r="B38" s="46">
        <v>69121</v>
      </c>
      <c r="C38" s="571"/>
      <c r="D38" s="191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3</v>
      </c>
      <c r="K38" s="83">
        <v>7</v>
      </c>
    </row>
    <row r="39" spans="1:14">
      <c r="A39" s="75">
        <v>64011</v>
      </c>
      <c r="B39" s="46">
        <v>64021</v>
      </c>
      <c r="C39" s="84"/>
      <c r="D39" s="191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/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104</v>
      </c>
      <c r="F40" s="78">
        <v>10</v>
      </c>
      <c r="G40" s="78">
        <v>114</v>
      </c>
      <c r="H40" s="78">
        <v>24</v>
      </c>
      <c r="I40" s="78">
        <v>138</v>
      </c>
      <c r="J40" s="78">
        <v>103</v>
      </c>
      <c r="K40" s="87">
        <v>241</v>
      </c>
    </row>
    <row r="41" spans="1:14">
      <c r="A41" s="75">
        <v>64211</v>
      </c>
      <c r="B41" s="46">
        <v>64221</v>
      </c>
      <c r="C41" s="586" t="s">
        <v>625</v>
      </c>
      <c r="D41" s="191" t="s">
        <v>476</v>
      </c>
      <c r="E41" s="22">
        <v>6</v>
      </c>
      <c r="F41" s="22">
        <v>0</v>
      </c>
      <c r="G41" s="22">
        <v>6</v>
      </c>
      <c r="H41" s="22">
        <v>2</v>
      </c>
      <c r="I41" s="22">
        <v>8</v>
      </c>
      <c r="J41" s="22">
        <v>3</v>
      </c>
      <c r="K41" s="83">
        <v>11</v>
      </c>
    </row>
    <row r="42" spans="1:14">
      <c r="A42" s="75">
        <v>67011</v>
      </c>
      <c r="B42" s="46">
        <v>67021</v>
      </c>
      <c r="C42" s="575"/>
      <c r="D42" s="191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9</v>
      </c>
      <c r="K42" s="83">
        <v>12</v>
      </c>
    </row>
    <row r="43" spans="1:14">
      <c r="A43" s="75">
        <v>68111</v>
      </c>
      <c r="B43" s="46">
        <v>68121</v>
      </c>
      <c r="C43" s="575"/>
      <c r="D43" s="191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/>
      <c r="K43" s="83">
        <v>7</v>
      </c>
    </row>
    <row r="44" spans="1:14">
      <c r="A44" s="75">
        <v>64311</v>
      </c>
      <c r="B44" s="46">
        <v>64321</v>
      </c>
      <c r="C44" s="576"/>
      <c r="D44" s="191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1</v>
      </c>
      <c r="K44" s="83">
        <v>2</v>
      </c>
    </row>
    <row r="45" spans="1:14">
      <c r="A45" s="75">
        <v>69011</v>
      </c>
      <c r="B45" s="46">
        <v>69021</v>
      </c>
      <c r="C45" s="571" t="s">
        <v>626</v>
      </c>
      <c r="D45" s="191" t="s">
        <v>416</v>
      </c>
      <c r="E45" s="22">
        <v>6</v>
      </c>
      <c r="F45" s="22">
        <v>0</v>
      </c>
      <c r="G45" s="22">
        <v>6</v>
      </c>
      <c r="H45" s="22">
        <v>2</v>
      </c>
      <c r="I45" s="22">
        <v>8</v>
      </c>
      <c r="J45" s="22">
        <v>3</v>
      </c>
      <c r="K45" s="83">
        <v>11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191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/>
      <c r="K46" s="83">
        <v>6</v>
      </c>
      <c r="L46" s="588"/>
      <c r="M46" s="570"/>
      <c r="N46" s="570"/>
    </row>
    <row r="47" spans="1:14">
      <c r="A47" s="75"/>
      <c r="C47" s="571"/>
      <c r="D47" s="191" t="s">
        <v>657</v>
      </c>
      <c r="E47" s="22"/>
      <c r="F47" s="22"/>
      <c r="G47" s="22"/>
      <c r="H47" s="22"/>
      <c r="I47" s="22"/>
      <c r="J47" s="22"/>
      <c r="K47" s="83">
        <v>0</v>
      </c>
    </row>
    <row r="48" spans="1:14">
      <c r="A48" s="75">
        <v>60411</v>
      </c>
      <c r="B48" s="46">
        <v>60421</v>
      </c>
      <c r="C48" s="571"/>
      <c r="D48" s="191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/>
      <c r="K48" s="83">
        <v>2</v>
      </c>
    </row>
    <row r="49" spans="1:12">
      <c r="A49" s="75">
        <v>65011</v>
      </c>
      <c r="B49" s="46">
        <v>65021</v>
      </c>
      <c r="C49" s="571"/>
      <c r="D49" s="191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2</v>
      </c>
      <c r="K49" s="83">
        <v>12</v>
      </c>
    </row>
    <row r="50" spans="1:12">
      <c r="A50" s="75">
        <v>66011</v>
      </c>
      <c r="B50" s="46">
        <v>66021</v>
      </c>
      <c r="C50" s="571"/>
      <c r="D50" s="191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1"/>
      <c r="D51" s="191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3</v>
      </c>
      <c r="K51" s="83">
        <v>4</v>
      </c>
    </row>
    <row r="52" spans="1:12">
      <c r="A52" s="76"/>
      <c r="B52" s="56"/>
      <c r="C52" s="571" t="s">
        <v>627</v>
      </c>
      <c r="D52" s="191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21</v>
      </c>
      <c r="K52" s="83">
        <v>42</v>
      </c>
    </row>
    <row r="53" spans="1:12">
      <c r="A53" s="75">
        <v>44011</v>
      </c>
      <c r="B53" s="46">
        <v>44021</v>
      </c>
      <c r="C53" s="571"/>
      <c r="D53" s="191" t="s">
        <v>138</v>
      </c>
      <c r="E53" s="22">
        <v>9</v>
      </c>
      <c r="F53" s="22">
        <v>0</v>
      </c>
      <c r="G53" s="22">
        <v>9</v>
      </c>
      <c r="H53" s="22">
        <v>3</v>
      </c>
      <c r="I53" s="22">
        <v>12</v>
      </c>
      <c r="J53" s="22">
        <v>8</v>
      </c>
      <c r="K53" s="83">
        <v>20</v>
      </c>
    </row>
    <row r="54" spans="1:12">
      <c r="A54" s="75">
        <v>44111</v>
      </c>
      <c r="B54" s="46">
        <v>44121</v>
      </c>
      <c r="C54" s="571"/>
      <c r="D54" s="191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71" t="s">
        <v>628</v>
      </c>
      <c r="D55" s="191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40</v>
      </c>
      <c r="K55" s="83">
        <v>61</v>
      </c>
    </row>
    <row r="56" spans="1:12">
      <c r="A56" s="75">
        <v>45111</v>
      </c>
      <c r="B56" s="46">
        <v>45121</v>
      </c>
      <c r="C56" s="571"/>
      <c r="D56" s="191" t="s">
        <v>449</v>
      </c>
      <c r="E56" s="22">
        <v>15</v>
      </c>
      <c r="F56" s="22">
        <v>3</v>
      </c>
      <c r="G56" s="22">
        <v>18</v>
      </c>
      <c r="H56" s="22">
        <v>1</v>
      </c>
      <c r="I56" s="22">
        <v>19</v>
      </c>
      <c r="J56" s="22">
        <v>11</v>
      </c>
      <c r="K56" s="83">
        <v>30</v>
      </c>
    </row>
    <row r="57" spans="1:12">
      <c r="A57" s="75">
        <v>44200</v>
      </c>
      <c r="B57" s="46">
        <v>44220</v>
      </c>
      <c r="C57" s="84"/>
      <c r="D57" s="191" t="s">
        <v>162</v>
      </c>
      <c r="E57" s="22">
        <v>6</v>
      </c>
      <c r="F57" s="22">
        <v>1</v>
      </c>
      <c r="G57" s="22">
        <v>7</v>
      </c>
      <c r="H57" s="22">
        <v>1</v>
      </c>
      <c r="I57" s="22">
        <v>8</v>
      </c>
      <c r="J57" s="22"/>
      <c r="K57" s="83">
        <v>8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11</v>
      </c>
      <c r="K58" s="87">
        <v>50</v>
      </c>
      <c r="L58" s="94"/>
    </row>
    <row r="59" spans="1:12">
      <c r="A59" s="75">
        <v>20000</v>
      </c>
      <c r="B59" s="46">
        <v>20020</v>
      </c>
      <c r="C59" s="586" t="s">
        <v>625</v>
      </c>
      <c r="D59" s="191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191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>
        <v>0</v>
      </c>
      <c r="K60" s="83">
        <v>5</v>
      </c>
    </row>
    <row r="61" spans="1:12">
      <c r="A61" s="75">
        <v>22000</v>
      </c>
      <c r="B61" s="46">
        <v>22020</v>
      </c>
      <c r="C61" s="575"/>
      <c r="D61" s="191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191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8</v>
      </c>
      <c r="K62" s="83">
        <v>24</v>
      </c>
    </row>
    <row r="63" spans="1:12">
      <c r="A63" s="75">
        <v>60100</v>
      </c>
      <c r="B63" s="46">
        <v>60120</v>
      </c>
      <c r="C63" s="193" t="s">
        <v>626</v>
      </c>
      <c r="D63" s="191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>
        <v>0</v>
      </c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16</v>
      </c>
      <c r="F64" s="78">
        <v>9</v>
      </c>
      <c r="G64" s="78">
        <v>25</v>
      </c>
      <c r="H64" s="78">
        <v>0</v>
      </c>
      <c r="I64" s="78">
        <v>25</v>
      </c>
      <c r="J64" s="78">
        <v>2</v>
      </c>
      <c r="K64" s="87">
        <v>27</v>
      </c>
      <c r="L64" s="94"/>
    </row>
    <row r="65" spans="1:12">
      <c r="A65" s="76"/>
      <c r="B65" s="56"/>
      <c r="C65" s="586" t="s">
        <v>643</v>
      </c>
      <c r="D65" s="191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>
        <v>0</v>
      </c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191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191" t="s">
        <v>131</v>
      </c>
      <c r="E68" s="22">
        <v>2</v>
      </c>
      <c r="F68" s="22">
        <v>1</v>
      </c>
      <c r="G68" s="22">
        <v>3</v>
      </c>
      <c r="H68" s="22">
        <v>0</v>
      </c>
      <c r="I68" s="22">
        <v>3</v>
      </c>
      <c r="J68" s="22"/>
      <c r="K68" s="83">
        <v>3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3</v>
      </c>
      <c r="G69" s="22">
        <v>4</v>
      </c>
      <c r="H69" s="22">
        <v>0</v>
      </c>
      <c r="I69" s="22">
        <v>4</v>
      </c>
      <c r="J69" s="22"/>
      <c r="K69" s="83">
        <v>4</v>
      </c>
    </row>
    <row r="70" spans="1:12">
      <c r="A70" s="75">
        <v>61000</v>
      </c>
      <c r="B70" s="46">
        <v>61020</v>
      </c>
      <c r="C70" s="576"/>
      <c r="D70" s="191" t="s">
        <v>134</v>
      </c>
      <c r="E70" s="22">
        <v>4</v>
      </c>
      <c r="F70" s="22">
        <v>1</v>
      </c>
      <c r="G70" s="22">
        <v>5</v>
      </c>
      <c r="H70" s="22">
        <v>0</v>
      </c>
      <c r="I70" s="22">
        <v>5</v>
      </c>
      <c r="J70" s="22"/>
      <c r="K70" s="83">
        <v>5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60</v>
      </c>
    </row>
    <row r="72" spans="1:12">
      <c r="C72" s="584" t="s">
        <v>617</v>
      </c>
      <c r="D72" s="585"/>
      <c r="E72" s="78">
        <v>38</v>
      </c>
      <c r="F72" s="78">
        <v>4</v>
      </c>
      <c r="G72" s="78">
        <v>42</v>
      </c>
      <c r="H72" s="78">
        <v>12</v>
      </c>
      <c r="I72" s="78">
        <v>54</v>
      </c>
      <c r="J72" s="78">
        <v>6</v>
      </c>
      <c r="K72" s="87">
        <v>60</v>
      </c>
      <c r="L72" s="37"/>
    </row>
    <row r="73" spans="1:12">
      <c r="B73" s="56"/>
      <c r="C73" s="586" t="s">
        <v>643</v>
      </c>
      <c r="D73" s="191" t="s">
        <v>53</v>
      </c>
      <c r="E73" s="22">
        <v>15</v>
      </c>
      <c r="F73" s="22">
        <v>1</v>
      </c>
      <c r="G73" s="22">
        <v>16</v>
      </c>
      <c r="H73" s="22">
        <v>3</v>
      </c>
      <c r="I73" s="22">
        <v>19</v>
      </c>
      <c r="J73" s="22">
        <v>1</v>
      </c>
      <c r="K73" s="83">
        <v>20</v>
      </c>
    </row>
    <row r="74" spans="1:12">
      <c r="C74" s="575"/>
      <c r="D74" s="191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>
        <v>0</v>
      </c>
      <c r="K74" s="83">
        <v>8</v>
      </c>
    </row>
    <row r="75" spans="1:12">
      <c r="C75" s="575"/>
      <c r="D75" s="191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191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191" t="s">
        <v>147</v>
      </c>
      <c r="E77" s="22">
        <v>9</v>
      </c>
      <c r="F77" s="22">
        <v>1</v>
      </c>
      <c r="G77" s="22">
        <v>10</v>
      </c>
      <c r="H77" s="22">
        <v>2</v>
      </c>
      <c r="I77" s="22">
        <v>12</v>
      </c>
      <c r="J77" s="22"/>
      <c r="K77" s="83">
        <v>12</v>
      </c>
    </row>
    <row r="78" spans="1:12">
      <c r="C78" s="576"/>
      <c r="D78" s="191" t="s">
        <v>158</v>
      </c>
      <c r="E78" s="22">
        <v>4</v>
      </c>
      <c r="F78" s="22">
        <v>1</v>
      </c>
      <c r="G78" s="22">
        <v>5</v>
      </c>
      <c r="H78" s="22">
        <v>6</v>
      </c>
      <c r="I78" s="22">
        <v>11</v>
      </c>
      <c r="J78" s="22">
        <v>2</v>
      </c>
      <c r="K78" s="83">
        <v>13</v>
      </c>
    </row>
    <row r="79" spans="1:12" ht="18.600000000000001" thickBot="1">
      <c r="C79" s="597" t="s">
        <v>642</v>
      </c>
      <c r="D79" s="598"/>
      <c r="E79" s="92">
        <v>401</v>
      </c>
      <c r="F79" s="92">
        <v>49</v>
      </c>
      <c r="G79" s="92">
        <v>450</v>
      </c>
      <c r="H79" s="92">
        <v>76</v>
      </c>
      <c r="I79" s="92">
        <v>526</v>
      </c>
      <c r="J79" s="92">
        <v>208</v>
      </c>
      <c r="K79" s="93">
        <v>734</v>
      </c>
      <c r="L79" s="94"/>
    </row>
    <row r="80" spans="1:12">
      <c r="C80" s="574"/>
      <c r="D80" s="572" t="s">
        <v>693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188" t="s">
        <v>69</v>
      </c>
      <c r="F82" s="188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190" t="s">
        <v>694</v>
      </c>
    </row>
    <row r="87" spans="3:12">
      <c r="D87" s="190" t="s">
        <v>699</v>
      </c>
    </row>
    <row r="89" spans="3:12">
      <c r="D89" s="190" t="s">
        <v>695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86"/>
  <sheetViews>
    <sheetView topLeftCell="A64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183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693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182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182"/>
      <c r="C5" s="576"/>
      <c r="D5" s="577"/>
      <c r="E5" s="184" t="s">
        <v>69</v>
      </c>
      <c r="F5" s="184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182">
        <v>202</v>
      </c>
      <c r="C6" s="186"/>
      <c r="D6" s="184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182">
        <v>211</v>
      </c>
      <c r="C7" s="186"/>
      <c r="D7" s="184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11</v>
      </c>
    </row>
    <row r="9" spans="1:11">
      <c r="A9" s="75">
        <v>11000</v>
      </c>
      <c r="B9" s="46">
        <v>11020</v>
      </c>
      <c r="C9" s="84"/>
      <c r="D9" s="184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>
        <v>0</v>
      </c>
      <c r="K9" s="83">
        <v>10</v>
      </c>
    </row>
    <row r="10" spans="1:11">
      <c r="A10" s="75">
        <v>90000</v>
      </c>
      <c r="B10" s="46">
        <v>90020</v>
      </c>
      <c r="C10" s="84"/>
      <c r="D10" s="184" t="s">
        <v>644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9</v>
      </c>
    </row>
    <row r="12" spans="1:11">
      <c r="A12" s="76">
        <v>1000</v>
      </c>
      <c r="B12" s="46">
        <v>1020</v>
      </c>
      <c r="C12" s="84"/>
      <c r="D12" s="184" t="s">
        <v>218</v>
      </c>
      <c r="E12" s="22">
        <v>7</v>
      </c>
      <c r="F12" s="22">
        <v>2</v>
      </c>
      <c r="G12" s="22">
        <v>9</v>
      </c>
      <c r="H12" s="22">
        <v>0</v>
      </c>
      <c r="I12" s="22">
        <v>9</v>
      </c>
      <c r="J12" s="22">
        <v>0</v>
      </c>
      <c r="K12" s="83">
        <v>9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19</v>
      </c>
    </row>
    <row r="14" spans="1:11">
      <c r="A14" s="76"/>
      <c r="B14" s="56"/>
      <c r="C14" s="85"/>
      <c r="D14" s="184" t="s">
        <v>648</v>
      </c>
      <c r="E14" s="22">
        <v>1</v>
      </c>
      <c r="F14" s="22">
        <v>2</v>
      </c>
      <c r="G14" s="22">
        <v>3</v>
      </c>
      <c r="H14" s="22">
        <v>0</v>
      </c>
      <c r="I14" s="22">
        <v>3</v>
      </c>
      <c r="J14" s="22">
        <v>0</v>
      </c>
      <c r="K14" s="83">
        <v>3</v>
      </c>
    </row>
    <row r="15" spans="1:11">
      <c r="A15" s="75">
        <v>50000</v>
      </c>
      <c r="B15" s="46">
        <v>50020</v>
      </c>
      <c r="C15" s="85"/>
      <c r="D15" s="184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184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24</v>
      </c>
    </row>
    <row r="19" spans="1:15">
      <c r="A19" s="75">
        <v>80000</v>
      </c>
      <c r="B19" s="46">
        <v>80020</v>
      </c>
      <c r="C19" s="586" t="s">
        <v>643</v>
      </c>
      <c r="D19" s="184" t="s">
        <v>120</v>
      </c>
      <c r="E19" s="22">
        <v>4</v>
      </c>
      <c r="F19" s="22">
        <v>2</v>
      </c>
      <c r="G19" s="22">
        <v>6</v>
      </c>
      <c r="H19" s="22">
        <v>0</v>
      </c>
      <c r="I19" s="22">
        <v>6</v>
      </c>
      <c r="J19" s="22">
        <v>0</v>
      </c>
      <c r="K19" s="83">
        <v>6</v>
      </c>
    </row>
    <row r="20" spans="1:15">
      <c r="A20" s="75">
        <v>41111</v>
      </c>
      <c r="B20" s="46">
        <v>41121</v>
      </c>
      <c r="C20" s="576"/>
      <c r="D20" s="184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>
        <v>0</v>
      </c>
      <c r="K20" s="83">
        <v>7</v>
      </c>
    </row>
    <row r="21" spans="1:15">
      <c r="A21" s="75">
        <v>43011</v>
      </c>
      <c r="B21" s="46">
        <v>43021</v>
      </c>
      <c r="C21" s="185" t="s">
        <v>647</v>
      </c>
      <c r="D21" s="184" t="s">
        <v>165</v>
      </c>
      <c r="E21" s="22">
        <v>6</v>
      </c>
      <c r="F21" s="22">
        <v>3</v>
      </c>
      <c r="G21" s="22">
        <v>9</v>
      </c>
      <c r="H21" s="22">
        <v>2</v>
      </c>
      <c r="I21" s="22">
        <v>11</v>
      </c>
      <c r="J21" s="22">
        <v>0</v>
      </c>
      <c r="K21" s="83">
        <v>11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54</v>
      </c>
    </row>
    <row r="23" spans="1:15">
      <c r="A23" s="75">
        <v>42111</v>
      </c>
      <c r="B23" s="46">
        <v>42121</v>
      </c>
      <c r="C23" s="84"/>
      <c r="D23" s="184" t="s">
        <v>172</v>
      </c>
      <c r="E23" s="22">
        <v>44</v>
      </c>
      <c r="F23" s="22">
        <v>3</v>
      </c>
      <c r="G23" s="22">
        <v>47</v>
      </c>
      <c r="H23" s="22">
        <v>7</v>
      </c>
      <c r="I23" s="22">
        <v>54</v>
      </c>
      <c r="J23" s="22">
        <v>0</v>
      </c>
      <c r="K23" s="83">
        <v>54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556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129</v>
      </c>
      <c r="F25" s="78">
        <v>8</v>
      </c>
      <c r="G25" s="78">
        <v>137</v>
      </c>
      <c r="H25" s="78">
        <v>23</v>
      </c>
      <c r="I25" s="78">
        <v>160</v>
      </c>
      <c r="J25" s="78">
        <v>78</v>
      </c>
      <c r="K25" s="87">
        <v>238</v>
      </c>
      <c r="L25" s="94"/>
    </row>
    <row r="26" spans="1:15">
      <c r="A26" s="75">
        <v>42011</v>
      </c>
      <c r="B26" s="46">
        <v>42021</v>
      </c>
      <c r="C26" s="586" t="s">
        <v>625</v>
      </c>
      <c r="D26" s="184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5</v>
      </c>
      <c r="K26" s="83">
        <v>17</v>
      </c>
    </row>
    <row r="27" spans="1:15">
      <c r="A27" s="75">
        <v>42311</v>
      </c>
      <c r="B27" s="46">
        <v>42321</v>
      </c>
      <c r="C27" s="575"/>
      <c r="D27" s="184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6</v>
      </c>
      <c r="K27" s="83">
        <v>21</v>
      </c>
    </row>
    <row r="28" spans="1:15">
      <c r="A28" s="75">
        <v>43211</v>
      </c>
      <c r="B28" s="46">
        <v>43221</v>
      </c>
      <c r="C28" s="576"/>
      <c r="D28" s="184" t="s">
        <v>258</v>
      </c>
      <c r="E28" s="22">
        <v>21</v>
      </c>
      <c r="F28" s="22">
        <v>0</v>
      </c>
      <c r="G28" s="22">
        <v>21</v>
      </c>
      <c r="H28" s="22">
        <v>4</v>
      </c>
      <c r="I28" s="22">
        <v>25</v>
      </c>
      <c r="J28" s="101">
        <v>15</v>
      </c>
      <c r="K28" s="83">
        <v>40</v>
      </c>
    </row>
    <row r="29" spans="1:15">
      <c r="A29" s="75">
        <v>43311</v>
      </c>
      <c r="B29" s="46">
        <v>43321</v>
      </c>
      <c r="C29" s="571" t="s">
        <v>626</v>
      </c>
      <c r="D29" s="184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/>
      <c r="K29" s="83">
        <v>11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184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/>
      <c r="K30" s="83">
        <v>13</v>
      </c>
      <c r="L30" s="588"/>
      <c r="M30" s="589"/>
      <c r="N30" s="589"/>
      <c r="O30" s="589"/>
    </row>
    <row r="31" spans="1:15">
      <c r="A31" s="75"/>
      <c r="C31" s="571"/>
      <c r="D31" s="184"/>
      <c r="E31" s="22"/>
      <c r="F31" s="22"/>
      <c r="G31" s="22"/>
      <c r="H31" s="22"/>
      <c r="I31" s="22"/>
      <c r="J31" s="101">
        <v>10</v>
      </c>
      <c r="K31" s="83">
        <v>10</v>
      </c>
      <c r="L31" s="187"/>
      <c r="M31" s="187"/>
      <c r="N31" s="187"/>
      <c r="O31" s="187"/>
    </row>
    <row r="32" spans="1:15">
      <c r="A32" s="75">
        <v>40400</v>
      </c>
      <c r="B32" s="46">
        <v>40420</v>
      </c>
      <c r="C32" s="571"/>
      <c r="D32" s="184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184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13</v>
      </c>
      <c r="K33" s="83">
        <v>28</v>
      </c>
    </row>
    <row r="34" spans="1:14">
      <c r="A34" s="76"/>
      <c r="B34" s="56"/>
      <c r="C34" s="571"/>
      <c r="D34" s="184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7</v>
      </c>
      <c r="K34" s="83">
        <v>14</v>
      </c>
    </row>
    <row r="35" spans="1:14">
      <c r="A35" s="75">
        <v>67211</v>
      </c>
      <c r="B35" s="46">
        <v>67221</v>
      </c>
      <c r="C35" s="571" t="s">
        <v>627</v>
      </c>
      <c r="D35" s="184" t="s">
        <v>364</v>
      </c>
      <c r="E35" s="22">
        <v>12</v>
      </c>
      <c r="F35" s="22">
        <v>6</v>
      </c>
      <c r="G35" s="22">
        <v>18</v>
      </c>
      <c r="H35" s="22">
        <v>3</v>
      </c>
      <c r="I35" s="22">
        <v>21</v>
      </c>
      <c r="J35" s="101">
        <v>15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1"/>
      <c r="D36" s="184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184" t="s">
        <v>103</v>
      </c>
      <c r="E37" s="22">
        <v>6</v>
      </c>
      <c r="F37" s="22">
        <v>0</v>
      </c>
      <c r="G37" s="22">
        <v>6</v>
      </c>
      <c r="H37" s="22">
        <v>5</v>
      </c>
      <c r="I37" s="22">
        <v>11</v>
      </c>
      <c r="J37" s="101">
        <v>3</v>
      </c>
      <c r="K37" s="83">
        <v>14</v>
      </c>
    </row>
    <row r="38" spans="1:14">
      <c r="A38" s="75">
        <v>69111</v>
      </c>
      <c r="B38" s="46">
        <v>69121</v>
      </c>
      <c r="C38" s="571"/>
      <c r="D38" s="184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0</v>
      </c>
      <c r="K38" s="83">
        <v>4</v>
      </c>
    </row>
    <row r="39" spans="1:14">
      <c r="A39" s="75">
        <v>64011</v>
      </c>
      <c r="B39" s="46">
        <v>64021</v>
      </c>
      <c r="C39" s="84"/>
      <c r="D39" s="184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>
        <v>0</v>
      </c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103</v>
      </c>
      <c r="F40" s="78">
        <v>10</v>
      </c>
      <c r="G40" s="78">
        <v>113</v>
      </c>
      <c r="H40" s="78">
        <v>24</v>
      </c>
      <c r="I40" s="78">
        <v>137</v>
      </c>
      <c r="J40" s="78">
        <v>104</v>
      </c>
      <c r="K40" s="87">
        <v>241</v>
      </c>
    </row>
    <row r="41" spans="1:14">
      <c r="A41" s="75">
        <v>64211</v>
      </c>
      <c r="B41" s="46">
        <v>64221</v>
      </c>
      <c r="C41" s="586" t="s">
        <v>625</v>
      </c>
      <c r="D41" s="184" t="s">
        <v>476</v>
      </c>
      <c r="E41" s="22">
        <v>6</v>
      </c>
      <c r="F41" s="22">
        <v>0</v>
      </c>
      <c r="G41" s="22">
        <v>6</v>
      </c>
      <c r="H41" s="22">
        <v>2</v>
      </c>
      <c r="I41" s="22">
        <v>8</v>
      </c>
      <c r="J41" s="22">
        <v>3</v>
      </c>
      <c r="K41" s="83">
        <v>11</v>
      </c>
    </row>
    <row r="42" spans="1:14">
      <c r="A42" s="75">
        <v>67011</v>
      </c>
      <c r="B42" s="46">
        <v>67021</v>
      </c>
      <c r="C42" s="575"/>
      <c r="D42" s="184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9</v>
      </c>
      <c r="K42" s="83">
        <v>12</v>
      </c>
    </row>
    <row r="43" spans="1:14">
      <c r="A43" s="75">
        <v>68111</v>
      </c>
      <c r="B43" s="46">
        <v>68121</v>
      </c>
      <c r="C43" s="575"/>
      <c r="D43" s="184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/>
      <c r="K43" s="83">
        <v>7</v>
      </c>
    </row>
    <row r="44" spans="1:14">
      <c r="A44" s="75">
        <v>64311</v>
      </c>
      <c r="B44" s="46">
        <v>64321</v>
      </c>
      <c r="C44" s="576"/>
      <c r="D44" s="184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1</v>
      </c>
      <c r="K44" s="83">
        <v>2</v>
      </c>
    </row>
    <row r="45" spans="1:14">
      <c r="A45" s="75">
        <v>69011</v>
      </c>
      <c r="B45" s="46">
        <v>69021</v>
      </c>
      <c r="C45" s="571" t="s">
        <v>626</v>
      </c>
      <c r="D45" s="184" t="s">
        <v>416</v>
      </c>
      <c r="E45" s="22">
        <v>5</v>
      </c>
      <c r="F45" s="22">
        <v>0</v>
      </c>
      <c r="G45" s="22">
        <v>5</v>
      </c>
      <c r="H45" s="22">
        <v>2</v>
      </c>
      <c r="I45" s="22">
        <v>7</v>
      </c>
      <c r="J45" s="22"/>
      <c r="K45" s="83">
        <v>7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184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/>
      <c r="K46" s="83">
        <v>6</v>
      </c>
      <c r="L46" s="588"/>
      <c r="M46" s="570"/>
      <c r="N46" s="570"/>
    </row>
    <row r="47" spans="1:14">
      <c r="A47" s="75"/>
      <c r="C47" s="571"/>
      <c r="D47" s="184" t="s">
        <v>657</v>
      </c>
      <c r="E47" s="22"/>
      <c r="F47" s="22"/>
      <c r="G47" s="22"/>
      <c r="H47" s="22"/>
      <c r="I47" s="22"/>
      <c r="J47" s="22">
        <v>4</v>
      </c>
      <c r="K47" s="83">
        <v>4</v>
      </c>
    </row>
    <row r="48" spans="1:14">
      <c r="A48" s="75">
        <v>60411</v>
      </c>
      <c r="B48" s="46">
        <v>60421</v>
      </c>
      <c r="C48" s="571"/>
      <c r="D48" s="184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/>
      <c r="K48" s="83">
        <v>2</v>
      </c>
    </row>
    <row r="49" spans="1:12">
      <c r="A49" s="75">
        <v>65011</v>
      </c>
      <c r="B49" s="46">
        <v>65021</v>
      </c>
      <c r="C49" s="571"/>
      <c r="D49" s="184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1</v>
      </c>
      <c r="K49" s="83">
        <v>11</v>
      </c>
    </row>
    <row r="50" spans="1:12">
      <c r="A50" s="75">
        <v>66011</v>
      </c>
      <c r="B50" s="46">
        <v>66021</v>
      </c>
      <c r="C50" s="571"/>
      <c r="D50" s="184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1"/>
      <c r="D51" s="184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4</v>
      </c>
      <c r="K51" s="83">
        <v>5</v>
      </c>
    </row>
    <row r="52" spans="1:12">
      <c r="A52" s="76"/>
      <c r="B52" s="56"/>
      <c r="C52" s="571" t="s">
        <v>627</v>
      </c>
      <c r="D52" s="184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23</v>
      </c>
      <c r="K52" s="83">
        <v>44</v>
      </c>
    </row>
    <row r="53" spans="1:12">
      <c r="A53" s="75">
        <v>44011</v>
      </c>
      <c r="B53" s="46">
        <v>44021</v>
      </c>
      <c r="C53" s="571"/>
      <c r="D53" s="184" t="s">
        <v>138</v>
      </c>
      <c r="E53" s="22">
        <v>9</v>
      </c>
      <c r="F53" s="22">
        <v>0</v>
      </c>
      <c r="G53" s="22">
        <v>9</v>
      </c>
      <c r="H53" s="22">
        <v>3</v>
      </c>
      <c r="I53" s="22">
        <v>12</v>
      </c>
      <c r="J53" s="22">
        <v>8</v>
      </c>
      <c r="K53" s="83">
        <v>20</v>
      </c>
    </row>
    <row r="54" spans="1:12">
      <c r="A54" s="75">
        <v>44111</v>
      </c>
      <c r="B54" s="46">
        <v>44121</v>
      </c>
      <c r="C54" s="571"/>
      <c r="D54" s="184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71" t="s">
        <v>628</v>
      </c>
      <c r="D55" s="184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40</v>
      </c>
      <c r="K55" s="83">
        <v>61</v>
      </c>
    </row>
    <row r="56" spans="1:12">
      <c r="A56" s="75">
        <v>45111</v>
      </c>
      <c r="B56" s="46">
        <v>45121</v>
      </c>
      <c r="C56" s="571"/>
      <c r="D56" s="184" t="s">
        <v>449</v>
      </c>
      <c r="E56" s="22">
        <v>15</v>
      </c>
      <c r="F56" s="22">
        <v>3</v>
      </c>
      <c r="G56" s="22">
        <v>18</v>
      </c>
      <c r="H56" s="22">
        <v>1</v>
      </c>
      <c r="I56" s="22">
        <v>19</v>
      </c>
      <c r="J56" s="22">
        <v>9</v>
      </c>
      <c r="K56" s="83">
        <v>28</v>
      </c>
    </row>
    <row r="57" spans="1:12">
      <c r="A57" s="75">
        <v>44200</v>
      </c>
      <c r="B57" s="46">
        <v>44220</v>
      </c>
      <c r="C57" s="84"/>
      <c r="D57" s="184" t="s">
        <v>162</v>
      </c>
      <c r="E57" s="22">
        <v>6</v>
      </c>
      <c r="F57" s="22">
        <v>1</v>
      </c>
      <c r="G57" s="22">
        <v>7</v>
      </c>
      <c r="H57" s="22">
        <v>1</v>
      </c>
      <c r="I57" s="22">
        <v>8</v>
      </c>
      <c r="J57" s="22">
        <v>0</v>
      </c>
      <c r="K57" s="83">
        <v>8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11</v>
      </c>
      <c r="K58" s="87">
        <v>50</v>
      </c>
      <c r="L58" s="94"/>
    </row>
    <row r="59" spans="1:12">
      <c r="A59" s="75">
        <v>20000</v>
      </c>
      <c r="B59" s="46">
        <v>20020</v>
      </c>
      <c r="C59" s="586" t="s">
        <v>625</v>
      </c>
      <c r="D59" s="184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184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>
        <v>0</v>
      </c>
      <c r="K60" s="83">
        <v>5</v>
      </c>
    </row>
    <row r="61" spans="1:12">
      <c r="A61" s="75">
        <v>22000</v>
      </c>
      <c r="B61" s="46">
        <v>22020</v>
      </c>
      <c r="C61" s="575"/>
      <c r="D61" s="184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184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8</v>
      </c>
      <c r="K62" s="83">
        <v>24</v>
      </c>
    </row>
    <row r="63" spans="1:12">
      <c r="A63" s="75">
        <v>60100</v>
      </c>
      <c r="B63" s="46">
        <v>60120</v>
      </c>
      <c r="C63" s="186" t="s">
        <v>626</v>
      </c>
      <c r="D63" s="184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>
        <v>0</v>
      </c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16</v>
      </c>
      <c r="F64" s="78">
        <v>9</v>
      </c>
      <c r="G64" s="78">
        <v>25</v>
      </c>
      <c r="H64" s="78">
        <v>0</v>
      </c>
      <c r="I64" s="78">
        <v>25</v>
      </c>
      <c r="J64" s="78">
        <v>2</v>
      </c>
      <c r="K64" s="87">
        <v>27</v>
      </c>
      <c r="L64" s="94"/>
    </row>
    <row r="65" spans="1:12">
      <c r="A65" s="76"/>
      <c r="B65" s="56"/>
      <c r="C65" s="586" t="s">
        <v>643</v>
      </c>
      <c r="D65" s="184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>
        <v>0</v>
      </c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184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184" t="s">
        <v>131</v>
      </c>
      <c r="E68" s="22">
        <v>2</v>
      </c>
      <c r="F68" s="22">
        <v>2</v>
      </c>
      <c r="G68" s="22">
        <v>4</v>
      </c>
      <c r="H68" s="22">
        <v>0</v>
      </c>
      <c r="I68" s="22">
        <v>4</v>
      </c>
      <c r="J68" s="22">
        <v>0</v>
      </c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>
        <v>0</v>
      </c>
      <c r="K69" s="83">
        <v>3</v>
      </c>
    </row>
    <row r="70" spans="1:12">
      <c r="A70" s="75">
        <v>61000</v>
      </c>
      <c r="B70" s="46">
        <v>61020</v>
      </c>
      <c r="C70" s="576"/>
      <c r="D70" s="184" t="s">
        <v>134</v>
      </c>
      <c r="E70" s="22">
        <v>4</v>
      </c>
      <c r="F70" s="22">
        <v>1</v>
      </c>
      <c r="G70" s="22">
        <v>5</v>
      </c>
      <c r="H70" s="22">
        <v>0</v>
      </c>
      <c r="I70" s="22">
        <v>5</v>
      </c>
      <c r="J70" s="22">
        <v>0</v>
      </c>
      <c r="K70" s="83">
        <v>5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59</v>
      </c>
    </row>
    <row r="72" spans="1:12">
      <c r="C72" s="584" t="s">
        <v>617</v>
      </c>
      <c r="D72" s="585"/>
      <c r="E72" s="78">
        <v>37</v>
      </c>
      <c r="F72" s="78">
        <v>4</v>
      </c>
      <c r="G72" s="78">
        <v>41</v>
      </c>
      <c r="H72" s="78">
        <v>12</v>
      </c>
      <c r="I72" s="78">
        <v>53</v>
      </c>
      <c r="J72" s="78">
        <v>6</v>
      </c>
      <c r="K72" s="87">
        <v>59</v>
      </c>
      <c r="L72" s="37"/>
    </row>
    <row r="73" spans="1:12">
      <c r="B73" s="56"/>
      <c r="C73" s="586" t="s">
        <v>643</v>
      </c>
      <c r="D73" s="184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184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>
        <v>0</v>
      </c>
      <c r="K74" s="83">
        <v>8</v>
      </c>
    </row>
    <row r="75" spans="1:12">
      <c r="C75" s="575"/>
      <c r="D75" s="184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184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184" t="s">
        <v>147</v>
      </c>
      <c r="E77" s="22">
        <v>9</v>
      </c>
      <c r="F77" s="22">
        <v>1</v>
      </c>
      <c r="G77" s="22">
        <v>10</v>
      </c>
      <c r="H77" s="22">
        <v>2</v>
      </c>
      <c r="I77" s="22">
        <v>12</v>
      </c>
      <c r="J77" s="22">
        <v>0</v>
      </c>
      <c r="K77" s="83">
        <v>12</v>
      </c>
    </row>
    <row r="78" spans="1:12">
      <c r="C78" s="576"/>
      <c r="D78" s="184" t="s">
        <v>158</v>
      </c>
      <c r="E78" s="22">
        <v>4</v>
      </c>
      <c r="F78" s="22">
        <v>1</v>
      </c>
      <c r="G78" s="22">
        <v>5</v>
      </c>
      <c r="H78" s="22">
        <v>6</v>
      </c>
      <c r="I78" s="22">
        <v>11</v>
      </c>
      <c r="J78" s="22">
        <v>2</v>
      </c>
      <c r="K78" s="83">
        <v>13</v>
      </c>
    </row>
    <row r="79" spans="1:12" ht="18.600000000000001" thickBot="1">
      <c r="C79" s="597" t="s">
        <v>642</v>
      </c>
      <c r="D79" s="598"/>
      <c r="E79" s="92">
        <v>399</v>
      </c>
      <c r="F79" s="92">
        <v>51</v>
      </c>
      <c r="G79" s="92">
        <v>450</v>
      </c>
      <c r="H79" s="92">
        <v>77</v>
      </c>
      <c r="I79" s="92">
        <v>527</v>
      </c>
      <c r="J79" s="92">
        <v>205</v>
      </c>
      <c r="K79" s="93">
        <v>732</v>
      </c>
      <c r="L79" s="94"/>
    </row>
    <row r="80" spans="1:12">
      <c r="C80" s="574"/>
      <c r="D80" s="572" t="s">
        <v>693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181" t="s">
        <v>69</v>
      </c>
      <c r="F82" s="181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183" t="s">
        <v>690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88"/>
  <sheetViews>
    <sheetView topLeftCell="A68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176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689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175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175"/>
      <c r="C5" s="576"/>
      <c r="D5" s="577"/>
      <c r="E5" s="177" t="s">
        <v>69</v>
      </c>
      <c r="F5" s="177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175">
        <v>202</v>
      </c>
      <c r="C6" s="179"/>
      <c r="D6" s="177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175">
        <v>211</v>
      </c>
      <c r="C7" s="179"/>
      <c r="D7" s="177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11</v>
      </c>
    </row>
    <row r="9" spans="1:11">
      <c r="A9" s="75">
        <v>11000</v>
      </c>
      <c r="B9" s="46">
        <v>11020</v>
      </c>
      <c r="C9" s="84"/>
      <c r="D9" s="177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>
        <v>0</v>
      </c>
      <c r="K9" s="83">
        <v>10</v>
      </c>
    </row>
    <row r="10" spans="1:11">
      <c r="A10" s="75">
        <v>90000</v>
      </c>
      <c r="B10" s="46">
        <v>90020</v>
      </c>
      <c r="C10" s="84"/>
      <c r="D10" s="177" t="s">
        <v>644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10</v>
      </c>
    </row>
    <row r="12" spans="1:11">
      <c r="A12" s="76">
        <v>1000</v>
      </c>
      <c r="B12" s="46">
        <v>1020</v>
      </c>
      <c r="C12" s="84"/>
      <c r="D12" s="177" t="s">
        <v>218</v>
      </c>
      <c r="E12" s="22">
        <v>8</v>
      </c>
      <c r="F12" s="22">
        <v>2</v>
      </c>
      <c r="G12" s="22">
        <v>10</v>
      </c>
      <c r="H12" s="22">
        <v>0</v>
      </c>
      <c r="I12" s="22">
        <v>10</v>
      </c>
      <c r="J12" s="22">
        <v>0</v>
      </c>
      <c r="K12" s="83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19</v>
      </c>
    </row>
    <row r="14" spans="1:11">
      <c r="A14" s="76"/>
      <c r="B14" s="56"/>
      <c r="C14" s="85"/>
      <c r="D14" s="177" t="s">
        <v>648</v>
      </c>
      <c r="E14" s="22">
        <v>1</v>
      </c>
      <c r="F14" s="22">
        <v>2</v>
      </c>
      <c r="G14" s="22">
        <v>3</v>
      </c>
      <c r="H14" s="22">
        <v>0</v>
      </c>
      <c r="I14" s="22">
        <v>3</v>
      </c>
      <c r="J14" s="22">
        <v>0</v>
      </c>
      <c r="K14" s="83">
        <v>3</v>
      </c>
    </row>
    <row r="15" spans="1:11">
      <c r="A15" s="75">
        <v>50000</v>
      </c>
      <c r="B15" s="46">
        <v>50020</v>
      </c>
      <c r="C15" s="85"/>
      <c r="D15" s="177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177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23</v>
      </c>
    </row>
    <row r="19" spans="1:15">
      <c r="A19" s="75">
        <v>80000</v>
      </c>
      <c r="B19" s="46">
        <v>80020</v>
      </c>
      <c r="C19" s="586" t="s">
        <v>643</v>
      </c>
      <c r="D19" s="177" t="s">
        <v>120</v>
      </c>
      <c r="E19" s="22">
        <v>3</v>
      </c>
      <c r="F19" s="22">
        <v>2</v>
      </c>
      <c r="G19" s="22">
        <v>5</v>
      </c>
      <c r="H19" s="22">
        <v>0</v>
      </c>
      <c r="I19" s="22">
        <v>5</v>
      </c>
      <c r="J19" s="22">
        <v>0</v>
      </c>
      <c r="K19" s="83">
        <v>5</v>
      </c>
    </row>
    <row r="20" spans="1:15">
      <c r="A20" s="75">
        <v>41111</v>
      </c>
      <c r="B20" s="46">
        <v>41121</v>
      </c>
      <c r="C20" s="576"/>
      <c r="D20" s="177" t="s">
        <v>124</v>
      </c>
      <c r="E20" s="22">
        <v>7</v>
      </c>
      <c r="F20" s="22">
        <v>0</v>
      </c>
      <c r="G20" s="22">
        <v>7</v>
      </c>
      <c r="H20" s="22">
        <v>0</v>
      </c>
      <c r="I20" s="22">
        <v>7</v>
      </c>
      <c r="J20" s="22">
        <v>0</v>
      </c>
      <c r="K20" s="83">
        <v>7</v>
      </c>
    </row>
    <row r="21" spans="1:15">
      <c r="A21" s="75">
        <v>43011</v>
      </c>
      <c r="B21" s="46">
        <v>43021</v>
      </c>
      <c r="C21" s="178" t="s">
        <v>647</v>
      </c>
      <c r="D21" s="177" t="s">
        <v>165</v>
      </c>
      <c r="E21" s="22">
        <v>6</v>
      </c>
      <c r="F21" s="22">
        <v>3</v>
      </c>
      <c r="G21" s="22">
        <v>9</v>
      </c>
      <c r="H21" s="22">
        <v>2</v>
      </c>
      <c r="I21" s="22">
        <v>11</v>
      </c>
      <c r="J21" s="22"/>
      <c r="K21" s="83">
        <v>11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54</v>
      </c>
    </row>
    <row r="23" spans="1:15">
      <c r="A23" s="75">
        <v>42111</v>
      </c>
      <c r="B23" s="46">
        <v>42121</v>
      </c>
      <c r="C23" s="84"/>
      <c r="D23" s="177" t="s">
        <v>172</v>
      </c>
      <c r="E23" s="22">
        <v>44</v>
      </c>
      <c r="F23" s="22">
        <v>3</v>
      </c>
      <c r="G23" s="22">
        <v>47</v>
      </c>
      <c r="H23" s="22">
        <v>7</v>
      </c>
      <c r="I23" s="22">
        <v>54</v>
      </c>
      <c r="J23" s="22"/>
      <c r="K23" s="83">
        <v>54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554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130</v>
      </c>
      <c r="F25" s="78">
        <v>8</v>
      </c>
      <c r="G25" s="78">
        <v>138</v>
      </c>
      <c r="H25" s="78">
        <v>23</v>
      </c>
      <c r="I25" s="78">
        <v>161</v>
      </c>
      <c r="J25" s="78">
        <v>77</v>
      </c>
      <c r="K25" s="87">
        <v>238</v>
      </c>
      <c r="L25" s="94"/>
    </row>
    <row r="26" spans="1:15">
      <c r="A26" s="75">
        <v>42011</v>
      </c>
      <c r="B26" s="46">
        <v>42021</v>
      </c>
      <c r="C26" s="586" t="s">
        <v>625</v>
      </c>
      <c r="D26" s="177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5</v>
      </c>
      <c r="K26" s="83">
        <v>17</v>
      </c>
    </row>
    <row r="27" spans="1:15">
      <c r="A27" s="75">
        <v>42311</v>
      </c>
      <c r="B27" s="46">
        <v>42321</v>
      </c>
      <c r="C27" s="575"/>
      <c r="D27" s="177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7</v>
      </c>
      <c r="K27" s="83">
        <v>22</v>
      </c>
    </row>
    <row r="28" spans="1:15">
      <c r="A28" s="75">
        <v>43211</v>
      </c>
      <c r="B28" s="46">
        <v>43221</v>
      </c>
      <c r="C28" s="576"/>
      <c r="D28" s="177" t="s">
        <v>258</v>
      </c>
      <c r="E28" s="22">
        <v>21</v>
      </c>
      <c r="F28" s="22">
        <v>0</v>
      </c>
      <c r="G28" s="22">
        <v>21</v>
      </c>
      <c r="H28" s="22">
        <v>4</v>
      </c>
      <c r="I28" s="22">
        <v>25</v>
      </c>
      <c r="J28" s="101">
        <v>15</v>
      </c>
      <c r="K28" s="83">
        <v>40</v>
      </c>
    </row>
    <row r="29" spans="1:15">
      <c r="A29" s="75">
        <v>43311</v>
      </c>
      <c r="B29" s="46">
        <v>43321</v>
      </c>
      <c r="C29" s="571" t="s">
        <v>626</v>
      </c>
      <c r="D29" s="177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/>
      <c r="K29" s="83">
        <v>11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177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>
        <v>10</v>
      </c>
      <c r="K30" s="83">
        <v>23</v>
      </c>
      <c r="L30" s="588"/>
      <c r="M30" s="589"/>
      <c r="N30" s="589"/>
      <c r="O30" s="589"/>
    </row>
    <row r="31" spans="1:15">
      <c r="A31" s="75"/>
      <c r="C31" s="571"/>
      <c r="D31" s="177"/>
      <c r="E31" s="22"/>
      <c r="F31" s="22"/>
      <c r="G31" s="22"/>
      <c r="H31" s="22"/>
      <c r="I31" s="22"/>
      <c r="J31" s="101"/>
      <c r="K31" s="83"/>
      <c r="L31" s="180"/>
      <c r="M31" s="180"/>
      <c r="N31" s="180"/>
      <c r="O31" s="180"/>
    </row>
    <row r="32" spans="1:15">
      <c r="A32" s="75">
        <v>40400</v>
      </c>
      <c r="B32" s="46">
        <v>40420</v>
      </c>
      <c r="C32" s="571"/>
      <c r="D32" s="177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177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11</v>
      </c>
      <c r="K33" s="83">
        <v>26</v>
      </c>
    </row>
    <row r="34" spans="1:14">
      <c r="A34" s="76"/>
      <c r="B34" s="56"/>
      <c r="C34" s="571"/>
      <c r="D34" s="177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7</v>
      </c>
      <c r="K34" s="83">
        <v>14</v>
      </c>
    </row>
    <row r="35" spans="1:14">
      <c r="A35" s="75">
        <v>67211</v>
      </c>
      <c r="B35" s="46">
        <v>67221</v>
      </c>
      <c r="C35" s="571" t="s">
        <v>627</v>
      </c>
      <c r="D35" s="177" t="s">
        <v>364</v>
      </c>
      <c r="E35" s="22">
        <v>12</v>
      </c>
      <c r="F35" s="22">
        <v>6</v>
      </c>
      <c r="G35" s="22">
        <v>18</v>
      </c>
      <c r="H35" s="22">
        <v>3</v>
      </c>
      <c r="I35" s="22">
        <v>21</v>
      </c>
      <c r="J35" s="101">
        <v>15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1"/>
      <c r="D36" s="177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0</v>
      </c>
      <c r="K36" s="83">
        <v>5</v>
      </c>
    </row>
    <row r="37" spans="1:14">
      <c r="A37" s="75">
        <v>69211</v>
      </c>
      <c r="B37" s="46">
        <v>69221</v>
      </c>
      <c r="C37" s="571"/>
      <c r="D37" s="177" t="s">
        <v>103</v>
      </c>
      <c r="E37" s="22">
        <v>7</v>
      </c>
      <c r="F37" s="22">
        <v>0</v>
      </c>
      <c r="G37" s="22">
        <v>7</v>
      </c>
      <c r="H37" s="22">
        <v>5</v>
      </c>
      <c r="I37" s="22">
        <v>12</v>
      </c>
      <c r="J37" s="101">
        <v>3</v>
      </c>
      <c r="K37" s="83">
        <v>15</v>
      </c>
    </row>
    <row r="38" spans="1:14">
      <c r="A38" s="75">
        <v>69111</v>
      </c>
      <c r="B38" s="46">
        <v>69121</v>
      </c>
      <c r="C38" s="571"/>
      <c r="D38" s="177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/>
      <c r="K38" s="83">
        <v>4</v>
      </c>
    </row>
    <row r="39" spans="1:14">
      <c r="A39" s="75">
        <v>64011</v>
      </c>
      <c r="B39" s="46">
        <v>64021</v>
      </c>
      <c r="C39" s="84"/>
      <c r="D39" s="177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>
        <v>0</v>
      </c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103</v>
      </c>
      <c r="F40" s="78">
        <v>10</v>
      </c>
      <c r="G40" s="78">
        <v>113</v>
      </c>
      <c r="H40" s="78">
        <v>25</v>
      </c>
      <c r="I40" s="78">
        <v>138</v>
      </c>
      <c r="J40" s="78">
        <v>101</v>
      </c>
      <c r="K40" s="87">
        <v>239</v>
      </c>
    </row>
    <row r="41" spans="1:14">
      <c r="A41" s="75">
        <v>64211</v>
      </c>
      <c r="B41" s="46">
        <v>64221</v>
      </c>
      <c r="C41" s="586" t="s">
        <v>625</v>
      </c>
      <c r="D41" s="177" t="s">
        <v>476</v>
      </c>
      <c r="E41" s="22">
        <v>6</v>
      </c>
      <c r="F41" s="22">
        <v>0</v>
      </c>
      <c r="G41" s="22">
        <v>6</v>
      </c>
      <c r="H41" s="22">
        <v>2</v>
      </c>
      <c r="I41" s="22">
        <v>8</v>
      </c>
      <c r="J41" s="22">
        <v>3</v>
      </c>
      <c r="K41" s="83">
        <v>11</v>
      </c>
    </row>
    <row r="42" spans="1:14">
      <c r="A42" s="75">
        <v>67011</v>
      </c>
      <c r="B42" s="46">
        <v>67021</v>
      </c>
      <c r="C42" s="575"/>
      <c r="D42" s="177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9</v>
      </c>
      <c r="K42" s="83">
        <v>12</v>
      </c>
    </row>
    <row r="43" spans="1:14">
      <c r="A43" s="75">
        <v>68111</v>
      </c>
      <c r="B43" s="46">
        <v>68121</v>
      </c>
      <c r="C43" s="575"/>
      <c r="D43" s="177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/>
      <c r="K43" s="83">
        <v>7</v>
      </c>
    </row>
    <row r="44" spans="1:14">
      <c r="A44" s="75">
        <v>64311</v>
      </c>
      <c r="B44" s="46">
        <v>64321</v>
      </c>
      <c r="C44" s="576"/>
      <c r="D44" s="177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1</v>
      </c>
      <c r="K44" s="83">
        <v>2</v>
      </c>
    </row>
    <row r="45" spans="1:14">
      <c r="A45" s="75">
        <v>69011</v>
      </c>
      <c r="B45" s="46">
        <v>69021</v>
      </c>
      <c r="C45" s="571" t="s">
        <v>626</v>
      </c>
      <c r="D45" s="177" t="s">
        <v>416</v>
      </c>
      <c r="E45" s="22">
        <v>5</v>
      </c>
      <c r="F45" s="22">
        <v>0</v>
      </c>
      <c r="G45" s="22">
        <v>5</v>
      </c>
      <c r="H45" s="22">
        <v>2</v>
      </c>
      <c r="I45" s="22">
        <v>7</v>
      </c>
      <c r="J45" s="22">
        <v>4</v>
      </c>
      <c r="K45" s="83">
        <v>11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177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/>
      <c r="K46" s="83">
        <v>6</v>
      </c>
      <c r="L46" s="588"/>
      <c r="M46" s="570"/>
      <c r="N46" s="570"/>
    </row>
    <row r="47" spans="1:14">
      <c r="A47" s="75"/>
      <c r="C47" s="571"/>
      <c r="D47" s="177" t="s">
        <v>657</v>
      </c>
      <c r="E47" s="22"/>
      <c r="F47" s="22"/>
      <c r="G47" s="22"/>
      <c r="H47" s="22"/>
      <c r="I47" s="22"/>
      <c r="J47" s="22"/>
      <c r="K47" s="83"/>
    </row>
    <row r="48" spans="1:14">
      <c r="A48" s="75">
        <v>60411</v>
      </c>
      <c r="B48" s="46">
        <v>60421</v>
      </c>
      <c r="C48" s="571"/>
      <c r="D48" s="177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/>
      <c r="K48" s="83">
        <v>2</v>
      </c>
    </row>
    <row r="49" spans="1:12">
      <c r="A49" s="75">
        <v>65011</v>
      </c>
      <c r="B49" s="46">
        <v>65021</v>
      </c>
      <c r="C49" s="571"/>
      <c r="D49" s="177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1</v>
      </c>
      <c r="K49" s="83">
        <v>11</v>
      </c>
    </row>
    <row r="50" spans="1:12">
      <c r="A50" s="75">
        <v>66011</v>
      </c>
      <c r="B50" s="46">
        <v>66021</v>
      </c>
      <c r="C50" s="571"/>
      <c r="D50" s="177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1"/>
      <c r="D51" s="177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4</v>
      </c>
      <c r="K51" s="83">
        <v>5</v>
      </c>
    </row>
    <row r="52" spans="1:12">
      <c r="A52" s="76"/>
      <c r="B52" s="56"/>
      <c r="C52" s="571" t="s">
        <v>627</v>
      </c>
      <c r="D52" s="177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24</v>
      </c>
      <c r="K52" s="83">
        <v>45</v>
      </c>
    </row>
    <row r="53" spans="1:12">
      <c r="A53" s="75">
        <v>44011</v>
      </c>
      <c r="B53" s="46">
        <v>44021</v>
      </c>
      <c r="C53" s="571"/>
      <c r="D53" s="177" t="s">
        <v>138</v>
      </c>
      <c r="E53" s="22">
        <v>9</v>
      </c>
      <c r="F53" s="22">
        <v>0</v>
      </c>
      <c r="G53" s="22">
        <v>9</v>
      </c>
      <c r="H53" s="22">
        <v>3</v>
      </c>
      <c r="I53" s="22">
        <v>12</v>
      </c>
      <c r="J53" s="22">
        <v>8</v>
      </c>
      <c r="K53" s="83">
        <v>20</v>
      </c>
    </row>
    <row r="54" spans="1:12">
      <c r="A54" s="75">
        <v>44111</v>
      </c>
      <c r="B54" s="46">
        <v>44121</v>
      </c>
      <c r="C54" s="571"/>
      <c r="D54" s="177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71" t="s">
        <v>628</v>
      </c>
      <c r="D55" s="177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37</v>
      </c>
      <c r="K55" s="83">
        <v>58</v>
      </c>
    </row>
    <row r="56" spans="1:12">
      <c r="A56" s="75">
        <v>45111</v>
      </c>
      <c r="B56" s="46">
        <v>45121</v>
      </c>
      <c r="C56" s="571"/>
      <c r="D56" s="177" t="s">
        <v>449</v>
      </c>
      <c r="E56" s="22">
        <v>15</v>
      </c>
      <c r="F56" s="22">
        <v>3</v>
      </c>
      <c r="G56" s="22">
        <v>18</v>
      </c>
      <c r="H56" s="22">
        <v>2</v>
      </c>
      <c r="I56" s="22">
        <v>20</v>
      </c>
      <c r="J56" s="22">
        <v>8</v>
      </c>
      <c r="K56" s="83">
        <v>28</v>
      </c>
    </row>
    <row r="57" spans="1:12">
      <c r="A57" s="75">
        <v>44200</v>
      </c>
      <c r="B57" s="46">
        <v>44220</v>
      </c>
      <c r="C57" s="84"/>
      <c r="D57" s="177" t="s">
        <v>162</v>
      </c>
      <c r="E57" s="22">
        <v>6</v>
      </c>
      <c r="F57" s="22">
        <v>1</v>
      </c>
      <c r="G57" s="22">
        <v>7</v>
      </c>
      <c r="H57" s="22">
        <v>1</v>
      </c>
      <c r="I57" s="22">
        <v>8</v>
      </c>
      <c r="J57" s="22"/>
      <c r="K57" s="83">
        <v>8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11</v>
      </c>
      <c r="K58" s="87">
        <v>50</v>
      </c>
      <c r="L58" s="94"/>
    </row>
    <row r="59" spans="1:12">
      <c r="A59" s="75">
        <v>20000</v>
      </c>
      <c r="B59" s="46">
        <v>20020</v>
      </c>
      <c r="C59" s="586" t="s">
        <v>625</v>
      </c>
      <c r="D59" s="177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177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>
        <v>0</v>
      </c>
      <c r="K60" s="83">
        <v>5</v>
      </c>
    </row>
    <row r="61" spans="1:12">
      <c r="A61" s="75">
        <v>22000</v>
      </c>
      <c r="B61" s="46">
        <v>22020</v>
      </c>
      <c r="C61" s="575"/>
      <c r="D61" s="177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177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8</v>
      </c>
      <c r="K62" s="83">
        <v>24</v>
      </c>
    </row>
    <row r="63" spans="1:12">
      <c r="A63" s="75">
        <v>60100</v>
      </c>
      <c r="B63" s="46">
        <v>60120</v>
      </c>
      <c r="C63" s="179" t="s">
        <v>626</v>
      </c>
      <c r="D63" s="177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>
        <v>0</v>
      </c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16</v>
      </c>
      <c r="F64" s="78">
        <v>9</v>
      </c>
      <c r="G64" s="78">
        <v>25</v>
      </c>
      <c r="H64" s="78">
        <v>0</v>
      </c>
      <c r="I64" s="78">
        <v>25</v>
      </c>
      <c r="J64" s="78">
        <v>2</v>
      </c>
      <c r="K64" s="87">
        <v>27</v>
      </c>
      <c r="L64" s="94"/>
    </row>
    <row r="65" spans="1:12">
      <c r="A65" s="76"/>
      <c r="B65" s="56"/>
      <c r="C65" s="586" t="s">
        <v>643</v>
      </c>
      <c r="D65" s="177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/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177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177" t="s">
        <v>131</v>
      </c>
      <c r="E68" s="22">
        <v>2</v>
      </c>
      <c r="F68" s="22">
        <v>2</v>
      </c>
      <c r="G68" s="22">
        <v>4</v>
      </c>
      <c r="H68" s="22">
        <v>0</v>
      </c>
      <c r="I68" s="22">
        <v>4</v>
      </c>
      <c r="J68" s="22"/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/>
      <c r="K69" s="83">
        <v>3</v>
      </c>
    </row>
    <row r="70" spans="1:12">
      <c r="A70" s="75">
        <v>61000</v>
      </c>
      <c r="B70" s="46">
        <v>61020</v>
      </c>
      <c r="C70" s="576"/>
      <c r="D70" s="177" t="s">
        <v>134</v>
      </c>
      <c r="E70" s="22">
        <v>4</v>
      </c>
      <c r="F70" s="22">
        <v>1</v>
      </c>
      <c r="G70" s="22">
        <v>5</v>
      </c>
      <c r="H70" s="22">
        <v>0</v>
      </c>
      <c r="I70" s="22">
        <v>5</v>
      </c>
      <c r="J70" s="22"/>
      <c r="K70" s="83">
        <v>5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59</v>
      </c>
    </row>
    <row r="72" spans="1:12">
      <c r="C72" s="584" t="s">
        <v>617</v>
      </c>
      <c r="D72" s="585"/>
      <c r="E72" s="78">
        <v>37</v>
      </c>
      <c r="F72" s="78">
        <v>4</v>
      </c>
      <c r="G72" s="78">
        <v>41</v>
      </c>
      <c r="H72" s="78">
        <v>12</v>
      </c>
      <c r="I72" s="78">
        <v>53</v>
      </c>
      <c r="J72" s="78">
        <v>6</v>
      </c>
      <c r="K72" s="87">
        <v>59</v>
      </c>
      <c r="L72" s="37"/>
    </row>
    <row r="73" spans="1:12">
      <c r="B73" s="56"/>
      <c r="C73" s="586" t="s">
        <v>643</v>
      </c>
      <c r="D73" s="177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177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/>
      <c r="K74" s="83">
        <v>8</v>
      </c>
    </row>
    <row r="75" spans="1:12">
      <c r="C75" s="575"/>
      <c r="D75" s="177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/>
      <c r="K75" s="83">
        <v>2</v>
      </c>
    </row>
    <row r="76" spans="1:12">
      <c r="C76" s="576"/>
      <c r="D76" s="177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177" t="s">
        <v>147</v>
      </c>
      <c r="E77" s="22">
        <v>9</v>
      </c>
      <c r="F77" s="22">
        <v>1</v>
      </c>
      <c r="G77" s="22">
        <v>10</v>
      </c>
      <c r="H77" s="22">
        <v>2</v>
      </c>
      <c r="I77" s="22">
        <v>12</v>
      </c>
      <c r="J77" s="22"/>
      <c r="K77" s="83">
        <v>12</v>
      </c>
    </row>
    <row r="78" spans="1:12">
      <c r="C78" s="576"/>
      <c r="D78" s="177" t="s">
        <v>158</v>
      </c>
      <c r="E78" s="22">
        <v>4</v>
      </c>
      <c r="F78" s="22">
        <v>1</v>
      </c>
      <c r="G78" s="22">
        <v>5</v>
      </c>
      <c r="H78" s="22">
        <v>6</v>
      </c>
      <c r="I78" s="22">
        <v>11</v>
      </c>
      <c r="J78" s="22">
        <v>2</v>
      </c>
      <c r="K78" s="83">
        <v>13</v>
      </c>
    </row>
    <row r="79" spans="1:12" ht="18.600000000000001" thickBot="1">
      <c r="C79" s="597" t="s">
        <v>642</v>
      </c>
      <c r="D79" s="598"/>
      <c r="E79" s="92">
        <v>400</v>
      </c>
      <c r="F79" s="92">
        <v>51</v>
      </c>
      <c r="G79" s="92">
        <v>451</v>
      </c>
      <c r="H79" s="92">
        <v>78</v>
      </c>
      <c r="I79" s="92">
        <v>529</v>
      </c>
      <c r="J79" s="92">
        <v>201</v>
      </c>
      <c r="K79" s="93">
        <v>730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174" t="s">
        <v>69</v>
      </c>
      <c r="F82" s="174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176" t="s">
        <v>686</v>
      </c>
    </row>
    <row r="87" spans="3:12">
      <c r="D87" s="176" t="s">
        <v>688</v>
      </c>
    </row>
    <row r="88" spans="3:12">
      <c r="D88" s="176" t="s">
        <v>687</v>
      </c>
    </row>
  </sheetData>
  <mergeCells count="48"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  <mergeCell ref="C22:J22"/>
    <mergeCell ref="C24:J24"/>
    <mergeCell ref="C25:D25"/>
    <mergeCell ref="C26:C28"/>
    <mergeCell ref="C29:C34"/>
    <mergeCell ref="C8:J8"/>
    <mergeCell ref="C11:J11"/>
    <mergeCell ref="C13:J13"/>
    <mergeCell ref="C18:J18"/>
    <mergeCell ref="C19:C20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88"/>
  <sheetViews>
    <sheetView topLeftCell="A2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169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574"/>
      <c r="D3" s="572" t="s">
        <v>685</v>
      </c>
      <c r="E3" s="572"/>
      <c r="F3" s="572"/>
      <c r="G3" s="572"/>
      <c r="H3" s="572"/>
      <c r="I3" s="572"/>
      <c r="J3" s="572"/>
      <c r="K3" s="573"/>
    </row>
    <row r="4" spans="1:11">
      <c r="A4" s="569" t="s">
        <v>610</v>
      </c>
      <c r="B4" s="168"/>
      <c r="C4" s="575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>
      <c r="A5" s="569"/>
      <c r="B5" s="168"/>
      <c r="C5" s="576"/>
      <c r="D5" s="577"/>
      <c r="E5" s="170" t="s">
        <v>69</v>
      </c>
      <c r="F5" s="170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168">
        <v>202</v>
      </c>
      <c r="C6" s="171"/>
      <c r="D6" s="170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168">
        <v>211</v>
      </c>
      <c r="C7" s="171"/>
      <c r="D7" s="170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11</v>
      </c>
    </row>
    <row r="9" spans="1:11">
      <c r="A9" s="75">
        <v>11000</v>
      </c>
      <c r="B9" s="46">
        <v>11020</v>
      </c>
      <c r="C9" s="84"/>
      <c r="D9" s="170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>
        <v>0</v>
      </c>
      <c r="K9" s="83">
        <v>10</v>
      </c>
    </row>
    <row r="10" spans="1:11">
      <c r="A10" s="75">
        <v>90000</v>
      </c>
      <c r="B10" s="46">
        <v>90020</v>
      </c>
      <c r="C10" s="84"/>
      <c r="D10" s="170" t="s">
        <v>644</v>
      </c>
      <c r="E10" s="101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11</v>
      </c>
    </row>
    <row r="12" spans="1:11">
      <c r="A12" s="76">
        <v>1000</v>
      </c>
      <c r="B12" s="46">
        <v>1020</v>
      </c>
      <c r="C12" s="84"/>
      <c r="D12" s="170" t="s">
        <v>218</v>
      </c>
      <c r="E12" s="22">
        <v>9</v>
      </c>
      <c r="F12" s="22">
        <v>2</v>
      </c>
      <c r="G12" s="22">
        <v>11</v>
      </c>
      <c r="H12" s="22">
        <v>0</v>
      </c>
      <c r="I12" s="22">
        <v>11</v>
      </c>
      <c r="J12" s="22">
        <v>0</v>
      </c>
      <c r="K12" s="83">
        <v>11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19</v>
      </c>
    </row>
    <row r="14" spans="1:11">
      <c r="A14" s="76"/>
      <c r="B14" s="56"/>
      <c r="C14" s="85"/>
      <c r="D14" s="170" t="s">
        <v>648</v>
      </c>
      <c r="E14" s="22">
        <v>1</v>
      </c>
      <c r="F14" s="22">
        <v>2</v>
      </c>
      <c r="G14" s="22">
        <v>3</v>
      </c>
      <c r="H14" s="22">
        <v>0</v>
      </c>
      <c r="I14" s="22">
        <v>3</v>
      </c>
      <c r="J14" s="22">
        <v>0</v>
      </c>
      <c r="K14" s="83">
        <v>3</v>
      </c>
    </row>
    <row r="15" spans="1:11">
      <c r="A15" s="75">
        <v>50000</v>
      </c>
      <c r="B15" s="46">
        <v>50020</v>
      </c>
      <c r="C15" s="85"/>
      <c r="D15" s="170" t="s">
        <v>17</v>
      </c>
      <c r="E15" s="22">
        <v>4</v>
      </c>
      <c r="F15" s="22">
        <v>2</v>
      </c>
      <c r="G15" s="22">
        <v>6</v>
      </c>
      <c r="H15" s="22">
        <v>3</v>
      </c>
      <c r="I15" s="22">
        <v>9</v>
      </c>
      <c r="J15" s="22">
        <v>4</v>
      </c>
      <c r="K15" s="83">
        <v>13</v>
      </c>
    </row>
    <row r="16" spans="1:11">
      <c r="A16" s="75">
        <v>51000</v>
      </c>
      <c r="B16" s="46">
        <v>51020</v>
      </c>
      <c r="C16" s="85"/>
      <c r="D16" s="170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3</v>
      </c>
      <c r="G17" s="78">
        <v>9</v>
      </c>
      <c r="H17" s="78">
        <v>3</v>
      </c>
      <c r="I17" s="78">
        <v>12</v>
      </c>
      <c r="J17" s="78">
        <v>4</v>
      </c>
      <c r="K17" s="87">
        <v>16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23</v>
      </c>
    </row>
    <row r="19" spans="1:15">
      <c r="A19" s="75">
        <v>80000</v>
      </c>
      <c r="B19" s="46">
        <v>80020</v>
      </c>
      <c r="C19" s="586" t="s">
        <v>643</v>
      </c>
      <c r="D19" s="170" t="s">
        <v>120</v>
      </c>
      <c r="E19" s="22">
        <v>3</v>
      </c>
      <c r="F19" s="22">
        <v>2</v>
      </c>
      <c r="G19" s="22">
        <v>5</v>
      </c>
      <c r="H19" s="22">
        <v>0</v>
      </c>
      <c r="I19" s="22">
        <v>5</v>
      </c>
      <c r="J19" s="22">
        <v>0</v>
      </c>
      <c r="K19" s="83">
        <v>5</v>
      </c>
    </row>
    <row r="20" spans="1:15">
      <c r="A20" s="75">
        <v>41111</v>
      </c>
      <c r="B20" s="46">
        <v>41121</v>
      </c>
      <c r="C20" s="576"/>
      <c r="D20" s="170" t="s">
        <v>124</v>
      </c>
      <c r="E20" s="22">
        <v>6</v>
      </c>
      <c r="F20" s="22">
        <v>0</v>
      </c>
      <c r="G20" s="22">
        <v>6</v>
      </c>
      <c r="H20" s="22">
        <v>0</v>
      </c>
      <c r="I20" s="22">
        <v>6</v>
      </c>
      <c r="J20" s="22">
        <v>0</v>
      </c>
      <c r="K20" s="83">
        <v>6</v>
      </c>
    </row>
    <row r="21" spans="1:15">
      <c r="A21" s="75">
        <v>43011</v>
      </c>
      <c r="B21" s="46">
        <v>43021</v>
      </c>
      <c r="C21" s="173" t="s">
        <v>647</v>
      </c>
      <c r="D21" s="170" t="s">
        <v>165</v>
      </c>
      <c r="E21" s="22">
        <v>7</v>
      </c>
      <c r="F21" s="22">
        <v>3</v>
      </c>
      <c r="G21" s="22">
        <v>10</v>
      </c>
      <c r="H21" s="22">
        <v>2</v>
      </c>
      <c r="I21" s="22">
        <v>12</v>
      </c>
      <c r="J21" s="22"/>
      <c r="K21" s="83">
        <v>12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54</v>
      </c>
    </row>
    <row r="23" spans="1:15">
      <c r="A23" s="75">
        <v>42111</v>
      </c>
      <c r="B23" s="46">
        <v>42121</v>
      </c>
      <c r="C23" s="84"/>
      <c r="D23" s="170" t="s">
        <v>172</v>
      </c>
      <c r="E23" s="22">
        <v>44</v>
      </c>
      <c r="F23" s="22">
        <v>3</v>
      </c>
      <c r="G23" s="22">
        <v>47</v>
      </c>
      <c r="H23" s="22">
        <v>7</v>
      </c>
      <c r="I23" s="22">
        <v>54</v>
      </c>
      <c r="J23" s="22"/>
      <c r="K23" s="83">
        <v>54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561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130</v>
      </c>
      <c r="F25" s="78">
        <v>8</v>
      </c>
      <c r="G25" s="78">
        <v>138</v>
      </c>
      <c r="H25" s="78">
        <v>23</v>
      </c>
      <c r="I25" s="78">
        <v>161</v>
      </c>
      <c r="J25" s="78">
        <v>82</v>
      </c>
      <c r="K25" s="87">
        <v>243</v>
      </c>
      <c r="L25" s="94"/>
    </row>
    <row r="26" spans="1:15">
      <c r="A26" s="75">
        <v>42011</v>
      </c>
      <c r="B26" s="46">
        <v>42021</v>
      </c>
      <c r="C26" s="586" t="s">
        <v>625</v>
      </c>
      <c r="D26" s="170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5</v>
      </c>
      <c r="K26" s="83">
        <v>17</v>
      </c>
    </row>
    <row r="27" spans="1:15">
      <c r="A27" s="75">
        <v>42311</v>
      </c>
      <c r="B27" s="46">
        <v>42321</v>
      </c>
      <c r="C27" s="575"/>
      <c r="D27" s="170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7</v>
      </c>
      <c r="K27" s="83">
        <v>22</v>
      </c>
    </row>
    <row r="28" spans="1:15">
      <c r="A28" s="75">
        <v>43211</v>
      </c>
      <c r="B28" s="46">
        <v>43221</v>
      </c>
      <c r="C28" s="576"/>
      <c r="D28" s="170" t="s">
        <v>258</v>
      </c>
      <c r="E28" s="22">
        <v>21</v>
      </c>
      <c r="F28" s="22">
        <v>0</v>
      </c>
      <c r="G28" s="22">
        <v>21</v>
      </c>
      <c r="H28" s="22">
        <v>4</v>
      </c>
      <c r="I28" s="22">
        <v>25</v>
      </c>
      <c r="J28" s="101">
        <v>18</v>
      </c>
      <c r="K28" s="83">
        <v>43</v>
      </c>
    </row>
    <row r="29" spans="1:15">
      <c r="A29" s="75">
        <v>43311</v>
      </c>
      <c r="B29" s="46">
        <v>43321</v>
      </c>
      <c r="C29" s="571" t="s">
        <v>626</v>
      </c>
      <c r="D29" s="170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>
        <v>10</v>
      </c>
      <c r="K29" s="83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1"/>
      <c r="D30" s="170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/>
      <c r="K30" s="83">
        <v>13</v>
      </c>
      <c r="L30" s="588"/>
      <c r="M30" s="589"/>
      <c r="N30" s="589"/>
      <c r="O30" s="589"/>
    </row>
    <row r="31" spans="1:15">
      <c r="A31" s="75"/>
      <c r="C31" s="571"/>
      <c r="D31" s="170"/>
      <c r="E31" s="22"/>
      <c r="F31" s="22"/>
      <c r="G31" s="22"/>
      <c r="H31" s="22"/>
      <c r="I31" s="22"/>
      <c r="J31" s="101"/>
      <c r="K31" s="83"/>
      <c r="L31" s="172"/>
      <c r="M31" s="172"/>
      <c r="N31" s="172"/>
      <c r="O31" s="172"/>
    </row>
    <row r="32" spans="1:15">
      <c r="A32" s="75">
        <v>40400</v>
      </c>
      <c r="B32" s="46">
        <v>40420</v>
      </c>
      <c r="C32" s="571"/>
      <c r="D32" s="170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170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12</v>
      </c>
      <c r="K33" s="83">
        <v>27</v>
      </c>
    </row>
    <row r="34" spans="1:14">
      <c r="A34" s="76"/>
      <c r="B34" s="56"/>
      <c r="C34" s="571"/>
      <c r="D34" s="170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6</v>
      </c>
      <c r="K34" s="83">
        <v>13</v>
      </c>
    </row>
    <row r="35" spans="1:14">
      <c r="A35" s="75">
        <v>67211</v>
      </c>
      <c r="B35" s="46">
        <v>67221</v>
      </c>
      <c r="C35" s="571" t="s">
        <v>627</v>
      </c>
      <c r="D35" s="170" t="s">
        <v>364</v>
      </c>
      <c r="E35" s="22">
        <v>12</v>
      </c>
      <c r="F35" s="22">
        <v>6</v>
      </c>
      <c r="G35" s="22">
        <v>18</v>
      </c>
      <c r="H35" s="22">
        <v>3</v>
      </c>
      <c r="I35" s="22">
        <v>21</v>
      </c>
      <c r="J35" s="101">
        <v>15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1"/>
      <c r="D36" s="170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1</v>
      </c>
      <c r="K36" s="83">
        <v>6</v>
      </c>
    </row>
    <row r="37" spans="1:14">
      <c r="A37" s="75">
        <v>69211</v>
      </c>
      <c r="B37" s="46">
        <v>69221</v>
      </c>
      <c r="C37" s="571"/>
      <c r="D37" s="170" t="s">
        <v>103</v>
      </c>
      <c r="E37" s="22">
        <v>7</v>
      </c>
      <c r="F37" s="22">
        <v>0</v>
      </c>
      <c r="G37" s="22">
        <v>7</v>
      </c>
      <c r="H37" s="22">
        <v>5</v>
      </c>
      <c r="I37" s="22">
        <v>12</v>
      </c>
      <c r="J37" s="101">
        <v>4</v>
      </c>
      <c r="K37" s="83">
        <v>16</v>
      </c>
    </row>
    <row r="38" spans="1:14">
      <c r="A38" s="75">
        <v>69111</v>
      </c>
      <c r="B38" s="46">
        <v>69121</v>
      </c>
      <c r="C38" s="571"/>
      <c r="D38" s="170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0</v>
      </c>
      <c r="K38" s="83">
        <v>4</v>
      </c>
    </row>
    <row r="39" spans="1:14">
      <c r="A39" s="75">
        <v>64011</v>
      </c>
      <c r="B39" s="46">
        <v>64021</v>
      </c>
      <c r="C39" s="84"/>
      <c r="D39" s="170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>
        <v>0</v>
      </c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102</v>
      </c>
      <c r="F40" s="78">
        <v>10</v>
      </c>
      <c r="G40" s="78">
        <v>112</v>
      </c>
      <c r="H40" s="78">
        <v>25</v>
      </c>
      <c r="I40" s="78">
        <v>137</v>
      </c>
      <c r="J40" s="78">
        <v>104</v>
      </c>
      <c r="K40" s="87">
        <v>241</v>
      </c>
    </row>
    <row r="41" spans="1:14">
      <c r="A41" s="75">
        <v>64211</v>
      </c>
      <c r="B41" s="46">
        <v>64221</v>
      </c>
      <c r="C41" s="586" t="s">
        <v>625</v>
      </c>
      <c r="D41" s="170" t="s">
        <v>476</v>
      </c>
      <c r="E41" s="22">
        <v>6</v>
      </c>
      <c r="F41" s="22">
        <v>0</v>
      </c>
      <c r="G41" s="22">
        <v>6</v>
      </c>
      <c r="H41" s="22">
        <v>2</v>
      </c>
      <c r="I41" s="22">
        <v>8</v>
      </c>
      <c r="J41" s="22">
        <v>3</v>
      </c>
      <c r="K41" s="83">
        <v>11</v>
      </c>
    </row>
    <row r="42" spans="1:14">
      <c r="A42" s="75">
        <v>67011</v>
      </c>
      <c r="B42" s="46">
        <v>67021</v>
      </c>
      <c r="C42" s="575"/>
      <c r="D42" s="170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6</v>
      </c>
      <c r="K42" s="83">
        <v>9</v>
      </c>
    </row>
    <row r="43" spans="1:14">
      <c r="A43" s="75">
        <v>68111</v>
      </c>
      <c r="B43" s="46">
        <v>68121</v>
      </c>
      <c r="C43" s="575"/>
      <c r="D43" s="170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/>
      <c r="K43" s="83">
        <v>7</v>
      </c>
    </row>
    <row r="44" spans="1:14">
      <c r="A44" s="75">
        <v>64311</v>
      </c>
      <c r="B44" s="46">
        <v>64321</v>
      </c>
      <c r="C44" s="576"/>
      <c r="D44" s="170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2</v>
      </c>
      <c r="K44" s="83">
        <v>3</v>
      </c>
    </row>
    <row r="45" spans="1:14">
      <c r="A45" s="75">
        <v>69011</v>
      </c>
      <c r="B45" s="46">
        <v>69021</v>
      </c>
      <c r="C45" s="571" t="s">
        <v>626</v>
      </c>
      <c r="D45" s="170" t="s">
        <v>416</v>
      </c>
      <c r="E45" s="22">
        <v>5</v>
      </c>
      <c r="F45" s="22">
        <v>0</v>
      </c>
      <c r="G45" s="22">
        <v>5</v>
      </c>
      <c r="H45" s="22">
        <v>2</v>
      </c>
      <c r="I45" s="22">
        <v>7</v>
      </c>
      <c r="J45" s="22">
        <v>4</v>
      </c>
      <c r="K45" s="83">
        <v>11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1"/>
      <c r="D46" s="170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/>
      <c r="K46" s="83">
        <v>6</v>
      </c>
      <c r="L46" s="588"/>
      <c r="M46" s="570"/>
      <c r="N46" s="570"/>
    </row>
    <row r="47" spans="1:14">
      <c r="A47" s="75"/>
      <c r="C47" s="571"/>
      <c r="D47" s="170" t="s">
        <v>657</v>
      </c>
      <c r="E47" s="22"/>
      <c r="F47" s="22"/>
      <c r="G47" s="22"/>
      <c r="H47" s="22"/>
      <c r="I47" s="22"/>
      <c r="J47" s="22"/>
      <c r="K47" s="83"/>
    </row>
    <row r="48" spans="1:14">
      <c r="A48" s="75">
        <v>60411</v>
      </c>
      <c r="B48" s="46">
        <v>60421</v>
      </c>
      <c r="C48" s="571"/>
      <c r="D48" s="170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/>
      <c r="K48" s="83">
        <v>2</v>
      </c>
    </row>
    <row r="49" spans="1:12">
      <c r="A49" s="75">
        <v>65011</v>
      </c>
      <c r="B49" s="46">
        <v>65021</v>
      </c>
      <c r="C49" s="571"/>
      <c r="D49" s="170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1</v>
      </c>
      <c r="K49" s="83">
        <v>11</v>
      </c>
    </row>
    <row r="50" spans="1:12">
      <c r="A50" s="75">
        <v>66011</v>
      </c>
      <c r="B50" s="46">
        <v>66021</v>
      </c>
      <c r="C50" s="571"/>
      <c r="D50" s="170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1"/>
      <c r="D51" s="170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4</v>
      </c>
      <c r="K51" s="83">
        <v>5</v>
      </c>
    </row>
    <row r="52" spans="1:12">
      <c r="A52" s="76"/>
      <c r="B52" s="56"/>
      <c r="C52" s="571" t="s">
        <v>627</v>
      </c>
      <c r="D52" s="170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25</v>
      </c>
      <c r="K52" s="83">
        <v>46</v>
      </c>
    </row>
    <row r="53" spans="1:12">
      <c r="A53" s="75">
        <v>44011</v>
      </c>
      <c r="B53" s="46">
        <v>44021</v>
      </c>
      <c r="C53" s="571"/>
      <c r="D53" s="170" t="s">
        <v>138</v>
      </c>
      <c r="E53" s="22">
        <v>9</v>
      </c>
      <c r="F53" s="22">
        <v>0</v>
      </c>
      <c r="G53" s="22">
        <v>9</v>
      </c>
      <c r="H53" s="22">
        <v>3</v>
      </c>
      <c r="I53" s="22">
        <v>12</v>
      </c>
      <c r="J53" s="22">
        <v>8</v>
      </c>
      <c r="K53" s="83">
        <v>20</v>
      </c>
    </row>
    <row r="54" spans="1:12">
      <c r="A54" s="75">
        <v>44111</v>
      </c>
      <c r="B54" s="46">
        <v>44121</v>
      </c>
      <c r="C54" s="571"/>
      <c r="D54" s="170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71" t="s">
        <v>628</v>
      </c>
      <c r="D55" s="170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40</v>
      </c>
      <c r="K55" s="83">
        <v>61</v>
      </c>
    </row>
    <row r="56" spans="1:12">
      <c r="A56" s="75">
        <v>45111</v>
      </c>
      <c r="B56" s="46">
        <v>45121</v>
      </c>
      <c r="C56" s="571"/>
      <c r="D56" s="170" t="s">
        <v>449</v>
      </c>
      <c r="E56" s="22">
        <v>15</v>
      </c>
      <c r="F56" s="22">
        <v>3</v>
      </c>
      <c r="G56" s="22">
        <v>18</v>
      </c>
      <c r="H56" s="22">
        <v>2</v>
      </c>
      <c r="I56" s="22">
        <v>20</v>
      </c>
      <c r="J56" s="22">
        <v>9</v>
      </c>
      <c r="K56" s="83">
        <v>29</v>
      </c>
    </row>
    <row r="57" spans="1:12">
      <c r="A57" s="75">
        <v>44200</v>
      </c>
      <c r="B57" s="46">
        <v>44220</v>
      </c>
      <c r="C57" s="84"/>
      <c r="D57" s="170" t="s">
        <v>162</v>
      </c>
      <c r="E57" s="22">
        <v>5</v>
      </c>
      <c r="F57" s="22">
        <v>1</v>
      </c>
      <c r="G57" s="22">
        <v>6</v>
      </c>
      <c r="H57" s="22">
        <v>1</v>
      </c>
      <c r="I57" s="22">
        <v>7</v>
      </c>
      <c r="J57" s="22"/>
      <c r="K57" s="83">
        <v>7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11</v>
      </c>
      <c r="K58" s="87">
        <v>50</v>
      </c>
      <c r="L58" s="94"/>
    </row>
    <row r="59" spans="1:12">
      <c r="A59" s="75">
        <v>20000</v>
      </c>
      <c r="B59" s="46">
        <v>20020</v>
      </c>
      <c r="C59" s="586" t="s">
        <v>625</v>
      </c>
      <c r="D59" s="170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170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>
        <v>0</v>
      </c>
      <c r="K60" s="83">
        <v>5</v>
      </c>
    </row>
    <row r="61" spans="1:12">
      <c r="A61" s="75">
        <v>22000</v>
      </c>
      <c r="B61" s="46">
        <v>22020</v>
      </c>
      <c r="C61" s="575"/>
      <c r="D61" s="170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170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8</v>
      </c>
      <c r="K62" s="83">
        <v>24</v>
      </c>
    </row>
    <row r="63" spans="1:12">
      <c r="A63" s="75">
        <v>60100</v>
      </c>
      <c r="B63" s="46">
        <v>60120</v>
      </c>
      <c r="C63" s="171" t="s">
        <v>626</v>
      </c>
      <c r="D63" s="170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>
        <v>0</v>
      </c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16</v>
      </c>
      <c r="F64" s="78">
        <v>9</v>
      </c>
      <c r="G64" s="78">
        <v>25</v>
      </c>
      <c r="H64" s="78">
        <v>0</v>
      </c>
      <c r="I64" s="78">
        <v>25</v>
      </c>
      <c r="J64" s="78">
        <v>2</v>
      </c>
      <c r="K64" s="87">
        <v>27</v>
      </c>
      <c r="L64" s="94"/>
    </row>
    <row r="65" spans="1:12">
      <c r="A65" s="76"/>
      <c r="B65" s="56"/>
      <c r="C65" s="586" t="s">
        <v>643</v>
      </c>
      <c r="D65" s="170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/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170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170" t="s">
        <v>131</v>
      </c>
      <c r="E68" s="22">
        <v>2</v>
      </c>
      <c r="F68" s="22">
        <v>2</v>
      </c>
      <c r="G68" s="22">
        <v>4</v>
      </c>
      <c r="H68" s="22">
        <v>0</v>
      </c>
      <c r="I68" s="22">
        <v>4</v>
      </c>
      <c r="J68" s="22"/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/>
      <c r="K69" s="83">
        <v>3</v>
      </c>
    </row>
    <row r="70" spans="1:12">
      <c r="A70" s="75">
        <v>61000</v>
      </c>
      <c r="B70" s="46">
        <v>61020</v>
      </c>
      <c r="C70" s="576"/>
      <c r="D70" s="170" t="s">
        <v>134</v>
      </c>
      <c r="E70" s="22">
        <v>4</v>
      </c>
      <c r="F70" s="22">
        <v>1</v>
      </c>
      <c r="G70" s="22">
        <v>5</v>
      </c>
      <c r="H70" s="22">
        <v>0</v>
      </c>
      <c r="I70" s="22">
        <v>5</v>
      </c>
      <c r="J70" s="22"/>
      <c r="K70" s="83">
        <v>5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59</v>
      </c>
    </row>
    <row r="72" spans="1:12">
      <c r="C72" s="584" t="s">
        <v>617</v>
      </c>
      <c r="D72" s="585"/>
      <c r="E72" s="78">
        <v>37</v>
      </c>
      <c r="F72" s="78">
        <v>4</v>
      </c>
      <c r="G72" s="78">
        <v>41</v>
      </c>
      <c r="H72" s="78">
        <v>12</v>
      </c>
      <c r="I72" s="78">
        <v>53</v>
      </c>
      <c r="J72" s="78">
        <v>6</v>
      </c>
      <c r="K72" s="87">
        <v>59</v>
      </c>
      <c r="L72" s="37"/>
    </row>
    <row r="73" spans="1:12">
      <c r="B73" s="56"/>
      <c r="C73" s="586" t="s">
        <v>643</v>
      </c>
      <c r="D73" s="170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170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>
        <v>0</v>
      </c>
      <c r="K74" s="83">
        <v>8</v>
      </c>
    </row>
    <row r="75" spans="1:12">
      <c r="C75" s="575"/>
      <c r="D75" s="170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170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170" t="s">
        <v>147</v>
      </c>
      <c r="E77" s="22">
        <v>9</v>
      </c>
      <c r="F77" s="22">
        <v>1</v>
      </c>
      <c r="G77" s="22">
        <v>10</v>
      </c>
      <c r="H77" s="22">
        <v>2</v>
      </c>
      <c r="I77" s="22">
        <v>12</v>
      </c>
      <c r="J77" s="22">
        <v>0</v>
      </c>
      <c r="K77" s="83">
        <v>12</v>
      </c>
    </row>
    <row r="78" spans="1:12">
      <c r="C78" s="576"/>
      <c r="D78" s="170" t="s">
        <v>158</v>
      </c>
      <c r="E78" s="22">
        <v>4</v>
      </c>
      <c r="F78" s="22">
        <v>1</v>
      </c>
      <c r="G78" s="22">
        <v>5</v>
      </c>
      <c r="H78" s="22">
        <v>6</v>
      </c>
      <c r="I78" s="22">
        <v>11</v>
      </c>
      <c r="J78" s="22">
        <v>2</v>
      </c>
      <c r="K78" s="83">
        <v>13</v>
      </c>
    </row>
    <row r="79" spans="1:12" ht="18.600000000000001" thickBot="1">
      <c r="C79" s="597" t="s">
        <v>642</v>
      </c>
      <c r="D79" s="598"/>
      <c r="E79" s="92">
        <v>400</v>
      </c>
      <c r="F79" s="92">
        <v>51</v>
      </c>
      <c r="G79" s="92">
        <v>451</v>
      </c>
      <c r="H79" s="92">
        <v>78</v>
      </c>
      <c r="I79" s="92">
        <v>529</v>
      </c>
      <c r="J79" s="92">
        <v>209</v>
      </c>
      <c r="K79" s="93">
        <v>738</v>
      </c>
      <c r="L79" s="94"/>
    </row>
    <row r="80" spans="1:12">
      <c r="C80" s="574"/>
      <c r="D80" s="572" t="s">
        <v>685</v>
      </c>
      <c r="E80" s="572"/>
      <c r="F80" s="572"/>
      <c r="G80" s="572"/>
      <c r="H80" s="572"/>
      <c r="I80" s="572"/>
      <c r="J80" s="572"/>
      <c r="K80" s="573"/>
      <c r="L80" s="37"/>
    </row>
    <row r="81" spans="3:12">
      <c r="C81" s="575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167" t="s">
        <v>69</v>
      </c>
      <c r="F82" s="167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  <row r="86" spans="3:12">
      <c r="D86" s="169" t="s">
        <v>686</v>
      </c>
    </row>
    <row r="87" spans="3:12">
      <c r="D87" s="169" t="s">
        <v>688</v>
      </c>
    </row>
    <row r="88" spans="3:12">
      <c r="D88" s="169" t="s">
        <v>687</v>
      </c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O83"/>
  <sheetViews>
    <sheetView topLeftCell="A74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162" customWidth="1"/>
    <col min="5" max="10" width="6.3984375" customWidth="1"/>
    <col min="11" max="11" width="7.19921875" customWidth="1"/>
  </cols>
  <sheetData>
    <row r="1" spans="1:11" ht="18.75" hidden="1" customHeight="1"/>
    <row r="2" spans="1:11" ht="6.75" customHeight="1" thickBot="1"/>
    <row r="3" spans="1:11">
      <c r="C3" s="574"/>
      <c r="D3" s="613" t="s">
        <v>682</v>
      </c>
      <c r="E3" s="614"/>
      <c r="F3" s="614"/>
      <c r="G3" s="614"/>
      <c r="H3" s="614"/>
      <c r="I3" s="614"/>
      <c r="J3" s="614"/>
      <c r="K3" s="615"/>
    </row>
    <row r="4" spans="1:11" ht="18.75" customHeight="1">
      <c r="A4" s="569" t="s">
        <v>610</v>
      </c>
      <c r="B4" s="161"/>
      <c r="C4" s="575"/>
      <c r="D4" s="616" t="s">
        <v>611</v>
      </c>
      <c r="E4" s="617" t="s">
        <v>612</v>
      </c>
      <c r="F4" s="618"/>
      <c r="G4" s="616" t="s">
        <v>614</v>
      </c>
      <c r="H4" s="616" t="s">
        <v>613</v>
      </c>
      <c r="I4" s="616" t="s">
        <v>622</v>
      </c>
      <c r="J4" s="619" t="s">
        <v>656</v>
      </c>
      <c r="K4" s="620" t="s">
        <v>623</v>
      </c>
    </row>
    <row r="5" spans="1:11" ht="18" customHeight="1">
      <c r="A5" s="569"/>
      <c r="B5" s="161"/>
      <c r="C5" s="576"/>
      <c r="D5" s="609"/>
      <c r="E5" s="163" t="s">
        <v>69</v>
      </c>
      <c r="F5" s="163" t="s">
        <v>650</v>
      </c>
      <c r="G5" s="609"/>
      <c r="H5" s="609"/>
      <c r="I5" s="609"/>
      <c r="J5" s="610"/>
      <c r="K5" s="611"/>
    </row>
    <row r="6" spans="1:11" ht="18.75" hidden="1" customHeight="1">
      <c r="A6" s="77">
        <v>200</v>
      </c>
      <c r="B6" s="161">
        <v>202</v>
      </c>
      <c r="C6" s="164"/>
      <c r="D6" s="163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161">
        <v>211</v>
      </c>
      <c r="C7" s="164"/>
      <c r="D7" s="163" t="e">
        <v>#N/A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/>
      <c r="K7" s="83">
        <v>0</v>
      </c>
    </row>
    <row r="8" spans="1:11">
      <c r="A8" s="75">
        <v>10000</v>
      </c>
      <c r="B8" s="46">
        <v>10020</v>
      </c>
      <c r="C8" s="595" t="s">
        <v>651</v>
      </c>
      <c r="D8" s="596"/>
      <c r="E8" s="596"/>
      <c r="F8" s="596"/>
      <c r="G8" s="596"/>
      <c r="H8" s="596"/>
      <c r="I8" s="596"/>
      <c r="J8" s="596"/>
      <c r="K8" s="103">
        <v>11</v>
      </c>
    </row>
    <row r="9" spans="1:11">
      <c r="A9" s="75">
        <v>11000</v>
      </c>
      <c r="B9" s="46">
        <v>11020</v>
      </c>
      <c r="C9" s="84"/>
      <c r="D9" s="163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/>
      <c r="K9" s="83">
        <v>10</v>
      </c>
    </row>
    <row r="10" spans="1:11">
      <c r="A10" s="75">
        <v>90000</v>
      </c>
      <c r="B10" s="46">
        <v>90020</v>
      </c>
      <c r="C10" s="84"/>
      <c r="D10" s="163" t="s">
        <v>644</v>
      </c>
      <c r="E10" s="59">
        <v>1</v>
      </c>
      <c r="F10" s="22">
        <v>0</v>
      </c>
      <c r="G10" s="22">
        <v>1</v>
      </c>
      <c r="H10" s="22">
        <v>0</v>
      </c>
      <c r="I10" s="22">
        <v>1</v>
      </c>
      <c r="J10" s="22"/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10</v>
      </c>
    </row>
    <row r="12" spans="1:11">
      <c r="A12" s="76">
        <v>1000</v>
      </c>
      <c r="B12" s="46">
        <v>1020</v>
      </c>
      <c r="C12" s="84"/>
      <c r="D12" s="163" t="s">
        <v>218</v>
      </c>
      <c r="E12" s="22">
        <v>8</v>
      </c>
      <c r="F12" s="22">
        <v>2</v>
      </c>
      <c r="G12" s="22">
        <v>10</v>
      </c>
      <c r="H12" s="22">
        <v>0</v>
      </c>
      <c r="I12" s="22">
        <v>10</v>
      </c>
      <c r="J12" s="22"/>
      <c r="K12" s="83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18</v>
      </c>
    </row>
    <row r="14" spans="1:11">
      <c r="A14" s="76"/>
      <c r="B14" s="56"/>
      <c r="C14" s="85"/>
      <c r="D14" s="163" t="s">
        <v>648</v>
      </c>
      <c r="E14" s="22">
        <v>1</v>
      </c>
      <c r="F14" s="22">
        <v>2</v>
      </c>
      <c r="G14" s="22">
        <v>3</v>
      </c>
      <c r="H14" s="22">
        <v>0</v>
      </c>
      <c r="I14" s="22">
        <v>3</v>
      </c>
      <c r="J14" s="22"/>
      <c r="K14" s="83">
        <v>3</v>
      </c>
    </row>
    <row r="15" spans="1:11">
      <c r="A15" s="75">
        <v>50000</v>
      </c>
      <c r="B15" s="46">
        <v>50020</v>
      </c>
      <c r="C15" s="85"/>
      <c r="D15" s="163" t="s">
        <v>17</v>
      </c>
      <c r="E15" s="22">
        <v>4</v>
      </c>
      <c r="F15" s="22">
        <v>1</v>
      </c>
      <c r="G15" s="22">
        <v>5</v>
      </c>
      <c r="H15" s="22">
        <v>3</v>
      </c>
      <c r="I15" s="22">
        <v>8</v>
      </c>
      <c r="J15" s="22">
        <v>4</v>
      </c>
      <c r="K15" s="83">
        <v>12</v>
      </c>
    </row>
    <row r="16" spans="1:11">
      <c r="A16" s="75">
        <v>51000</v>
      </c>
      <c r="B16" s="46">
        <v>51020</v>
      </c>
      <c r="C16" s="85"/>
      <c r="D16" s="163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/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2</v>
      </c>
      <c r="G17" s="78">
        <v>8</v>
      </c>
      <c r="H17" s="78">
        <v>3</v>
      </c>
      <c r="I17" s="78">
        <v>11</v>
      </c>
      <c r="J17" s="78">
        <v>4</v>
      </c>
      <c r="K17" s="87">
        <v>15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23</v>
      </c>
    </row>
    <row r="19" spans="1:15">
      <c r="A19" s="75">
        <v>80000</v>
      </c>
      <c r="B19" s="46">
        <v>80020</v>
      </c>
      <c r="C19" s="586" t="s">
        <v>643</v>
      </c>
      <c r="D19" s="163" t="s">
        <v>120</v>
      </c>
      <c r="E19" s="22">
        <v>3</v>
      </c>
      <c r="F19" s="22">
        <v>2</v>
      </c>
      <c r="G19" s="22">
        <v>5</v>
      </c>
      <c r="H19" s="22">
        <v>0</v>
      </c>
      <c r="I19" s="22">
        <v>5</v>
      </c>
      <c r="J19" s="22"/>
      <c r="K19" s="83">
        <v>5</v>
      </c>
    </row>
    <row r="20" spans="1:15">
      <c r="A20" s="75">
        <v>41111</v>
      </c>
      <c r="B20" s="46">
        <v>41121</v>
      </c>
      <c r="C20" s="576"/>
      <c r="D20" s="163" t="s">
        <v>124</v>
      </c>
      <c r="E20" s="22">
        <v>6</v>
      </c>
      <c r="F20" s="22">
        <v>0</v>
      </c>
      <c r="G20" s="22">
        <v>6</v>
      </c>
      <c r="H20" s="22">
        <v>0</v>
      </c>
      <c r="I20" s="22">
        <v>6</v>
      </c>
      <c r="J20" s="22"/>
      <c r="K20" s="83">
        <v>6</v>
      </c>
    </row>
    <row r="21" spans="1:15">
      <c r="A21" s="75">
        <v>43011</v>
      </c>
      <c r="B21" s="46">
        <v>43021</v>
      </c>
      <c r="C21" s="166" t="s">
        <v>647</v>
      </c>
      <c r="D21" s="163" t="s">
        <v>165</v>
      </c>
      <c r="E21" s="22">
        <v>7</v>
      </c>
      <c r="F21" s="22">
        <v>3</v>
      </c>
      <c r="G21" s="22">
        <v>10</v>
      </c>
      <c r="H21" s="22">
        <v>2</v>
      </c>
      <c r="I21" s="22">
        <v>12</v>
      </c>
      <c r="J21" s="22"/>
      <c r="K21" s="83">
        <v>12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55</v>
      </c>
    </row>
    <row r="23" spans="1:15">
      <c r="A23" s="75">
        <v>42111</v>
      </c>
      <c r="B23" s="46">
        <v>42121</v>
      </c>
      <c r="C23" s="84"/>
      <c r="D23" s="163" t="s">
        <v>172</v>
      </c>
      <c r="E23" s="22">
        <v>44</v>
      </c>
      <c r="F23" s="22">
        <v>3</v>
      </c>
      <c r="G23" s="22">
        <v>47</v>
      </c>
      <c r="H23" s="22">
        <v>8</v>
      </c>
      <c r="I23" s="22">
        <v>55</v>
      </c>
      <c r="J23" s="22"/>
      <c r="K23" s="83">
        <v>55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03">
        <v>567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131</v>
      </c>
      <c r="F25" s="78">
        <v>8</v>
      </c>
      <c r="G25" s="78">
        <v>139</v>
      </c>
      <c r="H25" s="78">
        <v>23</v>
      </c>
      <c r="I25" s="78">
        <v>162</v>
      </c>
      <c r="J25" s="78">
        <v>84</v>
      </c>
      <c r="K25" s="87">
        <v>246</v>
      </c>
      <c r="L25" s="94"/>
    </row>
    <row r="26" spans="1:15">
      <c r="A26" s="75">
        <v>42011</v>
      </c>
      <c r="B26" s="46">
        <v>42021</v>
      </c>
      <c r="C26" s="586" t="s">
        <v>625</v>
      </c>
      <c r="D26" s="163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6</v>
      </c>
      <c r="K26" s="83">
        <v>18</v>
      </c>
    </row>
    <row r="27" spans="1:15">
      <c r="A27" s="75">
        <v>42311</v>
      </c>
      <c r="B27" s="46">
        <v>42321</v>
      </c>
      <c r="C27" s="575"/>
      <c r="D27" s="163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7</v>
      </c>
      <c r="K27" s="83">
        <v>22</v>
      </c>
    </row>
    <row r="28" spans="1:15">
      <c r="A28" s="75">
        <v>43211</v>
      </c>
      <c r="B28" s="46">
        <v>43221</v>
      </c>
      <c r="C28" s="576"/>
      <c r="D28" s="163" t="s">
        <v>258</v>
      </c>
      <c r="E28" s="22">
        <v>21</v>
      </c>
      <c r="F28" s="22">
        <v>0</v>
      </c>
      <c r="G28" s="22">
        <v>21</v>
      </c>
      <c r="H28" s="22">
        <v>5</v>
      </c>
      <c r="I28" s="22">
        <v>26</v>
      </c>
      <c r="J28" s="101">
        <v>19</v>
      </c>
      <c r="K28" s="83">
        <v>45</v>
      </c>
    </row>
    <row r="29" spans="1:15">
      <c r="A29" s="75">
        <v>43311</v>
      </c>
      <c r="B29" s="46">
        <v>43321</v>
      </c>
      <c r="C29" s="586" t="s">
        <v>626</v>
      </c>
      <c r="D29" s="163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>
        <v>10</v>
      </c>
      <c r="K29" s="83">
        <v>21</v>
      </c>
      <c r="L29" s="588" t="s">
        <v>658</v>
      </c>
      <c r="M29" s="589"/>
      <c r="N29" s="589"/>
      <c r="O29" s="589"/>
    </row>
    <row r="30" spans="1:15">
      <c r="A30" s="75">
        <v>41200</v>
      </c>
      <c r="B30" s="46">
        <v>41220</v>
      </c>
      <c r="C30" s="575"/>
      <c r="D30" s="163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/>
      <c r="K30" s="83">
        <v>13</v>
      </c>
      <c r="L30" s="588"/>
      <c r="M30" s="589"/>
      <c r="N30" s="589"/>
      <c r="O30" s="589"/>
    </row>
    <row r="31" spans="1:15">
      <c r="A31" s="75"/>
      <c r="C31" s="575"/>
      <c r="D31" s="163" t="s">
        <v>660</v>
      </c>
      <c r="E31" s="22"/>
      <c r="F31" s="22"/>
      <c r="G31" s="22"/>
      <c r="H31" s="22"/>
      <c r="I31" s="22"/>
      <c r="J31" s="101"/>
      <c r="K31" s="83"/>
      <c r="L31" s="165"/>
      <c r="M31" s="165"/>
      <c r="N31" s="165"/>
      <c r="O31" s="165"/>
    </row>
    <row r="32" spans="1:15">
      <c r="A32" s="75">
        <v>40400</v>
      </c>
      <c r="B32" s="46">
        <v>40420</v>
      </c>
      <c r="C32" s="575"/>
      <c r="D32" s="163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5"/>
      <c r="D33" s="163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11</v>
      </c>
      <c r="K33" s="83">
        <v>26</v>
      </c>
    </row>
    <row r="34" spans="1:14">
      <c r="A34" s="76"/>
      <c r="B34" s="56"/>
      <c r="C34" s="576"/>
      <c r="D34" s="163" t="s">
        <v>674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7</v>
      </c>
      <c r="K34" s="83">
        <v>14</v>
      </c>
    </row>
    <row r="35" spans="1:14">
      <c r="A35" s="75">
        <v>67211</v>
      </c>
      <c r="B35" s="46">
        <v>67221</v>
      </c>
      <c r="C35" s="586" t="s">
        <v>627</v>
      </c>
      <c r="D35" s="163" t="s">
        <v>364</v>
      </c>
      <c r="E35" s="22">
        <v>12</v>
      </c>
      <c r="F35" s="22">
        <v>6</v>
      </c>
      <c r="G35" s="22">
        <v>18</v>
      </c>
      <c r="H35" s="22">
        <v>3</v>
      </c>
      <c r="I35" s="22">
        <v>21</v>
      </c>
      <c r="J35" s="101">
        <v>15</v>
      </c>
      <c r="K35" s="83">
        <v>36</v>
      </c>
      <c r="L35">
        <v>2</v>
      </c>
    </row>
    <row r="36" spans="1:14">
      <c r="A36" s="75">
        <v>68011</v>
      </c>
      <c r="B36" s="46">
        <v>68021</v>
      </c>
      <c r="C36" s="575"/>
      <c r="D36" s="163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1</v>
      </c>
      <c r="K36" s="83">
        <v>6</v>
      </c>
    </row>
    <row r="37" spans="1:14">
      <c r="A37" s="75">
        <v>69211</v>
      </c>
      <c r="B37" s="46">
        <v>69221</v>
      </c>
      <c r="C37" s="575"/>
      <c r="D37" s="163" t="s">
        <v>103</v>
      </c>
      <c r="E37" s="22">
        <v>8</v>
      </c>
      <c r="F37" s="22">
        <v>0</v>
      </c>
      <c r="G37" s="22">
        <v>8</v>
      </c>
      <c r="H37" s="22">
        <v>4</v>
      </c>
      <c r="I37" s="22">
        <v>12</v>
      </c>
      <c r="J37" s="101">
        <v>4</v>
      </c>
      <c r="K37" s="83">
        <v>16</v>
      </c>
    </row>
    <row r="38" spans="1:14">
      <c r="A38" s="75">
        <v>69111</v>
      </c>
      <c r="B38" s="46">
        <v>69121</v>
      </c>
      <c r="C38" s="576"/>
      <c r="D38" s="163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0</v>
      </c>
      <c r="K38" s="83">
        <v>4</v>
      </c>
    </row>
    <row r="39" spans="1:14">
      <c r="A39" s="75">
        <v>64011</v>
      </c>
      <c r="B39" s="46">
        <v>64021</v>
      </c>
      <c r="C39" s="84"/>
      <c r="D39" s="163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/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102</v>
      </c>
      <c r="F40" s="78">
        <v>10</v>
      </c>
      <c r="G40" s="78">
        <v>112</v>
      </c>
      <c r="H40" s="78">
        <v>24</v>
      </c>
      <c r="I40" s="78">
        <v>136</v>
      </c>
      <c r="J40" s="78">
        <v>111</v>
      </c>
      <c r="K40" s="87">
        <v>247</v>
      </c>
    </row>
    <row r="41" spans="1:14">
      <c r="A41" s="75">
        <v>64211</v>
      </c>
      <c r="B41" s="46">
        <v>64221</v>
      </c>
      <c r="C41" s="586" t="s">
        <v>625</v>
      </c>
      <c r="D41" s="163" t="s">
        <v>476</v>
      </c>
      <c r="E41" s="22">
        <v>6</v>
      </c>
      <c r="F41" s="22">
        <v>0</v>
      </c>
      <c r="G41" s="22">
        <v>6</v>
      </c>
      <c r="H41" s="22">
        <v>1</v>
      </c>
      <c r="I41" s="22">
        <v>7</v>
      </c>
      <c r="J41" s="22">
        <v>4</v>
      </c>
      <c r="K41" s="83">
        <v>11</v>
      </c>
    </row>
    <row r="42" spans="1:14">
      <c r="A42" s="75">
        <v>67011</v>
      </c>
      <c r="B42" s="46">
        <v>67021</v>
      </c>
      <c r="C42" s="575"/>
      <c r="D42" s="163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5</v>
      </c>
      <c r="K42" s="83">
        <v>8</v>
      </c>
    </row>
    <row r="43" spans="1:14">
      <c r="A43" s="75">
        <v>68111</v>
      </c>
      <c r="B43" s="46">
        <v>68121</v>
      </c>
      <c r="C43" s="575"/>
      <c r="D43" s="163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/>
      <c r="K43" s="83">
        <v>7</v>
      </c>
    </row>
    <row r="44" spans="1:14">
      <c r="A44" s="75">
        <v>64311</v>
      </c>
      <c r="B44" s="46">
        <v>64321</v>
      </c>
      <c r="C44" s="576"/>
      <c r="D44" s="163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2</v>
      </c>
      <c r="K44" s="83">
        <v>3</v>
      </c>
    </row>
    <row r="45" spans="1:14">
      <c r="A45" s="75">
        <v>69011</v>
      </c>
      <c r="B45" s="46">
        <v>69021</v>
      </c>
      <c r="C45" s="586" t="s">
        <v>626</v>
      </c>
      <c r="D45" s="163" t="s">
        <v>416</v>
      </c>
      <c r="E45" s="22">
        <v>5</v>
      </c>
      <c r="F45" s="22">
        <v>0</v>
      </c>
      <c r="G45" s="22">
        <v>5</v>
      </c>
      <c r="H45" s="22">
        <v>2</v>
      </c>
      <c r="I45" s="22">
        <v>7</v>
      </c>
      <c r="J45" s="22">
        <v>4</v>
      </c>
      <c r="K45" s="83">
        <v>11</v>
      </c>
      <c r="L45" s="588" t="s">
        <v>659</v>
      </c>
      <c r="M45" s="570"/>
      <c r="N45" s="570"/>
    </row>
    <row r="46" spans="1:14">
      <c r="A46" s="75">
        <v>60300</v>
      </c>
      <c r="B46" s="46">
        <v>60320</v>
      </c>
      <c r="C46" s="575"/>
      <c r="D46" s="163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/>
      <c r="K46" s="83">
        <v>6</v>
      </c>
      <c r="L46" s="588"/>
      <c r="M46" s="570"/>
      <c r="N46" s="570"/>
    </row>
    <row r="47" spans="1:14">
      <c r="A47" s="75"/>
      <c r="C47" s="575"/>
      <c r="D47" s="163" t="s">
        <v>657</v>
      </c>
      <c r="E47" s="22"/>
      <c r="F47" s="22"/>
      <c r="G47" s="22"/>
      <c r="H47" s="22"/>
      <c r="I47" s="22"/>
      <c r="J47" s="22"/>
      <c r="K47" s="83"/>
    </row>
    <row r="48" spans="1:14">
      <c r="A48" s="75">
        <v>60411</v>
      </c>
      <c r="B48" s="46">
        <v>60421</v>
      </c>
      <c r="C48" s="575"/>
      <c r="D48" s="163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/>
      <c r="K48" s="83">
        <v>2</v>
      </c>
    </row>
    <row r="49" spans="1:12">
      <c r="A49" s="75">
        <v>65011</v>
      </c>
      <c r="B49" s="46">
        <v>65021</v>
      </c>
      <c r="C49" s="575"/>
      <c r="D49" s="163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3</v>
      </c>
      <c r="K49" s="83">
        <v>13</v>
      </c>
    </row>
    <row r="50" spans="1:12">
      <c r="A50" s="75">
        <v>66011</v>
      </c>
      <c r="B50" s="46">
        <v>66021</v>
      </c>
      <c r="C50" s="575"/>
      <c r="D50" s="163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/>
      <c r="K50" s="83">
        <v>5</v>
      </c>
    </row>
    <row r="51" spans="1:12">
      <c r="A51" s="75">
        <v>61300</v>
      </c>
      <c r="B51" s="46">
        <v>61320</v>
      </c>
      <c r="C51" s="576"/>
      <c r="D51" s="163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3</v>
      </c>
      <c r="K51" s="83">
        <v>4</v>
      </c>
    </row>
    <row r="52" spans="1:12">
      <c r="A52" s="76"/>
      <c r="B52" s="56"/>
      <c r="C52" s="586" t="s">
        <v>627</v>
      </c>
      <c r="D52" s="163" t="s">
        <v>489</v>
      </c>
      <c r="E52" s="22">
        <v>18</v>
      </c>
      <c r="F52" s="22">
        <v>1</v>
      </c>
      <c r="G52" s="22">
        <v>19</v>
      </c>
      <c r="H52" s="22">
        <v>2</v>
      </c>
      <c r="I52" s="22">
        <v>21</v>
      </c>
      <c r="J52" s="22">
        <v>24</v>
      </c>
      <c r="K52" s="83">
        <v>45</v>
      </c>
    </row>
    <row r="53" spans="1:12">
      <c r="A53" s="75">
        <v>44011</v>
      </c>
      <c r="B53" s="46">
        <v>44021</v>
      </c>
      <c r="C53" s="575"/>
      <c r="D53" s="163" t="s">
        <v>138</v>
      </c>
      <c r="E53" s="22">
        <v>8</v>
      </c>
      <c r="F53" s="22">
        <v>0</v>
      </c>
      <c r="G53" s="22">
        <v>8</v>
      </c>
      <c r="H53" s="22">
        <v>3</v>
      </c>
      <c r="I53" s="22">
        <v>11</v>
      </c>
      <c r="J53" s="22">
        <v>8</v>
      </c>
      <c r="K53" s="83">
        <v>19</v>
      </c>
    </row>
    <row r="54" spans="1:12">
      <c r="A54" s="75">
        <v>44111</v>
      </c>
      <c r="B54" s="46">
        <v>44121</v>
      </c>
      <c r="C54" s="576"/>
      <c r="D54" s="163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86" t="s">
        <v>628</v>
      </c>
      <c r="D55" s="163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47</v>
      </c>
      <c r="K55" s="83">
        <v>68</v>
      </c>
    </row>
    <row r="56" spans="1:12">
      <c r="A56" s="75">
        <v>45111</v>
      </c>
      <c r="B56" s="46">
        <v>45121</v>
      </c>
      <c r="C56" s="576"/>
      <c r="D56" s="163" t="s">
        <v>449</v>
      </c>
      <c r="E56" s="22">
        <v>16</v>
      </c>
      <c r="F56" s="22">
        <v>3</v>
      </c>
      <c r="G56" s="22">
        <v>19</v>
      </c>
      <c r="H56" s="22">
        <v>2</v>
      </c>
      <c r="I56" s="22">
        <v>21</v>
      </c>
      <c r="J56" s="22">
        <v>9</v>
      </c>
      <c r="K56" s="83">
        <v>30</v>
      </c>
    </row>
    <row r="57" spans="1:12">
      <c r="A57" s="75">
        <v>44200</v>
      </c>
      <c r="B57" s="46">
        <v>44220</v>
      </c>
      <c r="C57" s="84"/>
      <c r="D57" s="163" t="s">
        <v>162</v>
      </c>
      <c r="E57" s="22">
        <v>5</v>
      </c>
      <c r="F57" s="22">
        <v>1</v>
      </c>
      <c r="G57" s="22">
        <v>6</v>
      </c>
      <c r="H57" s="22">
        <v>1</v>
      </c>
      <c r="I57" s="22">
        <v>7</v>
      </c>
      <c r="J57" s="22"/>
      <c r="K57" s="83">
        <v>7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9</v>
      </c>
      <c r="K58" s="87">
        <v>48</v>
      </c>
      <c r="L58" s="94"/>
    </row>
    <row r="59" spans="1:12">
      <c r="A59" s="75">
        <v>20000</v>
      </c>
      <c r="B59" s="46">
        <v>20020</v>
      </c>
      <c r="C59" s="586" t="s">
        <v>625</v>
      </c>
      <c r="D59" s="163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163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/>
      <c r="K60" s="83">
        <v>5</v>
      </c>
    </row>
    <row r="61" spans="1:12">
      <c r="A61" s="75">
        <v>22000</v>
      </c>
      <c r="B61" s="46">
        <v>22020</v>
      </c>
      <c r="C61" s="575"/>
      <c r="D61" s="163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163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6</v>
      </c>
      <c r="K62" s="83">
        <v>22</v>
      </c>
    </row>
    <row r="63" spans="1:12">
      <c r="A63" s="75">
        <v>60100</v>
      </c>
      <c r="B63" s="46">
        <v>60120</v>
      </c>
      <c r="C63" s="164" t="s">
        <v>626</v>
      </c>
      <c r="D63" s="163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/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15</v>
      </c>
      <c r="F64" s="78">
        <v>9</v>
      </c>
      <c r="G64" s="78">
        <v>24</v>
      </c>
      <c r="H64" s="78">
        <v>0</v>
      </c>
      <c r="I64" s="78">
        <v>24</v>
      </c>
      <c r="J64" s="78">
        <v>2</v>
      </c>
      <c r="K64" s="87">
        <v>26</v>
      </c>
      <c r="L64" s="94"/>
    </row>
    <row r="65" spans="1:12">
      <c r="A65" s="76"/>
      <c r="B65" s="56"/>
      <c r="C65" s="586" t="s">
        <v>643</v>
      </c>
      <c r="D65" s="163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/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163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163" t="s">
        <v>131</v>
      </c>
      <c r="E68" s="22">
        <v>2</v>
      </c>
      <c r="F68" s="22">
        <v>2</v>
      </c>
      <c r="G68" s="22">
        <v>4</v>
      </c>
      <c r="H68" s="22">
        <v>0</v>
      </c>
      <c r="I68" s="22">
        <v>4</v>
      </c>
      <c r="J68" s="22"/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/>
      <c r="K69" s="83">
        <v>3</v>
      </c>
    </row>
    <row r="70" spans="1:12">
      <c r="A70" s="75">
        <v>61000</v>
      </c>
      <c r="B70" s="46">
        <v>61020</v>
      </c>
      <c r="C70" s="576"/>
      <c r="D70" s="163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/>
      <c r="K70" s="83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59</v>
      </c>
    </row>
    <row r="72" spans="1:12">
      <c r="C72" s="584" t="s">
        <v>617</v>
      </c>
      <c r="D72" s="585"/>
      <c r="E72" s="78">
        <v>37</v>
      </c>
      <c r="F72" s="78">
        <v>4</v>
      </c>
      <c r="G72" s="78">
        <v>41</v>
      </c>
      <c r="H72" s="78">
        <v>12</v>
      </c>
      <c r="I72" s="78">
        <v>53</v>
      </c>
      <c r="J72" s="78">
        <v>6</v>
      </c>
      <c r="K72" s="87">
        <v>59</v>
      </c>
      <c r="L72" s="37"/>
    </row>
    <row r="73" spans="1:12">
      <c r="B73" s="56"/>
      <c r="C73" s="586" t="s">
        <v>643</v>
      </c>
      <c r="D73" s="163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163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>
        <v>3</v>
      </c>
      <c r="K74" s="83">
        <v>11</v>
      </c>
    </row>
    <row r="75" spans="1:12">
      <c r="C75" s="575"/>
      <c r="D75" s="163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/>
      <c r="K75" s="83">
        <v>2</v>
      </c>
    </row>
    <row r="76" spans="1:12">
      <c r="C76" s="576"/>
      <c r="D76" s="163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/>
      <c r="K76" s="83">
        <v>2</v>
      </c>
    </row>
    <row r="77" spans="1:12">
      <c r="C77" s="586" t="s">
        <v>647</v>
      </c>
      <c r="D77" s="163" t="s">
        <v>147</v>
      </c>
      <c r="E77" s="22">
        <v>9</v>
      </c>
      <c r="F77" s="22">
        <v>1</v>
      </c>
      <c r="G77" s="22">
        <v>10</v>
      </c>
      <c r="H77" s="22">
        <v>2</v>
      </c>
      <c r="I77" s="22">
        <v>12</v>
      </c>
      <c r="J77" s="22"/>
      <c r="K77" s="83">
        <v>12</v>
      </c>
    </row>
    <row r="78" spans="1:12">
      <c r="C78" s="576"/>
      <c r="D78" s="163" t="s">
        <v>158</v>
      </c>
      <c r="E78" s="22">
        <v>4</v>
      </c>
      <c r="F78" s="22">
        <v>1</v>
      </c>
      <c r="G78" s="22">
        <v>5</v>
      </c>
      <c r="H78" s="22">
        <v>6</v>
      </c>
      <c r="I78" s="22">
        <v>11</v>
      </c>
      <c r="J78" s="22">
        <v>2</v>
      </c>
      <c r="K78" s="83">
        <v>13</v>
      </c>
    </row>
    <row r="79" spans="1:12" ht="18.600000000000001" thickBot="1">
      <c r="C79" s="597" t="s">
        <v>642</v>
      </c>
      <c r="D79" s="598"/>
      <c r="E79" s="92">
        <v>399</v>
      </c>
      <c r="F79" s="92">
        <v>50</v>
      </c>
      <c r="G79" s="92">
        <v>449</v>
      </c>
      <c r="H79" s="92">
        <v>78</v>
      </c>
      <c r="I79" s="92">
        <v>527</v>
      </c>
      <c r="J79" s="92">
        <v>216</v>
      </c>
      <c r="K79" s="93">
        <v>743</v>
      </c>
      <c r="L79" s="94"/>
    </row>
    <row r="80" spans="1:12">
      <c r="C80" s="574"/>
      <c r="D80" s="613" t="s">
        <v>649</v>
      </c>
      <c r="E80" s="614"/>
      <c r="F80" s="614"/>
      <c r="G80" s="614"/>
      <c r="H80" s="614"/>
      <c r="I80" s="614"/>
      <c r="J80" s="614"/>
      <c r="K80" s="615"/>
      <c r="L80" s="37"/>
    </row>
    <row r="81" spans="3:12" ht="18.75" customHeight="1">
      <c r="C81" s="575"/>
      <c r="D81" s="616" t="s">
        <v>611</v>
      </c>
      <c r="E81" s="617" t="s">
        <v>612</v>
      </c>
      <c r="F81" s="618"/>
      <c r="G81" s="616" t="s">
        <v>614</v>
      </c>
      <c r="H81" s="616" t="s">
        <v>613</v>
      </c>
      <c r="I81" s="616" t="s">
        <v>622</v>
      </c>
      <c r="J81" s="619" t="s">
        <v>656</v>
      </c>
      <c r="K81" s="620" t="s">
        <v>623</v>
      </c>
      <c r="L81" s="37"/>
    </row>
    <row r="82" spans="3:12" ht="15.75" customHeight="1" thickBot="1">
      <c r="C82" s="587"/>
      <c r="D82" s="621"/>
      <c r="E82" s="160" t="s">
        <v>69</v>
      </c>
      <c r="F82" s="160" t="s">
        <v>650</v>
      </c>
      <c r="G82" s="621"/>
      <c r="H82" s="621"/>
      <c r="I82" s="621"/>
      <c r="J82" s="622"/>
      <c r="K82" s="623"/>
      <c r="L82" s="37"/>
    </row>
    <row r="83" spans="3:12">
      <c r="C83" s="602" t="s">
        <v>661</v>
      </c>
      <c r="D83" s="602"/>
      <c r="E83" s="602"/>
      <c r="F83" s="602"/>
      <c r="G83" s="602"/>
      <c r="H83" s="602"/>
      <c r="I83" s="602"/>
      <c r="J83" s="602"/>
      <c r="K83" s="602"/>
    </row>
  </sheetData>
  <mergeCells count="48">
    <mergeCell ref="I81:I82"/>
    <mergeCell ref="J81:J82"/>
    <mergeCell ref="K81:K82"/>
    <mergeCell ref="C83:K83"/>
    <mergeCell ref="C72:D72"/>
    <mergeCell ref="C73:C76"/>
    <mergeCell ref="C77:C78"/>
    <mergeCell ref="C79:D79"/>
    <mergeCell ref="C80:C82"/>
    <mergeCell ref="D80:K80"/>
    <mergeCell ref="D81:D82"/>
    <mergeCell ref="E81:F81"/>
    <mergeCell ref="G81:G82"/>
    <mergeCell ref="H81:H82"/>
    <mergeCell ref="L29:O30"/>
    <mergeCell ref="C71:J71"/>
    <mergeCell ref="C40:D40"/>
    <mergeCell ref="C41:C44"/>
    <mergeCell ref="C45:C51"/>
    <mergeCell ref="L45:N46"/>
    <mergeCell ref="C52:C54"/>
    <mergeCell ref="C55:C56"/>
    <mergeCell ref="C58:D58"/>
    <mergeCell ref="C59:C62"/>
    <mergeCell ref="C64:D64"/>
    <mergeCell ref="C65:C67"/>
    <mergeCell ref="C68:C70"/>
    <mergeCell ref="C35:C38"/>
    <mergeCell ref="C8:J8"/>
    <mergeCell ref="C11:J11"/>
    <mergeCell ref="C13:J13"/>
    <mergeCell ref="C18:J18"/>
    <mergeCell ref="C19:C20"/>
    <mergeCell ref="C22:J22"/>
    <mergeCell ref="C24:J24"/>
    <mergeCell ref="C25:D25"/>
    <mergeCell ref="C26:C28"/>
    <mergeCell ref="C29:C34"/>
    <mergeCell ref="C3:C5"/>
    <mergeCell ref="D3:K3"/>
    <mergeCell ref="A4:A5"/>
    <mergeCell ref="D4:D5"/>
    <mergeCell ref="E4:F4"/>
    <mergeCell ref="G4:G5"/>
    <mergeCell ref="H4:H5"/>
    <mergeCell ref="I4:I5"/>
    <mergeCell ref="J4:J5"/>
    <mergeCell ref="K4:K5"/>
  </mergeCells>
  <phoneticPr fontId="2"/>
  <pageMargins left="2.4803149606299213" right="0.59055118110236227" top="0.19685039370078741" bottom="0" header="0.31496062992125984" footer="0.31496062992125984"/>
  <pageSetup paperSize="8" scale="8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topLeftCell="A74" workbookViewId="0">
      <selection activeCell="D93" sqref="D93"/>
    </sheetView>
  </sheetViews>
  <sheetFormatPr defaultRowHeight="18"/>
  <cols>
    <col min="1" max="1" width="16.09765625" style="46" customWidth="1"/>
    <col min="2" max="3" width="11" style="46" customWidth="1"/>
    <col min="4" max="4" width="25.59765625" style="97" customWidth="1"/>
    <col min="5" max="10" width="6.3984375" customWidth="1"/>
    <col min="11" max="11" width="7.19921875" customWidth="1"/>
  </cols>
  <sheetData>
    <row r="1" spans="1:11" hidden="1"/>
    <row r="2" spans="1:11" ht="6.75" customHeight="1" thickBot="1"/>
    <row r="3" spans="1:11">
      <c r="C3" s="624" t="s">
        <v>649</v>
      </c>
      <c r="D3" s="625"/>
      <c r="E3" s="625"/>
      <c r="F3" s="625"/>
      <c r="G3" s="625"/>
      <c r="H3" s="625"/>
      <c r="I3" s="625"/>
      <c r="J3" s="625"/>
      <c r="K3" s="626"/>
    </row>
    <row r="4" spans="1:11">
      <c r="A4" s="569" t="s">
        <v>610</v>
      </c>
      <c r="B4" s="96"/>
      <c r="C4" s="586"/>
      <c r="D4" s="577" t="s">
        <v>611</v>
      </c>
      <c r="E4" s="577" t="s">
        <v>612</v>
      </c>
      <c r="F4" s="577"/>
      <c r="G4" s="577" t="s">
        <v>614</v>
      </c>
      <c r="H4" s="577" t="s">
        <v>613</v>
      </c>
      <c r="I4" s="577" t="s">
        <v>622</v>
      </c>
      <c r="J4" s="579" t="s">
        <v>656</v>
      </c>
      <c r="K4" s="578" t="s">
        <v>623</v>
      </c>
    </row>
    <row r="5" spans="1:11" ht="18" customHeight="1" thickBot="1">
      <c r="A5" s="569"/>
      <c r="B5" s="96"/>
      <c r="C5" s="576"/>
      <c r="D5" s="577"/>
      <c r="E5" s="98" t="s">
        <v>69</v>
      </c>
      <c r="F5" s="98" t="s">
        <v>650</v>
      </c>
      <c r="G5" s="577"/>
      <c r="H5" s="577"/>
      <c r="I5" s="577"/>
      <c r="J5" s="590"/>
      <c r="K5" s="578"/>
    </row>
    <row r="6" spans="1:11" hidden="1">
      <c r="A6" s="77">
        <v>200</v>
      </c>
      <c r="B6" s="96">
        <v>202</v>
      </c>
      <c r="C6" s="99"/>
      <c r="D6" s="98" t="e">
        <v>#N/A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/>
      <c r="K6" s="83">
        <v>0</v>
      </c>
    </row>
    <row r="7" spans="1:11" ht="16.5" hidden="1" customHeight="1">
      <c r="A7" s="77">
        <v>210</v>
      </c>
      <c r="B7" s="96">
        <v>211</v>
      </c>
      <c r="C7" s="100"/>
      <c r="D7" s="110" t="e">
        <v>#N/A</v>
      </c>
      <c r="E7" s="111">
        <v>0</v>
      </c>
      <c r="F7" s="111">
        <v>0</v>
      </c>
      <c r="G7" s="111">
        <v>0</v>
      </c>
      <c r="H7" s="111">
        <v>0</v>
      </c>
      <c r="I7" s="111">
        <v>0</v>
      </c>
      <c r="J7" s="111"/>
      <c r="K7" s="109">
        <v>0</v>
      </c>
    </row>
    <row r="8" spans="1:11">
      <c r="A8" s="75">
        <v>10000</v>
      </c>
      <c r="B8" s="46">
        <v>10020</v>
      </c>
      <c r="C8" s="632" t="s">
        <v>651</v>
      </c>
      <c r="D8" s="633"/>
      <c r="E8" s="633"/>
      <c r="F8" s="633"/>
      <c r="G8" s="633"/>
      <c r="H8" s="633"/>
      <c r="I8" s="633"/>
      <c r="J8" s="633"/>
      <c r="K8" s="113">
        <v>11</v>
      </c>
    </row>
    <row r="9" spans="1:11">
      <c r="A9" s="75">
        <v>11000</v>
      </c>
      <c r="B9" s="46">
        <v>11020</v>
      </c>
      <c r="C9" s="84"/>
      <c r="D9" s="98" t="s">
        <v>26</v>
      </c>
      <c r="E9" s="22">
        <v>6</v>
      </c>
      <c r="F9" s="22">
        <v>3</v>
      </c>
      <c r="G9" s="22">
        <v>9</v>
      </c>
      <c r="H9" s="22">
        <v>1</v>
      </c>
      <c r="I9" s="22">
        <v>10</v>
      </c>
      <c r="J9" s="22">
        <v>0</v>
      </c>
      <c r="K9" s="83">
        <v>10</v>
      </c>
    </row>
    <row r="10" spans="1:11">
      <c r="A10" s="75">
        <v>90000</v>
      </c>
      <c r="B10" s="46">
        <v>90020</v>
      </c>
      <c r="C10" s="84"/>
      <c r="D10" s="98" t="s">
        <v>644</v>
      </c>
      <c r="E10" s="22">
        <v>1</v>
      </c>
      <c r="F10" s="22">
        <v>0</v>
      </c>
      <c r="G10" s="22">
        <v>1</v>
      </c>
      <c r="H10" s="22">
        <v>0</v>
      </c>
      <c r="I10" s="22">
        <v>1</v>
      </c>
      <c r="J10" s="22">
        <v>0</v>
      </c>
      <c r="K10" s="83">
        <v>1</v>
      </c>
    </row>
    <row r="11" spans="1:11">
      <c r="A11" s="75">
        <v>3000</v>
      </c>
      <c r="B11" s="46">
        <v>3020</v>
      </c>
      <c r="C11" s="595" t="s">
        <v>655</v>
      </c>
      <c r="D11" s="596"/>
      <c r="E11" s="596"/>
      <c r="F11" s="596"/>
      <c r="G11" s="596"/>
      <c r="H11" s="596"/>
      <c r="I11" s="596"/>
      <c r="J11" s="596"/>
      <c r="K11" s="105">
        <v>10</v>
      </c>
    </row>
    <row r="12" spans="1:11">
      <c r="A12" s="76">
        <v>1000</v>
      </c>
      <c r="B12" s="46">
        <v>1020</v>
      </c>
      <c r="C12" s="84"/>
      <c r="D12" s="98" t="s">
        <v>218</v>
      </c>
      <c r="E12" s="22">
        <v>8</v>
      </c>
      <c r="F12" s="22">
        <v>2</v>
      </c>
      <c r="G12" s="22">
        <v>10</v>
      </c>
      <c r="H12" s="22">
        <v>0</v>
      </c>
      <c r="I12" s="22">
        <v>10</v>
      </c>
      <c r="J12" s="22">
        <v>0</v>
      </c>
      <c r="K12" s="83">
        <v>10</v>
      </c>
    </row>
    <row r="13" spans="1:11">
      <c r="A13" s="75">
        <v>1100</v>
      </c>
      <c r="B13" s="46">
        <v>1120</v>
      </c>
      <c r="C13" s="593" t="s">
        <v>641</v>
      </c>
      <c r="D13" s="594"/>
      <c r="E13" s="594"/>
      <c r="F13" s="594"/>
      <c r="G13" s="594"/>
      <c r="H13" s="594"/>
      <c r="I13" s="594"/>
      <c r="J13" s="594"/>
      <c r="K13" s="106">
        <v>18</v>
      </c>
    </row>
    <row r="14" spans="1:11">
      <c r="A14" s="76"/>
      <c r="B14" s="56"/>
      <c r="C14" s="85"/>
      <c r="D14" s="98" t="s">
        <v>648</v>
      </c>
      <c r="E14" s="22">
        <v>1</v>
      </c>
      <c r="F14" s="22">
        <v>2</v>
      </c>
      <c r="G14" s="22">
        <v>3</v>
      </c>
      <c r="H14" s="22">
        <v>0</v>
      </c>
      <c r="I14" s="22">
        <v>3</v>
      </c>
      <c r="J14" s="22">
        <v>0</v>
      </c>
      <c r="K14" s="83">
        <v>3</v>
      </c>
    </row>
    <row r="15" spans="1:11">
      <c r="A15" s="75">
        <v>50000</v>
      </c>
      <c r="B15" s="46">
        <v>50020</v>
      </c>
      <c r="C15" s="85"/>
      <c r="D15" s="98" t="s">
        <v>17</v>
      </c>
      <c r="E15" s="22">
        <v>4</v>
      </c>
      <c r="F15" s="22">
        <v>1</v>
      </c>
      <c r="G15" s="22">
        <v>5</v>
      </c>
      <c r="H15" s="22">
        <v>3</v>
      </c>
      <c r="I15" s="22">
        <v>8</v>
      </c>
      <c r="J15" s="22">
        <v>4</v>
      </c>
      <c r="K15" s="83">
        <v>12</v>
      </c>
    </row>
    <row r="16" spans="1:11">
      <c r="A16" s="75">
        <v>51000</v>
      </c>
      <c r="B16" s="46">
        <v>51020</v>
      </c>
      <c r="C16" s="85"/>
      <c r="D16" s="98" t="s">
        <v>13</v>
      </c>
      <c r="E16" s="22">
        <v>2</v>
      </c>
      <c r="F16" s="22">
        <v>1</v>
      </c>
      <c r="G16" s="22">
        <v>3</v>
      </c>
      <c r="H16" s="22">
        <v>0</v>
      </c>
      <c r="I16" s="22">
        <v>3</v>
      </c>
      <c r="J16" s="22">
        <v>0</v>
      </c>
      <c r="K16" s="83">
        <v>3</v>
      </c>
    </row>
    <row r="17" spans="1:15">
      <c r="A17" s="75">
        <v>63000</v>
      </c>
      <c r="B17" s="46">
        <v>63020</v>
      </c>
      <c r="C17" s="86"/>
      <c r="D17" s="80" t="s">
        <v>629</v>
      </c>
      <c r="E17" s="78">
        <v>6</v>
      </c>
      <c r="F17" s="78">
        <v>2</v>
      </c>
      <c r="G17" s="78">
        <v>8</v>
      </c>
      <c r="H17" s="78">
        <v>3</v>
      </c>
      <c r="I17" s="78">
        <v>11</v>
      </c>
      <c r="J17" s="78">
        <v>4</v>
      </c>
      <c r="K17" s="87">
        <v>15</v>
      </c>
    </row>
    <row r="18" spans="1:15">
      <c r="A18" s="76"/>
      <c r="B18" s="56"/>
      <c r="C18" s="591" t="s">
        <v>654</v>
      </c>
      <c r="D18" s="592"/>
      <c r="E18" s="592"/>
      <c r="F18" s="592"/>
      <c r="G18" s="592"/>
      <c r="H18" s="592"/>
      <c r="I18" s="592"/>
      <c r="J18" s="592"/>
      <c r="K18" s="107">
        <v>23</v>
      </c>
    </row>
    <row r="19" spans="1:15">
      <c r="A19" s="75">
        <v>80000</v>
      </c>
      <c r="B19" s="46">
        <v>80020</v>
      </c>
      <c r="C19" s="586" t="s">
        <v>643</v>
      </c>
      <c r="D19" s="98" t="s">
        <v>120</v>
      </c>
      <c r="E19" s="22">
        <v>3</v>
      </c>
      <c r="F19" s="22">
        <v>2</v>
      </c>
      <c r="G19" s="22">
        <v>5</v>
      </c>
      <c r="H19" s="22">
        <v>0</v>
      </c>
      <c r="I19" s="22">
        <v>5</v>
      </c>
      <c r="J19" s="22">
        <v>0</v>
      </c>
      <c r="K19" s="83">
        <v>5</v>
      </c>
    </row>
    <row r="20" spans="1:15">
      <c r="A20" s="75">
        <v>41111</v>
      </c>
      <c r="B20" s="46">
        <v>41121</v>
      </c>
      <c r="C20" s="576"/>
      <c r="D20" s="98" t="s">
        <v>124</v>
      </c>
      <c r="E20" s="22">
        <v>6</v>
      </c>
      <c r="F20" s="22">
        <v>0</v>
      </c>
      <c r="G20" s="22">
        <v>6</v>
      </c>
      <c r="H20" s="22">
        <v>0</v>
      </c>
      <c r="I20" s="22">
        <v>6</v>
      </c>
      <c r="J20" s="22">
        <v>0</v>
      </c>
      <c r="K20" s="83">
        <v>6</v>
      </c>
    </row>
    <row r="21" spans="1:15">
      <c r="A21" s="75">
        <v>43011</v>
      </c>
      <c r="B21" s="46">
        <v>43021</v>
      </c>
      <c r="C21" s="100" t="s">
        <v>647</v>
      </c>
      <c r="D21" s="98" t="s">
        <v>165</v>
      </c>
      <c r="E21" s="22">
        <v>7</v>
      </c>
      <c r="F21" s="22">
        <v>3</v>
      </c>
      <c r="G21" s="22">
        <v>10</v>
      </c>
      <c r="H21" s="22">
        <v>2</v>
      </c>
      <c r="I21" s="22">
        <v>12</v>
      </c>
      <c r="J21" s="22">
        <v>0</v>
      </c>
      <c r="K21" s="83">
        <v>12</v>
      </c>
    </row>
    <row r="22" spans="1:15">
      <c r="A22" s="75">
        <v>41011</v>
      </c>
      <c r="B22" s="46">
        <v>41021</v>
      </c>
      <c r="C22" s="591" t="s">
        <v>653</v>
      </c>
      <c r="D22" s="592"/>
      <c r="E22" s="592"/>
      <c r="F22" s="592"/>
      <c r="G22" s="592"/>
      <c r="H22" s="592"/>
      <c r="I22" s="592"/>
      <c r="J22" s="592"/>
      <c r="K22" s="104">
        <v>55</v>
      </c>
    </row>
    <row r="23" spans="1:15">
      <c r="A23" s="75">
        <v>42111</v>
      </c>
      <c r="B23" s="46">
        <v>42121</v>
      </c>
      <c r="C23" s="84"/>
      <c r="D23" s="98" t="s">
        <v>172</v>
      </c>
      <c r="E23" s="22">
        <v>44</v>
      </c>
      <c r="F23" s="22">
        <v>3</v>
      </c>
      <c r="G23" s="22">
        <v>47</v>
      </c>
      <c r="H23" s="22">
        <v>8</v>
      </c>
      <c r="I23" s="22">
        <v>55</v>
      </c>
      <c r="J23" s="22">
        <v>0</v>
      </c>
      <c r="K23" s="83">
        <v>55</v>
      </c>
    </row>
    <row r="24" spans="1:15">
      <c r="A24" s="75">
        <v>42411</v>
      </c>
      <c r="B24" s="46">
        <v>42421</v>
      </c>
      <c r="C24" s="595" t="s">
        <v>645</v>
      </c>
      <c r="D24" s="596"/>
      <c r="E24" s="596"/>
      <c r="F24" s="596"/>
      <c r="G24" s="596"/>
      <c r="H24" s="596"/>
      <c r="I24" s="596"/>
      <c r="J24" s="596"/>
      <c r="K24" s="112">
        <v>562</v>
      </c>
    </row>
    <row r="25" spans="1:15">
      <c r="A25" s="75">
        <v>42211</v>
      </c>
      <c r="B25" s="46">
        <v>42221</v>
      </c>
      <c r="C25" s="584" t="s">
        <v>620</v>
      </c>
      <c r="D25" s="585"/>
      <c r="E25" s="78">
        <v>131</v>
      </c>
      <c r="F25" s="78">
        <v>9</v>
      </c>
      <c r="G25" s="78">
        <v>140</v>
      </c>
      <c r="H25" s="78">
        <v>24</v>
      </c>
      <c r="I25" s="78">
        <v>164</v>
      </c>
      <c r="J25" s="78">
        <v>77</v>
      </c>
      <c r="K25" s="87">
        <v>241</v>
      </c>
      <c r="L25" s="94"/>
    </row>
    <row r="26" spans="1:15">
      <c r="A26" s="75">
        <v>42011</v>
      </c>
      <c r="B26" s="46">
        <v>42021</v>
      </c>
      <c r="C26" s="586" t="s">
        <v>625</v>
      </c>
      <c r="D26" s="98" t="s">
        <v>280</v>
      </c>
      <c r="E26" s="22">
        <v>9</v>
      </c>
      <c r="F26" s="22">
        <v>0</v>
      </c>
      <c r="G26" s="22">
        <v>9</v>
      </c>
      <c r="H26" s="22">
        <v>3</v>
      </c>
      <c r="I26" s="22">
        <v>12</v>
      </c>
      <c r="J26" s="101">
        <v>4</v>
      </c>
      <c r="K26" s="83">
        <v>16</v>
      </c>
    </row>
    <row r="27" spans="1:15">
      <c r="A27" s="75">
        <v>42311</v>
      </c>
      <c r="B27" s="46">
        <v>42321</v>
      </c>
      <c r="C27" s="575"/>
      <c r="D27" s="98" t="s">
        <v>349</v>
      </c>
      <c r="E27" s="22">
        <v>14</v>
      </c>
      <c r="F27" s="22">
        <v>0</v>
      </c>
      <c r="G27" s="22">
        <v>14</v>
      </c>
      <c r="H27" s="22">
        <v>1</v>
      </c>
      <c r="I27" s="22">
        <v>15</v>
      </c>
      <c r="J27" s="101">
        <v>6</v>
      </c>
      <c r="K27" s="83">
        <v>21</v>
      </c>
    </row>
    <row r="28" spans="1:15">
      <c r="A28" s="75">
        <v>43211</v>
      </c>
      <c r="B28" s="46">
        <v>43221</v>
      </c>
      <c r="C28" s="576"/>
      <c r="D28" s="98" t="s">
        <v>258</v>
      </c>
      <c r="E28" s="22">
        <v>21</v>
      </c>
      <c r="F28" s="22">
        <v>0</v>
      </c>
      <c r="G28" s="22">
        <v>21</v>
      </c>
      <c r="H28" s="22">
        <v>5</v>
      </c>
      <c r="I28" s="22">
        <v>26</v>
      </c>
      <c r="J28" s="101">
        <v>19</v>
      </c>
      <c r="K28" s="83">
        <v>45</v>
      </c>
    </row>
    <row r="29" spans="1:15" hidden="1">
      <c r="A29" s="75">
        <v>43311</v>
      </c>
      <c r="B29" s="46">
        <v>43321</v>
      </c>
      <c r="C29" s="571" t="s">
        <v>626</v>
      </c>
      <c r="D29" s="98" t="s">
        <v>305</v>
      </c>
      <c r="E29" s="22">
        <v>10</v>
      </c>
      <c r="F29" s="22">
        <v>0</v>
      </c>
      <c r="G29" s="22">
        <v>10</v>
      </c>
      <c r="H29" s="22">
        <v>1</v>
      </c>
      <c r="I29" s="22">
        <v>11</v>
      </c>
      <c r="J29" s="101">
        <v>10</v>
      </c>
      <c r="K29" s="83">
        <v>21</v>
      </c>
      <c r="L29" s="588" t="s">
        <v>658</v>
      </c>
      <c r="M29" s="589"/>
      <c r="N29" s="589"/>
      <c r="O29" s="589"/>
    </row>
    <row r="30" spans="1:15" hidden="1">
      <c r="A30" s="75">
        <v>41200</v>
      </c>
      <c r="B30" s="46">
        <v>41220</v>
      </c>
      <c r="C30" s="571"/>
      <c r="D30" s="98" t="s">
        <v>339</v>
      </c>
      <c r="E30" s="22">
        <v>9</v>
      </c>
      <c r="F30" s="22">
        <v>1</v>
      </c>
      <c r="G30" s="22">
        <v>10</v>
      </c>
      <c r="H30" s="22">
        <v>3</v>
      </c>
      <c r="I30" s="22">
        <v>13</v>
      </c>
      <c r="J30" s="101">
        <v>0</v>
      </c>
      <c r="K30" s="83">
        <v>13</v>
      </c>
      <c r="L30" s="588"/>
      <c r="M30" s="589"/>
      <c r="N30" s="589"/>
      <c r="O30" s="589"/>
    </row>
    <row r="31" spans="1:15">
      <c r="A31" s="75"/>
      <c r="C31" s="571"/>
      <c r="D31" s="98" t="s">
        <v>660</v>
      </c>
      <c r="E31" s="22">
        <v>19</v>
      </c>
      <c r="F31" s="22">
        <v>1</v>
      </c>
      <c r="G31" s="22">
        <v>20</v>
      </c>
      <c r="H31" s="22">
        <v>4</v>
      </c>
      <c r="I31" s="22">
        <v>24</v>
      </c>
      <c r="J31" s="101">
        <v>10</v>
      </c>
      <c r="K31" s="83">
        <v>34</v>
      </c>
      <c r="L31" s="102"/>
      <c r="M31" s="102"/>
      <c r="N31" s="102"/>
      <c r="O31" s="102"/>
    </row>
    <row r="32" spans="1:15">
      <c r="A32" s="75">
        <v>40400</v>
      </c>
      <c r="B32" s="46">
        <v>40420</v>
      </c>
      <c r="C32" s="571"/>
      <c r="D32" s="98" t="s">
        <v>318</v>
      </c>
      <c r="E32" s="22">
        <v>11</v>
      </c>
      <c r="F32" s="22">
        <v>0</v>
      </c>
      <c r="G32" s="22">
        <v>11</v>
      </c>
      <c r="H32" s="22">
        <v>0</v>
      </c>
      <c r="I32" s="22">
        <v>11</v>
      </c>
      <c r="J32" s="101">
        <v>4</v>
      </c>
      <c r="K32" s="83">
        <v>15</v>
      </c>
    </row>
    <row r="33" spans="1:14">
      <c r="A33" s="75">
        <v>40000</v>
      </c>
      <c r="B33" s="46">
        <v>40020</v>
      </c>
      <c r="C33" s="571"/>
      <c r="D33" s="98" t="s">
        <v>290</v>
      </c>
      <c r="E33" s="22">
        <v>13</v>
      </c>
      <c r="F33" s="22">
        <v>0</v>
      </c>
      <c r="G33" s="22">
        <v>13</v>
      </c>
      <c r="H33" s="22">
        <v>2</v>
      </c>
      <c r="I33" s="22">
        <v>15</v>
      </c>
      <c r="J33" s="101">
        <v>11</v>
      </c>
      <c r="K33" s="83">
        <v>26</v>
      </c>
    </row>
    <row r="34" spans="1:14">
      <c r="A34" s="76"/>
      <c r="B34" s="56"/>
      <c r="C34" s="571"/>
      <c r="D34" s="98" t="s">
        <v>331</v>
      </c>
      <c r="E34" s="22">
        <v>7</v>
      </c>
      <c r="F34" s="22">
        <v>0</v>
      </c>
      <c r="G34" s="22">
        <v>7</v>
      </c>
      <c r="H34" s="22">
        <v>0</v>
      </c>
      <c r="I34" s="22">
        <v>7</v>
      </c>
      <c r="J34" s="101">
        <v>6</v>
      </c>
      <c r="K34" s="83">
        <v>13</v>
      </c>
    </row>
    <row r="35" spans="1:14">
      <c r="A35" s="75">
        <v>67211</v>
      </c>
      <c r="B35" s="46">
        <v>67221</v>
      </c>
      <c r="C35" s="571" t="s">
        <v>627</v>
      </c>
      <c r="D35" s="98" t="s">
        <v>364</v>
      </c>
      <c r="E35" s="22">
        <v>12</v>
      </c>
      <c r="F35" s="22">
        <v>7</v>
      </c>
      <c r="G35" s="22">
        <v>19</v>
      </c>
      <c r="H35" s="22">
        <v>4</v>
      </c>
      <c r="I35" s="22">
        <v>23</v>
      </c>
      <c r="J35" s="101">
        <v>13</v>
      </c>
      <c r="K35" s="83">
        <v>36</v>
      </c>
    </row>
    <row r="36" spans="1:14">
      <c r="A36" s="75">
        <v>68011</v>
      </c>
      <c r="B36" s="46">
        <v>68021</v>
      </c>
      <c r="C36" s="571"/>
      <c r="D36" s="98" t="s">
        <v>377</v>
      </c>
      <c r="E36" s="22">
        <v>4</v>
      </c>
      <c r="F36" s="22">
        <v>0</v>
      </c>
      <c r="G36" s="22">
        <v>4</v>
      </c>
      <c r="H36" s="22">
        <v>1</v>
      </c>
      <c r="I36" s="22">
        <v>5</v>
      </c>
      <c r="J36" s="101">
        <v>1</v>
      </c>
      <c r="K36" s="83">
        <v>6</v>
      </c>
    </row>
    <row r="37" spans="1:14">
      <c r="A37" s="75">
        <v>69211</v>
      </c>
      <c r="B37" s="46">
        <v>69221</v>
      </c>
      <c r="C37" s="571"/>
      <c r="D37" s="98" t="s">
        <v>103</v>
      </c>
      <c r="E37" s="22">
        <v>8</v>
      </c>
      <c r="F37" s="22">
        <v>0</v>
      </c>
      <c r="G37" s="22">
        <v>8</v>
      </c>
      <c r="H37" s="22">
        <v>4</v>
      </c>
      <c r="I37" s="22">
        <v>12</v>
      </c>
      <c r="J37" s="101">
        <v>3</v>
      </c>
      <c r="K37" s="83">
        <v>15</v>
      </c>
    </row>
    <row r="38" spans="1:14">
      <c r="A38" s="75">
        <v>69111</v>
      </c>
      <c r="B38" s="46">
        <v>69121</v>
      </c>
      <c r="C38" s="571"/>
      <c r="D38" s="98" t="s">
        <v>98</v>
      </c>
      <c r="E38" s="22">
        <v>4</v>
      </c>
      <c r="F38" s="22">
        <v>0</v>
      </c>
      <c r="G38" s="22">
        <v>4</v>
      </c>
      <c r="H38" s="22">
        <v>0</v>
      </c>
      <c r="I38" s="22">
        <v>4</v>
      </c>
      <c r="J38" s="101">
        <v>0</v>
      </c>
      <c r="K38" s="83">
        <v>4</v>
      </c>
    </row>
    <row r="39" spans="1:14">
      <c r="A39" s="75">
        <v>64011</v>
      </c>
      <c r="B39" s="46">
        <v>64021</v>
      </c>
      <c r="C39" s="84"/>
      <c r="D39" s="98" t="s">
        <v>87</v>
      </c>
      <c r="E39" s="22">
        <v>9</v>
      </c>
      <c r="F39" s="22">
        <v>1</v>
      </c>
      <c r="G39" s="22">
        <v>10</v>
      </c>
      <c r="H39" s="22">
        <v>0</v>
      </c>
      <c r="I39" s="22">
        <v>10</v>
      </c>
      <c r="J39" s="101">
        <v>0</v>
      </c>
      <c r="K39" s="83">
        <v>10</v>
      </c>
    </row>
    <row r="40" spans="1:14">
      <c r="A40" s="75">
        <v>64111</v>
      </c>
      <c r="B40" s="46">
        <v>64121</v>
      </c>
      <c r="C40" s="584" t="s">
        <v>619</v>
      </c>
      <c r="D40" s="585"/>
      <c r="E40" s="78">
        <v>102</v>
      </c>
      <c r="F40" s="78">
        <v>10</v>
      </c>
      <c r="G40" s="78">
        <v>112</v>
      </c>
      <c r="H40" s="78">
        <v>25</v>
      </c>
      <c r="I40" s="78">
        <v>137</v>
      </c>
      <c r="J40" s="78">
        <v>111</v>
      </c>
      <c r="K40" s="87">
        <v>248</v>
      </c>
    </row>
    <row r="41" spans="1:14">
      <c r="A41" s="75">
        <v>64211</v>
      </c>
      <c r="B41" s="46">
        <v>64221</v>
      </c>
      <c r="C41" s="586" t="s">
        <v>625</v>
      </c>
      <c r="D41" s="98" t="s">
        <v>476</v>
      </c>
      <c r="E41" s="22">
        <v>6</v>
      </c>
      <c r="F41" s="22">
        <v>0</v>
      </c>
      <c r="G41" s="22">
        <v>6</v>
      </c>
      <c r="H41" s="22">
        <v>1</v>
      </c>
      <c r="I41" s="22">
        <v>7</v>
      </c>
      <c r="J41" s="22">
        <v>4</v>
      </c>
      <c r="K41" s="83">
        <v>11</v>
      </c>
    </row>
    <row r="42" spans="1:14">
      <c r="A42" s="75">
        <v>67011</v>
      </c>
      <c r="B42" s="46">
        <v>67021</v>
      </c>
      <c r="C42" s="575"/>
      <c r="D42" s="98" t="s">
        <v>483</v>
      </c>
      <c r="E42" s="22">
        <v>2</v>
      </c>
      <c r="F42" s="22">
        <v>0</v>
      </c>
      <c r="G42" s="22">
        <v>2</v>
      </c>
      <c r="H42" s="22">
        <v>1</v>
      </c>
      <c r="I42" s="22">
        <v>3</v>
      </c>
      <c r="J42" s="22">
        <v>6</v>
      </c>
      <c r="K42" s="83">
        <v>9</v>
      </c>
    </row>
    <row r="43" spans="1:14">
      <c r="A43" s="75">
        <v>68111</v>
      </c>
      <c r="B43" s="46">
        <v>68121</v>
      </c>
      <c r="C43" s="575"/>
      <c r="D43" s="98" t="s">
        <v>508</v>
      </c>
      <c r="E43" s="22">
        <v>4</v>
      </c>
      <c r="F43" s="22">
        <v>1</v>
      </c>
      <c r="G43" s="108">
        <v>5</v>
      </c>
      <c r="H43" s="22">
        <v>2</v>
      </c>
      <c r="I43" s="22">
        <v>7</v>
      </c>
      <c r="J43" s="22">
        <v>0</v>
      </c>
      <c r="K43" s="83">
        <v>7</v>
      </c>
    </row>
    <row r="44" spans="1:14">
      <c r="A44" s="75">
        <v>64311</v>
      </c>
      <c r="B44" s="46">
        <v>64321</v>
      </c>
      <c r="C44" s="576"/>
      <c r="D44" s="98" t="s">
        <v>506</v>
      </c>
      <c r="E44" s="22">
        <v>1</v>
      </c>
      <c r="F44" s="22">
        <v>0</v>
      </c>
      <c r="G44" s="108">
        <v>1</v>
      </c>
      <c r="H44" s="22">
        <v>0</v>
      </c>
      <c r="I44" s="22">
        <v>1</v>
      </c>
      <c r="J44" s="22">
        <v>2</v>
      </c>
      <c r="K44" s="83">
        <v>3</v>
      </c>
    </row>
    <row r="45" spans="1:14" hidden="1">
      <c r="A45" s="75">
        <v>69011</v>
      </c>
      <c r="B45" s="46">
        <v>69021</v>
      </c>
      <c r="C45" s="571" t="s">
        <v>626</v>
      </c>
      <c r="D45" s="98" t="s">
        <v>416</v>
      </c>
      <c r="E45" s="22">
        <v>5</v>
      </c>
      <c r="F45" s="22">
        <v>0</v>
      </c>
      <c r="G45" s="22">
        <v>5</v>
      </c>
      <c r="H45" s="22">
        <v>2</v>
      </c>
      <c r="I45" s="22">
        <v>7</v>
      </c>
      <c r="J45" s="22">
        <v>4</v>
      </c>
      <c r="K45" s="83">
        <v>11</v>
      </c>
      <c r="L45" s="588" t="s">
        <v>659</v>
      </c>
      <c r="M45" s="570"/>
      <c r="N45" s="570"/>
    </row>
    <row r="46" spans="1:14" hidden="1">
      <c r="A46" s="75">
        <v>60300</v>
      </c>
      <c r="B46" s="46">
        <v>60320</v>
      </c>
      <c r="C46" s="571"/>
      <c r="D46" s="98" t="s">
        <v>422</v>
      </c>
      <c r="E46" s="22">
        <v>4</v>
      </c>
      <c r="F46" s="22">
        <v>1</v>
      </c>
      <c r="G46" s="22">
        <v>5</v>
      </c>
      <c r="H46" s="22">
        <v>1</v>
      </c>
      <c r="I46" s="22">
        <v>6</v>
      </c>
      <c r="J46" s="22">
        <v>0</v>
      </c>
      <c r="K46" s="83">
        <v>6</v>
      </c>
      <c r="L46" s="588"/>
      <c r="M46" s="570"/>
      <c r="N46" s="570"/>
    </row>
    <row r="47" spans="1:14">
      <c r="A47" s="75"/>
      <c r="C47" s="571"/>
      <c r="D47" s="98" t="s">
        <v>657</v>
      </c>
      <c r="E47" s="22">
        <v>9</v>
      </c>
      <c r="F47" s="22">
        <v>1</v>
      </c>
      <c r="G47" s="22">
        <v>10</v>
      </c>
      <c r="H47" s="22">
        <v>3</v>
      </c>
      <c r="I47" s="22">
        <v>13</v>
      </c>
      <c r="J47" s="22">
        <v>4</v>
      </c>
      <c r="K47" s="83">
        <v>17</v>
      </c>
    </row>
    <row r="48" spans="1:14">
      <c r="A48" s="75">
        <v>60411</v>
      </c>
      <c r="B48" s="46">
        <v>60421</v>
      </c>
      <c r="C48" s="571"/>
      <c r="D48" s="98" t="s">
        <v>429</v>
      </c>
      <c r="E48" s="22">
        <v>1</v>
      </c>
      <c r="F48" s="22">
        <v>1</v>
      </c>
      <c r="G48" s="22">
        <v>2</v>
      </c>
      <c r="H48" s="22">
        <v>0</v>
      </c>
      <c r="I48" s="22">
        <v>2</v>
      </c>
      <c r="J48" s="22">
        <v>0</v>
      </c>
      <c r="K48" s="83">
        <v>2</v>
      </c>
    </row>
    <row r="49" spans="1:12">
      <c r="A49" s="75">
        <v>65011</v>
      </c>
      <c r="B49" s="46">
        <v>65021</v>
      </c>
      <c r="C49" s="571"/>
      <c r="D49" s="98" t="s">
        <v>466</v>
      </c>
      <c r="E49" s="22">
        <v>9</v>
      </c>
      <c r="F49" s="22">
        <v>0</v>
      </c>
      <c r="G49" s="22">
        <v>9</v>
      </c>
      <c r="H49" s="22">
        <v>1</v>
      </c>
      <c r="I49" s="22">
        <v>10</v>
      </c>
      <c r="J49" s="22">
        <v>3</v>
      </c>
      <c r="K49" s="83">
        <v>13</v>
      </c>
    </row>
    <row r="50" spans="1:12">
      <c r="A50" s="75">
        <v>66011</v>
      </c>
      <c r="B50" s="46">
        <v>66021</v>
      </c>
      <c r="C50" s="571"/>
      <c r="D50" s="98" t="s">
        <v>485</v>
      </c>
      <c r="E50" s="22">
        <v>4</v>
      </c>
      <c r="F50" s="22">
        <v>1</v>
      </c>
      <c r="G50" s="22">
        <v>5</v>
      </c>
      <c r="H50" s="22">
        <v>0</v>
      </c>
      <c r="I50" s="22">
        <v>5</v>
      </c>
      <c r="J50" s="22">
        <v>0</v>
      </c>
      <c r="K50" s="83">
        <v>5</v>
      </c>
    </row>
    <row r="51" spans="1:12">
      <c r="A51" s="75">
        <v>61300</v>
      </c>
      <c r="B51" s="46">
        <v>61320</v>
      </c>
      <c r="C51" s="571"/>
      <c r="D51" s="98" t="s">
        <v>431</v>
      </c>
      <c r="E51" s="22">
        <v>1</v>
      </c>
      <c r="F51" s="22">
        <v>0</v>
      </c>
      <c r="G51" s="22">
        <v>1</v>
      </c>
      <c r="H51" s="22">
        <v>0</v>
      </c>
      <c r="I51" s="22">
        <v>1</v>
      </c>
      <c r="J51" s="22">
        <v>4</v>
      </c>
      <c r="K51" s="83">
        <v>5</v>
      </c>
    </row>
    <row r="52" spans="1:12">
      <c r="A52" s="76"/>
      <c r="B52" s="56"/>
      <c r="C52" s="571" t="s">
        <v>627</v>
      </c>
      <c r="D52" s="98" t="s">
        <v>489</v>
      </c>
      <c r="E52" s="22">
        <v>18</v>
      </c>
      <c r="F52" s="22">
        <v>1</v>
      </c>
      <c r="G52" s="22">
        <v>19</v>
      </c>
      <c r="H52" s="22">
        <v>3</v>
      </c>
      <c r="I52" s="22">
        <v>22</v>
      </c>
      <c r="J52" s="22">
        <v>25</v>
      </c>
      <c r="K52" s="83">
        <v>47</v>
      </c>
    </row>
    <row r="53" spans="1:12">
      <c r="A53" s="75">
        <v>44011</v>
      </c>
      <c r="B53" s="46">
        <v>44021</v>
      </c>
      <c r="C53" s="571"/>
      <c r="D53" s="98" t="s">
        <v>138</v>
      </c>
      <c r="E53" s="22">
        <v>8</v>
      </c>
      <c r="F53" s="22">
        <v>0</v>
      </c>
      <c r="G53" s="22">
        <v>8</v>
      </c>
      <c r="H53" s="22">
        <v>3</v>
      </c>
      <c r="I53" s="22">
        <v>11</v>
      </c>
      <c r="J53" s="22">
        <v>7</v>
      </c>
      <c r="K53" s="83">
        <v>18</v>
      </c>
    </row>
    <row r="54" spans="1:12">
      <c r="A54" s="75">
        <v>44111</v>
      </c>
      <c r="B54" s="46">
        <v>44121</v>
      </c>
      <c r="C54" s="571"/>
      <c r="D54" s="98" t="s">
        <v>411</v>
      </c>
      <c r="E54" s="22">
        <v>3</v>
      </c>
      <c r="F54" s="22">
        <v>0</v>
      </c>
      <c r="G54" s="22">
        <v>3</v>
      </c>
      <c r="H54" s="22">
        <v>3</v>
      </c>
      <c r="I54" s="22">
        <v>6</v>
      </c>
      <c r="J54" s="22">
        <v>2</v>
      </c>
      <c r="K54" s="83">
        <v>8</v>
      </c>
    </row>
    <row r="55" spans="1:12">
      <c r="A55" s="75">
        <v>44511</v>
      </c>
      <c r="B55" s="46">
        <v>44521</v>
      </c>
      <c r="C55" s="571" t="s">
        <v>628</v>
      </c>
      <c r="D55" s="98" t="s">
        <v>433</v>
      </c>
      <c r="E55" s="22">
        <v>15</v>
      </c>
      <c r="F55" s="22">
        <v>1</v>
      </c>
      <c r="G55" s="22">
        <v>16</v>
      </c>
      <c r="H55" s="22">
        <v>5</v>
      </c>
      <c r="I55" s="22">
        <v>21</v>
      </c>
      <c r="J55" s="22">
        <v>46</v>
      </c>
      <c r="K55" s="83">
        <v>67</v>
      </c>
    </row>
    <row r="56" spans="1:12">
      <c r="A56" s="75">
        <v>45111</v>
      </c>
      <c r="B56" s="46">
        <v>45121</v>
      </c>
      <c r="C56" s="571"/>
      <c r="D56" s="98" t="s">
        <v>449</v>
      </c>
      <c r="E56" s="22">
        <v>16</v>
      </c>
      <c r="F56" s="22">
        <v>3</v>
      </c>
      <c r="G56" s="22">
        <v>19</v>
      </c>
      <c r="H56" s="22">
        <v>2</v>
      </c>
      <c r="I56" s="22">
        <v>21</v>
      </c>
      <c r="J56" s="22">
        <v>8</v>
      </c>
      <c r="K56" s="83">
        <v>29</v>
      </c>
    </row>
    <row r="57" spans="1:12">
      <c r="A57" s="75">
        <v>44200</v>
      </c>
      <c r="B57" s="46">
        <v>44220</v>
      </c>
      <c r="C57" s="84"/>
      <c r="D57" s="98" t="s">
        <v>162</v>
      </c>
      <c r="E57" s="22">
        <v>5</v>
      </c>
      <c r="F57" s="22">
        <v>1</v>
      </c>
      <c r="G57" s="22">
        <v>6</v>
      </c>
      <c r="H57" s="22">
        <v>1</v>
      </c>
      <c r="I57" s="22">
        <v>7</v>
      </c>
      <c r="J57" s="22">
        <v>0</v>
      </c>
      <c r="K57" s="83">
        <v>7</v>
      </c>
    </row>
    <row r="58" spans="1:12">
      <c r="A58" s="76"/>
      <c r="B58" s="56"/>
      <c r="C58" s="584" t="s">
        <v>618</v>
      </c>
      <c r="D58" s="585"/>
      <c r="E58" s="78">
        <v>32</v>
      </c>
      <c r="F58" s="78">
        <v>2</v>
      </c>
      <c r="G58" s="78">
        <v>34</v>
      </c>
      <c r="H58" s="78">
        <v>5</v>
      </c>
      <c r="I58" s="78">
        <v>39</v>
      </c>
      <c r="J58" s="78">
        <v>8</v>
      </c>
      <c r="K58" s="87">
        <v>47</v>
      </c>
      <c r="L58" s="94"/>
    </row>
    <row r="59" spans="1:12">
      <c r="A59" s="75">
        <v>20000</v>
      </c>
      <c r="B59" s="46">
        <v>20020</v>
      </c>
      <c r="C59" s="586" t="s">
        <v>625</v>
      </c>
      <c r="D59" s="98" t="s">
        <v>381</v>
      </c>
      <c r="E59" s="22">
        <v>2</v>
      </c>
      <c r="F59" s="22">
        <v>0</v>
      </c>
      <c r="G59" s="22">
        <v>2</v>
      </c>
      <c r="H59" s="22">
        <v>1</v>
      </c>
      <c r="I59" s="22">
        <v>3</v>
      </c>
      <c r="J59" s="22">
        <v>1</v>
      </c>
      <c r="K59" s="83">
        <v>4</v>
      </c>
    </row>
    <row r="60" spans="1:12">
      <c r="A60" s="75">
        <v>21000</v>
      </c>
      <c r="B60" s="46">
        <v>21020</v>
      </c>
      <c r="C60" s="575"/>
      <c r="D60" s="98" t="s">
        <v>383</v>
      </c>
      <c r="E60" s="22">
        <v>5</v>
      </c>
      <c r="F60" s="22">
        <v>0</v>
      </c>
      <c r="G60" s="22">
        <v>5</v>
      </c>
      <c r="H60" s="22">
        <v>0</v>
      </c>
      <c r="I60" s="22">
        <v>5</v>
      </c>
      <c r="J60" s="22">
        <v>0</v>
      </c>
      <c r="K60" s="83">
        <v>5</v>
      </c>
    </row>
    <row r="61" spans="1:12">
      <c r="A61" s="75">
        <v>22000</v>
      </c>
      <c r="B61" s="46">
        <v>22020</v>
      </c>
      <c r="C61" s="575"/>
      <c r="D61" s="98" t="s">
        <v>389</v>
      </c>
      <c r="E61" s="22">
        <v>6</v>
      </c>
      <c r="F61" s="22">
        <v>0</v>
      </c>
      <c r="G61" s="22">
        <v>6</v>
      </c>
      <c r="H61" s="22">
        <v>0</v>
      </c>
      <c r="I61" s="22">
        <v>6</v>
      </c>
      <c r="J61" s="22">
        <v>2</v>
      </c>
      <c r="K61" s="83">
        <v>8</v>
      </c>
    </row>
    <row r="62" spans="1:12">
      <c r="A62" s="75">
        <v>60000</v>
      </c>
      <c r="B62" s="46">
        <v>60020</v>
      </c>
      <c r="C62" s="576"/>
      <c r="D62" s="98" t="s">
        <v>396</v>
      </c>
      <c r="E62" s="22">
        <v>14</v>
      </c>
      <c r="F62" s="22">
        <v>0</v>
      </c>
      <c r="G62" s="22">
        <v>14</v>
      </c>
      <c r="H62" s="22">
        <v>2</v>
      </c>
      <c r="I62" s="22">
        <v>16</v>
      </c>
      <c r="J62" s="22">
        <v>5</v>
      </c>
      <c r="K62" s="83">
        <v>21</v>
      </c>
    </row>
    <row r="63" spans="1:12">
      <c r="A63" s="75">
        <v>60100</v>
      </c>
      <c r="B63" s="46">
        <v>60120</v>
      </c>
      <c r="C63" s="99" t="s">
        <v>626</v>
      </c>
      <c r="D63" s="98" t="s">
        <v>114</v>
      </c>
      <c r="E63" s="22">
        <v>5</v>
      </c>
      <c r="F63" s="22">
        <v>2</v>
      </c>
      <c r="G63" s="22">
        <v>7</v>
      </c>
      <c r="H63" s="22">
        <v>2</v>
      </c>
      <c r="I63" s="22">
        <v>9</v>
      </c>
      <c r="J63" s="22">
        <v>0</v>
      </c>
      <c r="K63" s="83">
        <v>9</v>
      </c>
    </row>
    <row r="64" spans="1:12">
      <c r="A64" s="75">
        <v>60200</v>
      </c>
      <c r="B64" s="46">
        <v>60220</v>
      </c>
      <c r="C64" s="584" t="s">
        <v>616</v>
      </c>
      <c r="D64" s="585"/>
      <c r="E64" s="78">
        <v>15</v>
      </c>
      <c r="F64" s="78">
        <v>9</v>
      </c>
      <c r="G64" s="78">
        <v>24</v>
      </c>
      <c r="H64" s="78">
        <v>0</v>
      </c>
      <c r="I64" s="78">
        <v>24</v>
      </c>
      <c r="J64" s="78">
        <v>2</v>
      </c>
      <c r="K64" s="87">
        <v>26</v>
      </c>
      <c r="L64" s="94"/>
    </row>
    <row r="65" spans="1:12">
      <c r="A65" s="76"/>
      <c r="B65" s="56"/>
      <c r="C65" s="586" t="s">
        <v>643</v>
      </c>
      <c r="D65" s="98" t="s">
        <v>45</v>
      </c>
      <c r="E65" s="22">
        <v>3</v>
      </c>
      <c r="F65" s="22">
        <v>1</v>
      </c>
      <c r="G65" s="22">
        <v>4</v>
      </c>
      <c r="H65" s="22">
        <v>0</v>
      </c>
      <c r="I65" s="22">
        <v>4</v>
      </c>
      <c r="J65" s="22">
        <v>0</v>
      </c>
      <c r="K65" s="83">
        <v>4</v>
      </c>
    </row>
    <row r="66" spans="1:12">
      <c r="A66" s="75">
        <v>30000</v>
      </c>
      <c r="B66" s="46">
        <v>30020</v>
      </c>
      <c r="C66" s="575"/>
      <c r="D66" s="81" t="s">
        <v>638</v>
      </c>
      <c r="E66" s="22">
        <v>3</v>
      </c>
      <c r="F66" s="22">
        <v>1</v>
      </c>
      <c r="G66" s="22">
        <v>4</v>
      </c>
      <c r="H66" s="22">
        <v>0</v>
      </c>
      <c r="I66" s="22">
        <v>4</v>
      </c>
      <c r="J66" s="22">
        <v>1</v>
      </c>
      <c r="K66" s="83">
        <v>5</v>
      </c>
    </row>
    <row r="67" spans="1:12">
      <c r="A67" s="75">
        <v>31000</v>
      </c>
      <c r="B67" s="46">
        <v>31020</v>
      </c>
      <c r="C67" s="576"/>
      <c r="D67" s="98" t="s">
        <v>49</v>
      </c>
      <c r="E67" s="22">
        <v>3</v>
      </c>
      <c r="F67" s="22">
        <v>2</v>
      </c>
      <c r="G67" s="22">
        <v>5</v>
      </c>
      <c r="H67" s="22">
        <v>0</v>
      </c>
      <c r="I67" s="22">
        <v>5</v>
      </c>
      <c r="J67" s="22">
        <v>1</v>
      </c>
      <c r="K67" s="83">
        <v>6</v>
      </c>
    </row>
    <row r="68" spans="1:12">
      <c r="A68" s="75">
        <v>32000</v>
      </c>
      <c r="B68" s="46">
        <v>32020</v>
      </c>
      <c r="C68" s="586" t="s">
        <v>647</v>
      </c>
      <c r="D68" s="98" t="s">
        <v>131</v>
      </c>
      <c r="E68" s="22">
        <v>2</v>
      </c>
      <c r="F68" s="22">
        <v>2</v>
      </c>
      <c r="G68" s="22">
        <v>4</v>
      </c>
      <c r="H68" s="22">
        <v>0</v>
      </c>
      <c r="I68" s="22">
        <v>4</v>
      </c>
      <c r="J68" s="22">
        <v>0</v>
      </c>
      <c r="K68" s="83">
        <v>4</v>
      </c>
    </row>
    <row r="69" spans="1:12">
      <c r="A69" s="75">
        <v>33000</v>
      </c>
      <c r="B69" s="46">
        <v>33020</v>
      </c>
      <c r="C69" s="575"/>
      <c r="D69" s="81" t="s">
        <v>639</v>
      </c>
      <c r="E69" s="22">
        <v>1</v>
      </c>
      <c r="F69" s="22">
        <v>2</v>
      </c>
      <c r="G69" s="22">
        <v>3</v>
      </c>
      <c r="H69" s="22">
        <v>0</v>
      </c>
      <c r="I69" s="22">
        <v>3</v>
      </c>
      <c r="J69" s="22">
        <v>0</v>
      </c>
      <c r="K69" s="83">
        <v>3</v>
      </c>
    </row>
    <row r="70" spans="1:12">
      <c r="A70" s="75">
        <v>61000</v>
      </c>
      <c r="B70" s="46">
        <v>61020</v>
      </c>
      <c r="C70" s="576"/>
      <c r="D70" s="98" t="s">
        <v>134</v>
      </c>
      <c r="E70" s="22">
        <v>3</v>
      </c>
      <c r="F70" s="22">
        <v>1</v>
      </c>
      <c r="G70" s="22">
        <v>4</v>
      </c>
      <c r="H70" s="22">
        <v>0</v>
      </c>
      <c r="I70" s="22">
        <v>4</v>
      </c>
      <c r="J70" s="22">
        <v>0</v>
      </c>
      <c r="K70" s="83">
        <v>4</v>
      </c>
    </row>
    <row r="71" spans="1:12">
      <c r="A71" s="2">
        <v>61200</v>
      </c>
      <c r="B71" s="46">
        <v>61220</v>
      </c>
      <c r="C71" s="591" t="s">
        <v>652</v>
      </c>
      <c r="D71" s="592"/>
      <c r="E71" s="592"/>
      <c r="F71" s="592"/>
      <c r="G71" s="592"/>
      <c r="H71" s="592"/>
      <c r="I71" s="592"/>
      <c r="J71" s="592"/>
      <c r="K71" s="104">
        <v>58</v>
      </c>
    </row>
    <row r="72" spans="1:12">
      <c r="C72" s="584" t="s">
        <v>617</v>
      </c>
      <c r="D72" s="585"/>
      <c r="E72" s="78">
        <v>37</v>
      </c>
      <c r="F72" s="78">
        <v>4</v>
      </c>
      <c r="G72" s="78">
        <v>41</v>
      </c>
      <c r="H72" s="78">
        <v>11</v>
      </c>
      <c r="I72" s="78">
        <v>52</v>
      </c>
      <c r="J72" s="78">
        <v>6</v>
      </c>
      <c r="K72" s="87">
        <v>58</v>
      </c>
      <c r="L72" s="37"/>
    </row>
    <row r="73" spans="1:12">
      <c r="B73" s="56"/>
      <c r="C73" s="586" t="s">
        <v>643</v>
      </c>
      <c r="D73" s="98" t="s">
        <v>53</v>
      </c>
      <c r="E73" s="22">
        <v>14</v>
      </c>
      <c r="F73" s="22">
        <v>1</v>
      </c>
      <c r="G73" s="22">
        <v>15</v>
      </c>
      <c r="H73" s="22">
        <v>3</v>
      </c>
      <c r="I73" s="22">
        <v>18</v>
      </c>
      <c r="J73" s="22">
        <v>1</v>
      </c>
      <c r="K73" s="83">
        <v>19</v>
      </c>
    </row>
    <row r="74" spans="1:12">
      <c r="C74" s="575"/>
      <c r="D74" s="98" t="s">
        <v>72</v>
      </c>
      <c r="E74" s="22">
        <v>6</v>
      </c>
      <c r="F74" s="22">
        <v>1</v>
      </c>
      <c r="G74" s="22">
        <v>7</v>
      </c>
      <c r="H74" s="22">
        <v>1</v>
      </c>
      <c r="I74" s="22">
        <v>8</v>
      </c>
      <c r="J74" s="22">
        <v>0</v>
      </c>
      <c r="K74" s="83">
        <v>8</v>
      </c>
    </row>
    <row r="75" spans="1:12">
      <c r="C75" s="575"/>
      <c r="D75" s="98" t="s">
        <v>81</v>
      </c>
      <c r="E75" s="22">
        <v>2</v>
      </c>
      <c r="F75" s="22">
        <v>0</v>
      </c>
      <c r="G75" s="22">
        <v>2</v>
      </c>
      <c r="H75" s="22">
        <v>0</v>
      </c>
      <c r="I75" s="22">
        <v>2</v>
      </c>
      <c r="J75" s="22">
        <v>0</v>
      </c>
      <c r="K75" s="83">
        <v>2</v>
      </c>
    </row>
    <row r="76" spans="1:12">
      <c r="C76" s="576"/>
      <c r="D76" s="98" t="s">
        <v>84</v>
      </c>
      <c r="E76" s="22">
        <v>2</v>
      </c>
      <c r="F76" s="22">
        <v>0</v>
      </c>
      <c r="G76" s="22">
        <v>2</v>
      </c>
      <c r="H76" s="22">
        <v>0</v>
      </c>
      <c r="I76" s="22">
        <v>2</v>
      </c>
      <c r="J76" s="22">
        <v>3</v>
      </c>
      <c r="K76" s="83">
        <v>5</v>
      </c>
    </row>
    <row r="77" spans="1:12">
      <c r="C77" s="586" t="s">
        <v>647</v>
      </c>
      <c r="D77" s="98" t="s">
        <v>147</v>
      </c>
      <c r="E77" s="22">
        <v>10</v>
      </c>
      <c r="F77" s="22">
        <v>1</v>
      </c>
      <c r="G77" s="22">
        <v>11</v>
      </c>
      <c r="H77" s="22">
        <v>1</v>
      </c>
      <c r="I77" s="22">
        <v>12</v>
      </c>
      <c r="J77" s="22">
        <v>0</v>
      </c>
      <c r="K77" s="83">
        <v>12</v>
      </c>
    </row>
    <row r="78" spans="1:12">
      <c r="C78" s="576"/>
      <c r="D78" s="98" t="s">
        <v>158</v>
      </c>
      <c r="E78" s="22">
        <v>3</v>
      </c>
      <c r="F78" s="22">
        <v>1</v>
      </c>
      <c r="G78" s="22">
        <v>4</v>
      </c>
      <c r="H78" s="22">
        <v>6</v>
      </c>
      <c r="I78" s="22">
        <v>10</v>
      </c>
      <c r="J78" s="22">
        <v>2</v>
      </c>
      <c r="K78" s="83">
        <v>12</v>
      </c>
    </row>
    <row r="79" spans="1:12">
      <c r="C79" s="630" t="s">
        <v>642</v>
      </c>
      <c r="D79" s="631"/>
      <c r="E79" s="114">
        <v>399</v>
      </c>
      <c r="F79" s="114">
        <v>51</v>
      </c>
      <c r="G79" s="114">
        <v>450</v>
      </c>
      <c r="H79" s="114">
        <v>79</v>
      </c>
      <c r="I79" s="114">
        <v>529</v>
      </c>
      <c r="J79" s="114">
        <v>208</v>
      </c>
      <c r="K79" s="115">
        <v>737</v>
      </c>
      <c r="L79" s="94"/>
    </row>
    <row r="80" spans="1:12">
      <c r="C80" s="627" t="s">
        <v>649</v>
      </c>
      <c r="D80" s="628"/>
      <c r="E80" s="628"/>
      <c r="F80" s="628"/>
      <c r="G80" s="628"/>
      <c r="H80" s="628"/>
      <c r="I80" s="628"/>
      <c r="J80" s="628"/>
      <c r="K80" s="629"/>
      <c r="L80" s="37"/>
    </row>
    <row r="81" spans="3:12">
      <c r="C81" s="586"/>
      <c r="D81" s="577" t="s">
        <v>611</v>
      </c>
      <c r="E81" s="577" t="s">
        <v>612</v>
      </c>
      <c r="F81" s="577"/>
      <c r="G81" s="577" t="s">
        <v>614</v>
      </c>
      <c r="H81" s="577" t="s">
        <v>613</v>
      </c>
      <c r="I81" s="577" t="s">
        <v>622</v>
      </c>
      <c r="J81" s="579" t="s">
        <v>656</v>
      </c>
      <c r="K81" s="578" t="s">
        <v>623</v>
      </c>
      <c r="L81" s="37"/>
    </row>
    <row r="82" spans="3:12" ht="15.75" customHeight="1" thickBot="1">
      <c r="C82" s="587"/>
      <c r="D82" s="553"/>
      <c r="E82" s="95" t="s">
        <v>69</v>
      </c>
      <c r="F82" s="95" t="s">
        <v>650</v>
      </c>
      <c r="G82" s="553"/>
      <c r="H82" s="553"/>
      <c r="I82" s="553"/>
      <c r="J82" s="580"/>
      <c r="K82" s="581"/>
      <c r="L82" s="37"/>
    </row>
    <row r="83" spans="3:12">
      <c r="C83" s="602" t="s">
        <v>661</v>
      </c>
      <c r="D83" s="603"/>
      <c r="E83" s="603"/>
      <c r="F83" s="603"/>
      <c r="G83" s="603"/>
      <c r="H83" s="603"/>
      <c r="I83" s="603"/>
      <c r="J83" s="603"/>
      <c r="K83" s="603"/>
    </row>
  </sheetData>
  <mergeCells count="48">
    <mergeCell ref="I81:I82"/>
    <mergeCell ref="J81:J82"/>
    <mergeCell ref="K81:K82"/>
    <mergeCell ref="C83:K83"/>
    <mergeCell ref="C4:C5"/>
    <mergeCell ref="C71:J71"/>
    <mergeCell ref="C40:D40"/>
    <mergeCell ref="C41:C44"/>
    <mergeCell ref="C45:C51"/>
    <mergeCell ref="C8:J8"/>
    <mergeCell ref="C11:J11"/>
    <mergeCell ref="C13:J13"/>
    <mergeCell ref="C18:J18"/>
    <mergeCell ref="C19:C20"/>
    <mergeCell ref="C22:J22"/>
    <mergeCell ref="I4:I5"/>
    <mergeCell ref="C3:K3"/>
    <mergeCell ref="C81:C82"/>
    <mergeCell ref="C80:K80"/>
    <mergeCell ref="C72:D72"/>
    <mergeCell ref="C73:C76"/>
    <mergeCell ref="C77:C78"/>
    <mergeCell ref="C79:D79"/>
    <mergeCell ref="D81:D82"/>
    <mergeCell ref="E81:F81"/>
    <mergeCell ref="G81:G82"/>
    <mergeCell ref="H81:H82"/>
    <mergeCell ref="C58:D58"/>
    <mergeCell ref="C59:C62"/>
    <mergeCell ref="C64:D64"/>
    <mergeCell ref="C65:C67"/>
    <mergeCell ref="C68:C70"/>
    <mergeCell ref="L45:N46"/>
    <mergeCell ref="C52:C54"/>
    <mergeCell ref="C55:C56"/>
    <mergeCell ref="C24:J24"/>
    <mergeCell ref="C25:D25"/>
    <mergeCell ref="C26:C28"/>
    <mergeCell ref="C29:C34"/>
    <mergeCell ref="L29:O30"/>
    <mergeCell ref="C35:C38"/>
    <mergeCell ref="J4:J5"/>
    <mergeCell ref="K4:K5"/>
    <mergeCell ref="A4:A5"/>
    <mergeCell ref="D4:D5"/>
    <mergeCell ref="E4:F4"/>
    <mergeCell ref="G4:G5"/>
    <mergeCell ref="H4:H5"/>
  </mergeCells>
  <phoneticPr fontId="2"/>
  <pageMargins left="2.4803149606299213" right="0.59055118110236227" top="0.59055118110236227" bottom="0" header="0.31496062992125984" footer="0.31496062992125984"/>
  <pageSetup paperSize="8" scale="8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5"/>
  <sheetViews>
    <sheetView topLeftCell="H56" zoomScale="85" zoomScaleNormal="85" workbookViewId="0">
      <selection activeCell="J83" sqref="J83"/>
    </sheetView>
  </sheetViews>
  <sheetFormatPr defaultRowHeight="18"/>
  <cols>
    <col min="1" max="1" width="16.09765625" style="46" hidden="1" customWidth="1"/>
    <col min="2" max="2" width="11" style="46" hidden="1" customWidth="1"/>
    <col min="3" max="4" width="11" style="46" customWidth="1"/>
    <col min="5" max="5" width="25.59765625" style="117" customWidth="1"/>
    <col min="6" max="11" width="6.3984375" customWidth="1"/>
    <col min="12" max="12" width="7.19921875" customWidth="1"/>
    <col min="13" max="13" width="2.19921875" customWidth="1"/>
    <col min="14" max="14" width="11" style="46" customWidth="1"/>
    <col min="15" max="15" width="25.59765625" style="117" customWidth="1"/>
    <col min="16" max="21" width="6.3984375" customWidth="1"/>
    <col min="22" max="22" width="7.19921875" customWidth="1"/>
    <col min="23" max="23" width="2" customWidth="1"/>
    <col min="24" max="24" width="11" style="46" customWidth="1"/>
    <col min="25" max="25" width="25.59765625" style="117" customWidth="1"/>
    <col min="26" max="31" width="6.3984375" customWidth="1"/>
    <col min="32" max="32" width="7.19921875" customWidth="1"/>
  </cols>
  <sheetData>
    <row r="1" spans="1:32" ht="18.75" hidden="1" customHeight="1"/>
    <row r="2" spans="1:32" ht="6.75" customHeight="1" thickBot="1"/>
    <row r="3" spans="1:32" ht="21" customHeight="1">
      <c r="D3" s="643" t="s">
        <v>649</v>
      </c>
      <c r="E3" s="644"/>
      <c r="F3" s="644"/>
      <c r="G3" s="644"/>
      <c r="H3" s="644"/>
      <c r="I3" s="644"/>
      <c r="J3" s="644"/>
      <c r="K3" s="644"/>
      <c r="L3" s="645"/>
      <c r="N3" s="643" t="s">
        <v>662</v>
      </c>
      <c r="O3" s="644"/>
      <c r="P3" s="644"/>
      <c r="Q3" s="644"/>
      <c r="R3" s="644"/>
      <c r="S3" s="644"/>
      <c r="T3" s="644"/>
      <c r="U3" s="644"/>
      <c r="V3" s="645"/>
      <c r="X3" s="643" t="s">
        <v>673</v>
      </c>
      <c r="Y3" s="644"/>
      <c r="Z3" s="644"/>
      <c r="AA3" s="644"/>
      <c r="AB3" s="644"/>
      <c r="AC3" s="644"/>
      <c r="AD3" s="644"/>
      <c r="AE3" s="644"/>
      <c r="AF3" s="645"/>
    </row>
    <row r="4" spans="1:32" ht="18.75" customHeight="1">
      <c r="A4" s="569" t="s">
        <v>610</v>
      </c>
      <c r="B4" s="116"/>
      <c r="C4" s="116"/>
      <c r="D4" s="586"/>
      <c r="E4" s="577" t="s">
        <v>611</v>
      </c>
      <c r="F4" s="577" t="s">
        <v>612</v>
      </c>
      <c r="G4" s="577"/>
      <c r="H4" s="577" t="s">
        <v>614</v>
      </c>
      <c r="I4" s="577" t="s">
        <v>613</v>
      </c>
      <c r="J4" s="577" t="s">
        <v>622</v>
      </c>
      <c r="K4" s="579" t="s">
        <v>656</v>
      </c>
      <c r="L4" s="578" t="s">
        <v>623</v>
      </c>
      <c r="N4" s="575"/>
      <c r="O4" s="577" t="s">
        <v>611</v>
      </c>
      <c r="P4" s="577" t="s">
        <v>612</v>
      </c>
      <c r="Q4" s="577"/>
      <c r="R4" s="577" t="s">
        <v>614</v>
      </c>
      <c r="S4" s="577" t="s">
        <v>613</v>
      </c>
      <c r="T4" s="577" t="s">
        <v>622</v>
      </c>
      <c r="U4" s="579" t="s">
        <v>656</v>
      </c>
      <c r="V4" s="578" t="s">
        <v>623</v>
      </c>
      <c r="X4" s="586"/>
      <c r="Y4" s="577" t="s">
        <v>611</v>
      </c>
      <c r="Z4" s="577" t="s">
        <v>612</v>
      </c>
      <c r="AA4" s="577"/>
      <c r="AB4" s="577" t="s">
        <v>614</v>
      </c>
      <c r="AC4" s="577" t="s">
        <v>613</v>
      </c>
      <c r="AD4" s="577" t="s">
        <v>622</v>
      </c>
      <c r="AE4" s="579" t="s">
        <v>656</v>
      </c>
      <c r="AF4" s="578" t="s">
        <v>623</v>
      </c>
    </row>
    <row r="5" spans="1:32" ht="18" customHeight="1" thickBot="1">
      <c r="A5" s="569"/>
      <c r="B5" s="116"/>
      <c r="C5" s="116"/>
      <c r="D5" s="576"/>
      <c r="E5" s="577"/>
      <c r="F5" s="119" t="s">
        <v>663</v>
      </c>
      <c r="G5" s="119" t="s">
        <v>670</v>
      </c>
      <c r="H5" s="577"/>
      <c r="I5" s="577"/>
      <c r="J5" s="577"/>
      <c r="K5" s="590"/>
      <c r="L5" s="578"/>
      <c r="N5" s="587"/>
      <c r="O5" s="553"/>
      <c r="P5" s="122" t="s">
        <v>663</v>
      </c>
      <c r="Q5" s="122" t="s">
        <v>664</v>
      </c>
      <c r="R5" s="553"/>
      <c r="S5" s="553"/>
      <c r="T5" s="553"/>
      <c r="U5" s="580"/>
      <c r="V5" s="581"/>
      <c r="X5" s="576"/>
      <c r="Y5" s="577"/>
      <c r="Z5" s="119" t="s">
        <v>69</v>
      </c>
      <c r="AA5" s="119" t="s">
        <v>650</v>
      </c>
      <c r="AB5" s="577"/>
      <c r="AC5" s="577"/>
      <c r="AD5" s="577"/>
      <c r="AE5" s="590"/>
      <c r="AF5" s="578"/>
    </row>
    <row r="6" spans="1:32" ht="19.5" hidden="1" customHeight="1" thickBot="1">
      <c r="A6" s="77">
        <v>200</v>
      </c>
      <c r="B6" s="116">
        <v>202</v>
      </c>
      <c r="C6" s="116"/>
      <c r="D6" s="118"/>
      <c r="E6" s="119" t="e">
        <v>#N/A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/>
      <c r="L6" s="83">
        <v>0</v>
      </c>
      <c r="N6" s="124"/>
      <c r="O6" s="125" t="e">
        <v>#N/A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/>
      <c r="V6" s="151">
        <v>0</v>
      </c>
      <c r="X6" s="118"/>
      <c r="Y6" s="119" t="e">
        <v>#N/A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/>
      <c r="AF6" s="83">
        <v>0</v>
      </c>
    </row>
    <row r="7" spans="1:32" ht="16.5" hidden="1" customHeight="1">
      <c r="A7" s="77">
        <v>210</v>
      </c>
      <c r="B7" s="116">
        <v>211</v>
      </c>
      <c r="C7" s="116"/>
      <c r="D7" s="120"/>
      <c r="E7" s="110" t="e">
        <v>#N/A</v>
      </c>
      <c r="F7" s="111">
        <v>0</v>
      </c>
      <c r="G7" s="111">
        <v>0</v>
      </c>
      <c r="H7" s="111">
        <v>0</v>
      </c>
      <c r="I7" s="111">
        <v>0</v>
      </c>
      <c r="J7" s="111">
        <v>0</v>
      </c>
      <c r="K7" s="111"/>
      <c r="L7" s="109">
        <v>0</v>
      </c>
      <c r="N7" s="118"/>
      <c r="O7" s="119" t="e">
        <v>#N/A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/>
      <c r="V7" s="83">
        <v>0</v>
      </c>
      <c r="X7" s="120"/>
      <c r="Y7" s="110" t="e">
        <v>#N/A</v>
      </c>
      <c r="Z7" s="111">
        <v>0</v>
      </c>
      <c r="AA7" s="111">
        <v>0</v>
      </c>
      <c r="AB7" s="111">
        <v>0</v>
      </c>
      <c r="AC7" s="111">
        <v>0</v>
      </c>
      <c r="AD7" s="111">
        <v>0</v>
      </c>
      <c r="AE7" s="111"/>
      <c r="AF7" s="109">
        <v>0</v>
      </c>
    </row>
    <row r="8" spans="1:32" ht="15" customHeight="1">
      <c r="A8" s="75">
        <v>10000</v>
      </c>
      <c r="B8" s="46">
        <v>10020</v>
      </c>
      <c r="D8" s="632" t="s">
        <v>651</v>
      </c>
      <c r="E8" s="633"/>
      <c r="F8" s="633"/>
      <c r="G8" s="633"/>
      <c r="H8" s="633"/>
      <c r="I8" s="633"/>
      <c r="J8" s="633"/>
      <c r="K8" s="633"/>
      <c r="L8" s="113">
        <v>11</v>
      </c>
      <c r="N8" s="595" t="s">
        <v>672</v>
      </c>
      <c r="O8" s="596"/>
      <c r="P8" s="596"/>
      <c r="Q8" s="596"/>
      <c r="R8" s="596"/>
      <c r="S8" s="596"/>
      <c r="T8" s="596"/>
      <c r="U8" s="596"/>
      <c r="V8" s="103">
        <v>21</v>
      </c>
      <c r="X8" s="632" t="s">
        <v>651</v>
      </c>
      <c r="Y8" s="633"/>
      <c r="Z8" s="633"/>
      <c r="AA8" s="633"/>
      <c r="AB8" s="633"/>
      <c r="AC8" s="633"/>
      <c r="AD8" s="633"/>
      <c r="AE8" s="633"/>
      <c r="AF8" s="113">
        <v>-10</v>
      </c>
    </row>
    <row r="9" spans="1:32" ht="15" customHeight="1">
      <c r="A9" s="75">
        <v>11000</v>
      </c>
      <c r="B9" s="46">
        <v>11020</v>
      </c>
      <c r="D9" s="84"/>
      <c r="E9" s="119" t="s">
        <v>26</v>
      </c>
      <c r="F9" s="22">
        <v>6</v>
      </c>
      <c r="G9" s="22">
        <v>3</v>
      </c>
      <c r="H9" s="22">
        <v>9</v>
      </c>
      <c r="I9" s="22">
        <v>1</v>
      </c>
      <c r="J9" s="22">
        <v>10</v>
      </c>
      <c r="K9" s="22">
        <v>0</v>
      </c>
      <c r="L9" s="83">
        <v>10</v>
      </c>
      <c r="N9" s="84"/>
      <c r="O9" s="119" t="s">
        <v>26</v>
      </c>
      <c r="P9" s="22">
        <v>7</v>
      </c>
      <c r="Q9" s="22">
        <v>3</v>
      </c>
      <c r="R9" s="22">
        <v>10</v>
      </c>
      <c r="S9" s="22">
        <v>1</v>
      </c>
      <c r="T9" s="22">
        <v>11</v>
      </c>
      <c r="U9" s="22">
        <v>0</v>
      </c>
      <c r="V9" s="83">
        <v>11</v>
      </c>
      <c r="X9" s="84"/>
      <c r="Y9" s="119" t="s">
        <v>26</v>
      </c>
      <c r="Z9" s="22">
        <v>-1</v>
      </c>
      <c r="AA9" s="22">
        <v>0</v>
      </c>
      <c r="AB9" s="22">
        <v>-1</v>
      </c>
      <c r="AC9" s="22">
        <v>0</v>
      </c>
      <c r="AD9" s="22">
        <v>-1</v>
      </c>
      <c r="AE9" s="22">
        <v>0</v>
      </c>
      <c r="AF9" s="83">
        <v>-1</v>
      </c>
    </row>
    <row r="10" spans="1:32" ht="15" customHeight="1">
      <c r="A10" s="75">
        <v>90000</v>
      </c>
      <c r="B10" s="46">
        <v>90020</v>
      </c>
      <c r="D10" s="84"/>
      <c r="E10" s="119" t="s">
        <v>644</v>
      </c>
      <c r="F10" s="22">
        <v>1</v>
      </c>
      <c r="G10" s="22">
        <v>0</v>
      </c>
      <c r="H10" s="22">
        <v>1</v>
      </c>
      <c r="I10" s="22">
        <v>0</v>
      </c>
      <c r="J10" s="22">
        <v>1</v>
      </c>
      <c r="K10" s="22">
        <v>0</v>
      </c>
      <c r="L10" s="83">
        <v>1</v>
      </c>
      <c r="N10" s="84"/>
      <c r="O10" s="119" t="s">
        <v>218</v>
      </c>
      <c r="P10" s="22">
        <v>8</v>
      </c>
      <c r="Q10" s="22">
        <v>2</v>
      </c>
      <c r="R10" s="22">
        <v>10</v>
      </c>
      <c r="S10" s="22">
        <v>0</v>
      </c>
      <c r="T10" s="22">
        <v>10</v>
      </c>
      <c r="U10" s="22">
        <v>0</v>
      </c>
      <c r="V10" s="83">
        <v>10</v>
      </c>
      <c r="X10" s="84"/>
      <c r="Y10" s="119" t="s">
        <v>644</v>
      </c>
      <c r="Z10" s="22">
        <v>1</v>
      </c>
      <c r="AA10" s="22">
        <v>0</v>
      </c>
      <c r="AB10" s="22">
        <v>1</v>
      </c>
      <c r="AC10" s="22">
        <v>0</v>
      </c>
      <c r="AD10" s="22">
        <v>1</v>
      </c>
      <c r="AE10" s="22">
        <v>0</v>
      </c>
      <c r="AF10" s="83">
        <v>1</v>
      </c>
    </row>
    <row r="11" spans="1:32" ht="15" customHeight="1">
      <c r="A11" s="75">
        <v>3000</v>
      </c>
      <c r="B11" s="46">
        <v>3020</v>
      </c>
      <c r="D11" s="595" t="s">
        <v>655</v>
      </c>
      <c r="E11" s="596"/>
      <c r="F11" s="596"/>
      <c r="G11" s="596"/>
      <c r="H11" s="596"/>
      <c r="I11" s="596"/>
      <c r="J11" s="596"/>
      <c r="K11" s="596"/>
      <c r="L11" s="105">
        <v>10</v>
      </c>
      <c r="N11" s="84"/>
      <c r="O11" s="119"/>
      <c r="P11" s="22"/>
      <c r="Q11" s="22"/>
      <c r="R11" s="22"/>
      <c r="S11" s="22"/>
      <c r="T11" s="22"/>
      <c r="U11" s="22"/>
      <c r="V11" s="83"/>
      <c r="X11" s="595" t="s">
        <v>655</v>
      </c>
      <c r="Y11" s="596"/>
      <c r="Z11" s="596"/>
      <c r="AA11" s="596"/>
      <c r="AB11" s="596"/>
      <c r="AC11" s="596"/>
      <c r="AD11" s="596"/>
      <c r="AE11" s="596"/>
      <c r="AF11" s="105">
        <v>10</v>
      </c>
    </row>
    <row r="12" spans="1:32" ht="15" customHeight="1">
      <c r="A12" s="76">
        <v>1000</v>
      </c>
      <c r="B12" s="46">
        <v>1020</v>
      </c>
      <c r="D12" s="84"/>
      <c r="E12" s="119" t="s">
        <v>218</v>
      </c>
      <c r="F12" s="22">
        <v>8</v>
      </c>
      <c r="G12" s="22">
        <v>2</v>
      </c>
      <c r="H12" s="22">
        <v>10</v>
      </c>
      <c r="I12" s="22">
        <v>0</v>
      </c>
      <c r="J12" s="22">
        <v>10</v>
      </c>
      <c r="K12" s="22">
        <v>0</v>
      </c>
      <c r="L12" s="83">
        <v>10</v>
      </c>
      <c r="N12" s="84"/>
      <c r="O12" s="119"/>
      <c r="P12" s="22"/>
      <c r="Q12" s="22"/>
      <c r="R12" s="22"/>
      <c r="S12" s="22"/>
      <c r="T12" s="22"/>
      <c r="U12" s="22"/>
      <c r="V12" s="83"/>
      <c r="X12" s="84"/>
      <c r="Y12" s="119" t="s">
        <v>218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83">
        <v>0</v>
      </c>
    </row>
    <row r="13" spans="1:32" ht="15" customHeight="1">
      <c r="A13" s="75">
        <v>1100</v>
      </c>
      <c r="B13" s="46">
        <v>1120</v>
      </c>
      <c r="D13" s="593" t="s">
        <v>641</v>
      </c>
      <c r="E13" s="594"/>
      <c r="F13" s="594"/>
      <c r="G13" s="594"/>
      <c r="H13" s="594"/>
      <c r="I13" s="594"/>
      <c r="J13" s="594"/>
      <c r="K13" s="594"/>
      <c r="L13" s="106">
        <v>18</v>
      </c>
      <c r="N13" s="593" t="s">
        <v>641</v>
      </c>
      <c r="O13" s="594"/>
      <c r="P13" s="594"/>
      <c r="Q13" s="594"/>
      <c r="R13" s="594"/>
      <c r="S13" s="594"/>
      <c r="T13" s="594"/>
      <c r="U13" s="594"/>
      <c r="V13" s="106">
        <v>18</v>
      </c>
      <c r="X13" s="593" t="s">
        <v>641</v>
      </c>
      <c r="Y13" s="594"/>
      <c r="Z13" s="594"/>
      <c r="AA13" s="594"/>
      <c r="AB13" s="594"/>
      <c r="AC13" s="594"/>
      <c r="AD13" s="594"/>
      <c r="AE13" s="594"/>
      <c r="AF13" s="106">
        <v>0</v>
      </c>
    </row>
    <row r="14" spans="1:32" ht="15" customHeight="1">
      <c r="A14" s="76"/>
      <c r="B14" s="56"/>
      <c r="C14" s="56"/>
      <c r="D14" s="85"/>
      <c r="E14" s="119" t="s">
        <v>648</v>
      </c>
      <c r="F14" s="22">
        <v>1</v>
      </c>
      <c r="G14" s="22">
        <v>2</v>
      </c>
      <c r="H14" s="22">
        <v>3</v>
      </c>
      <c r="I14" s="22">
        <v>0</v>
      </c>
      <c r="J14" s="22">
        <v>3</v>
      </c>
      <c r="K14" s="22">
        <v>0</v>
      </c>
      <c r="L14" s="83">
        <v>3</v>
      </c>
      <c r="N14" s="85"/>
      <c r="O14" s="119" t="s">
        <v>648</v>
      </c>
      <c r="P14" s="22">
        <v>1</v>
      </c>
      <c r="Q14" s="22">
        <v>2</v>
      </c>
      <c r="R14" s="22">
        <v>3</v>
      </c>
      <c r="S14" s="22">
        <v>0</v>
      </c>
      <c r="T14" s="22">
        <v>3</v>
      </c>
      <c r="U14" s="22">
        <v>0</v>
      </c>
      <c r="V14" s="83">
        <v>3</v>
      </c>
      <c r="X14" s="85"/>
      <c r="Y14" s="119" t="s">
        <v>648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83">
        <v>0</v>
      </c>
    </row>
    <row r="15" spans="1:32" ht="15" customHeight="1">
      <c r="A15" s="75">
        <v>50000</v>
      </c>
      <c r="B15" s="46">
        <v>50020</v>
      </c>
      <c r="D15" s="85"/>
      <c r="E15" s="119" t="s">
        <v>17</v>
      </c>
      <c r="F15" s="22">
        <v>4</v>
      </c>
      <c r="G15" s="22">
        <v>1</v>
      </c>
      <c r="H15" s="22">
        <v>5</v>
      </c>
      <c r="I15" s="22">
        <v>3</v>
      </c>
      <c r="J15" s="22">
        <v>8</v>
      </c>
      <c r="K15" s="22">
        <v>4</v>
      </c>
      <c r="L15" s="83">
        <v>12</v>
      </c>
      <c r="N15" s="85"/>
      <c r="O15" s="119" t="s">
        <v>17</v>
      </c>
      <c r="P15" s="22">
        <v>4</v>
      </c>
      <c r="Q15" s="22">
        <v>1</v>
      </c>
      <c r="R15" s="22">
        <v>5</v>
      </c>
      <c r="S15" s="22">
        <v>3</v>
      </c>
      <c r="T15" s="22">
        <v>8</v>
      </c>
      <c r="U15" s="22">
        <v>4</v>
      </c>
      <c r="V15" s="83">
        <v>12</v>
      </c>
      <c r="X15" s="85"/>
      <c r="Y15" s="119" t="s">
        <v>17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83">
        <v>0</v>
      </c>
    </row>
    <row r="16" spans="1:32" ht="15" customHeight="1">
      <c r="A16" s="75">
        <v>51000</v>
      </c>
      <c r="B16" s="46">
        <v>51020</v>
      </c>
      <c r="D16" s="136"/>
      <c r="E16" s="137" t="s">
        <v>13</v>
      </c>
      <c r="F16" s="138">
        <v>2</v>
      </c>
      <c r="G16" s="138">
        <v>1</v>
      </c>
      <c r="H16" s="138">
        <v>3</v>
      </c>
      <c r="I16" s="138">
        <v>0</v>
      </c>
      <c r="J16" s="138">
        <v>3</v>
      </c>
      <c r="K16" s="138">
        <v>0</v>
      </c>
      <c r="L16" s="139">
        <v>3</v>
      </c>
      <c r="N16" s="85"/>
      <c r="O16" s="119" t="s">
        <v>13</v>
      </c>
      <c r="P16" s="22">
        <v>2</v>
      </c>
      <c r="Q16" s="22">
        <v>1</v>
      </c>
      <c r="R16" s="22">
        <v>3</v>
      </c>
      <c r="S16" s="22">
        <v>0</v>
      </c>
      <c r="T16" s="22">
        <v>3</v>
      </c>
      <c r="U16" s="22">
        <v>0</v>
      </c>
      <c r="V16" s="83">
        <v>3</v>
      </c>
      <c r="X16" s="85"/>
      <c r="Y16" s="119" t="s">
        <v>13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83">
        <v>0</v>
      </c>
    </row>
    <row r="17" spans="1:32" ht="15" customHeight="1">
      <c r="A17" s="75">
        <v>63000</v>
      </c>
      <c r="B17" s="46">
        <v>63020</v>
      </c>
      <c r="D17" s="86"/>
      <c r="E17" s="80" t="s">
        <v>629</v>
      </c>
      <c r="F17" s="78">
        <v>6</v>
      </c>
      <c r="G17" s="78">
        <v>2</v>
      </c>
      <c r="H17" s="78">
        <v>8</v>
      </c>
      <c r="I17" s="78">
        <v>3</v>
      </c>
      <c r="J17" s="78">
        <v>11</v>
      </c>
      <c r="K17" s="78">
        <v>4</v>
      </c>
      <c r="L17" s="87">
        <v>15</v>
      </c>
      <c r="N17" s="86"/>
      <c r="O17" s="80" t="s">
        <v>629</v>
      </c>
      <c r="P17" s="78">
        <v>6</v>
      </c>
      <c r="Q17" s="78">
        <v>2</v>
      </c>
      <c r="R17" s="78">
        <v>8</v>
      </c>
      <c r="S17" s="78">
        <v>3</v>
      </c>
      <c r="T17" s="78">
        <v>11</v>
      </c>
      <c r="U17" s="78">
        <v>4</v>
      </c>
      <c r="V17" s="87">
        <v>15</v>
      </c>
      <c r="X17" s="86"/>
      <c r="Y17" s="80" t="s">
        <v>629</v>
      </c>
      <c r="Z17" s="148">
        <v>0</v>
      </c>
      <c r="AA17" s="148">
        <v>0</v>
      </c>
      <c r="AB17" s="148">
        <v>0</v>
      </c>
      <c r="AC17" s="148">
        <v>0</v>
      </c>
      <c r="AD17" s="148">
        <v>0</v>
      </c>
      <c r="AE17" s="148">
        <v>0</v>
      </c>
      <c r="AF17" s="150">
        <v>0</v>
      </c>
    </row>
    <row r="18" spans="1:32" ht="15" customHeight="1">
      <c r="A18" s="76"/>
      <c r="B18" s="56"/>
      <c r="C18" s="56"/>
      <c r="D18" s="591" t="s">
        <v>654</v>
      </c>
      <c r="E18" s="592"/>
      <c r="F18" s="592"/>
      <c r="G18" s="592"/>
      <c r="H18" s="592"/>
      <c r="I18" s="592"/>
      <c r="J18" s="592"/>
      <c r="K18" s="592"/>
      <c r="L18" s="107">
        <v>24</v>
      </c>
      <c r="N18" s="591" t="s">
        <v>654</v>
      </c>
      <c r="O18" s="592"/>
      <c r="P18" s="592"/>
      <c r="Q18" s="592"/>
      <c r="R18" s="592"/>
      <c r="S18" s="592"/>
      <c r="T18" s="592"/>
      <c r="U18" s="592"/>
      <c r="V18" s="107">
        <v>24</v>
      </c>
      <c r="X18" s="591" t="s">
        <v>654</v>
      </c>
      <c r="Y18" s="592"/>
      <c r="Z18" s="592"/>
      <c r="AA18" s="592"/>
      <c r="AB18" s="592"/>
      <c r="AC18" s="592"/>
      <c r="AD18" s="592"/>
      <c r="AE18" s="592"/>
      <c r="AF18" s="107">
        <v>0</v>
      </c>
    </row>
    <row r="19" spans="1:32" ht="15" customHeight="1">
      <c r="A19" s="75">
        <v>80000</v>
      </c>
      <c r="B19" s="46">
        <v>80020</v>
      </c>
      <c r="D19" s="586" t="s">
        <v>643</v>
      </c>
      <c r="E19" s="119" t="s">
        <v>120</v>
      </c>
      <c r="F19" s="22">
        <v>3</v>
      </c>
      <c r="G19" s="22">
        <v>2</v>
      </c>
      <c r="H19" s="22">
        <v>5</v>
      </c>
      <c r="I19" s="22">
        <v>0</v>
      </c>
      <c r="J19" s="22">
        <v>5</v>
      </c>
      <c r="K19" s="22">
        <v>0</v>
      </c>
      <c r="L19" s="83">
        <v>5</v>
      </c>
      <c r="N19" s="586" t="s">
        <v>643</v>
      </c>
      <c r="O19" s="119" t="s">
        <v>120</v>
      </c>
      <c r="P19" s="22">
        <v>3</v>
      </c>
      <c r="Q19" s="22">
        <v>2</v>
      </c>
      <c r="R19" s="22">
        <v>5</v>
      </c>
      <c r="S19" s="22">
        <v>0</v>
      </c>
      <c r="T19" s="22">
        <v>5</v>
      </c>
      <c r="U19" s="22">
        <v>0</v>
      </c>
      <c r="V19" s="83">
        <v>5</v>
      </c>
      <c r="X19" s="586" t="s">
        <v>643</v>
      </c>
      <c r="Y19" s="119" t="s">
        <v>120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83">
        <v>0</v>
      </c>
    </row>
    <row r="20" spans="1:32" ht="15" customHeight="1">
      <c r="A20" s="75">
        <v>41111</v>
      </c>
      <c r="B20" s="46">
        <v>41121</v>
      </c>
      <c r="D20" s="576"/>
      <c r="E20" s="119" t="s">
        <v>124</v>
      </c>
      <c r="F20" s="22">
        <v>7</v>
      </c>
      <c r="G20" s="22">
        <v>0</v>
      </c>
      <c r="H20" s="22">
        <v>7</v>
      </c>
      <c r="I20" s="22">
        <v>0</v>
      </c>
      <c r="J20" s="22">
        <v>7</v>
      </c>
      <c r="K20" s="22">
        <v>0</v>
      </c>
      <c r="L20" s="83">
        <v>7</v>
      </c>
      <c r="N20" s="576"/>
      <c r="O20" s="119" t="s">
        <v>124</v>
      </c>
      <c r="P20" s="22">
        <v>7</v>
      </c>
      <c r="Q20" s="22">
        <v>0</v>
      </c>
      <c r="R20" s="22">
        <v>7</v>
      </c>
      <c r="S20" s="22">
        <v>0</v>
      </c>
      <c r="T20" s="22">
        <v>7</v>
      </c>
      <c r="U20" s="22">
        <v>0</v>
      </c>
      <c r="V20" s="83">
        <v>7</v>
      </c>
      <c r="X20" s="576"/>
      <c r="Y20" s="119" t="s">
        <v>124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83">
        <v>0</v>
      </c>
    </row>
    <row r="21" spans="1:32" ht="15" customHeight="1">
      <c r="A21" s="75">
        <v>43011</v>
      </c>
      <c r="B21" s="46">
        <v>43021</v>
      </c>
      <c r="D21" s="140" t="s">
        <v>647</v>
      </c>
      <c r="E21" s="141" t="s">
        <v>165</v>
      </c>
      <c r="F21" s="138">
        <v>7</v>
      </c>
      <c r="G21" s="138">
        <v>3</v>
      </c>
      <c r="H21" s="138">
        <v>10</v>
      </c>
      <c r="I21" s="138">
        <v>2</v>
      </c>
      <c r="J21" s="138">
        <v>12</v>
      </c>
      <c r="K21" s="138">
        <v>0</v>
      </c>
      <c r="L21" s="139">
        <v>12</v>
      </c>
      <c r="N21" s="120" t="s">
        <v>647</v>
      </c>
      <c r="O21" s="119" t="s">
        <v>165</v>
      </c>
      <c r="P21" s="22">
        <v>7</v>
      </c>
      <c r="Q21" s="22">
        <v>3</v>
      </c>
      <c r="R21" s="22">
        <v>10</v>
      </c>
      <c r="S21" s="22">
        <v>2</v>
      </c>
      <c r="T21" s="22">
        <v>12</v>
      </c>
      <c r="U21" s="22">
        <v>0</v>
      </c>
      <c r="V21" s="83">
        <v>12</v>
      </c>
      <c r="X21" s="120" t="s">
        <v>647</v>
      </c>
      <c r="Y21" s="119" t="s">
        <v>165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83">
        <v>0</v>
      </c>
    </row>
    <row r="22" spans="1:32" ht="15" customHeight="1">
      <c r="A22" s="75">
        <v>41011</v>
      </c>
      <c r="B22" s="46">
        <v>41021</v>
      </c>
      <c r="D22" s="591" t="s">
        <v>653</v>
      </c>
      <c r="E22" s="592"/>
      <c r="F22" s="592"/>
      <c r="G22" s="592"/>
      <c r="H22" s="592"/>
      <c r="I22" s="592"/>
      <c r="J22" s="592"/>
      <c r="K22" s="592"/>
      <c r="L22" s="104">
        <v>55</v>
      </c>
      <c r="N22" s="591" t="s">
        <v>653</v>
      </c>
      <c r="O22" s="592"/>
      <c r="P22" s="592"/>
      <c r="Q22" s="592"/>
      <c r="R22" s="592"/>
      <c r="S22" s="592"/>
      <c r="T22" s="592"/>
      <c r="U22" s="592"/>
      <c r="V22" s="104">
        <v>55</v>
      </c>
      <c r="X22" s="591" t="s">
        <v>653</v>
      </c>
      <c r="Y22" s="592"/>
      <c r="Z22" s="592"/>
      <c r="AA22" s="592"/>
      <c r="AB22" s="592"/>
      <c r="AC22" s="592"/>
      <c r="AD22" s="592"/>
      <c r="AE22" s="592"/>
      <c r="AF22" s="104">
        <v>0</v>
      </c>
    </row>
    <row r="23" spans="1:32" ht="15" customHeight="1">
      <c r="A23" s="75">
        <v>42111</v>
      </c>
      <c r="B23" s="46">
        <v>42121</v>
      </c>
      <c r="D23" s="84"/>
      <c r="E23" s="119" t="s">
        <v>172</v>
      </c>
      <c r="F23" s="22">
        <v>44</v>
      </c>
      <c r="G23" s="22">
        <v>3</v>
      </c>
      <c r="H23" s="22">
        <v>47</v>
      </c>
      <c r="I23" s="22">
        <v>8</v>
      </c>
      <c r="J23" s="22">
        <v>55</v>
      </c>
      <c r="K23" s="22">
        <v>0</v>
      </c>
      <c r="L23" s="83">
        <v>55</v>
      </c>
      <c r="N23" s="84"/>
      <c r="O23" s="119" t="s">
        <v>172</v>
      </c>
      <c r="P23" s="22">
        <v>45</v>
      </c>
      <c r="Q23" s="22">
        <v>3</v>
      </c>
      <c r="R23" s="22">
        <v>48</v>
      </c>
      <c r="S23" s="22">
        <v>7</v>
      </c>
      <c r="T23" s="22">
        <v>55</v>
      </c>
      <c r="U23" s="22">
        <v>0</v>
      </c>
      <c r="V23" s="83">
        <v>55</v>
      </c>
      <c r="X23" s="84"/>
      <c r="Y23" s="119" t="s">
        <v>172</v>
      </c>
      <c r="Z23" s="22">
        <v>-1</v>
      </c>
      <c r="AA23" s="22">
        <v>0</v>
      </c>
      <c r="AB23" s="22">
        <v>-1</v>
      </c>
      <c r="AC23" s="22">
        <v>1</v>
      </c>
      <c r="AD23" s="22">
        <v>0</v>
      </c>
      <c r="AE23" s="22">
        <v>0</v>
      </c>
      <c r="AF23" s="83">
        <v>0</v>
      </c>
    </row>
    <row r="24" spans="1:32" ht="15" customHeight="1">
      <c r="A24" s="75">
        <v>42411</v>
      </c>
      <c r="B24" s="46">
        <v>42421</v>
      </c>
      <c r="D24" s="595" t="s">
        <v>645</v>
      </c>
      <c r="E24" s="596"/>
      <c r="F24" s="596"/>
      <c r="G24" s="596"/>
      <c r="H24" s="596"/>
      <c r="I24" s="596"/>
      <c r="J24" s="596"/>
      <c r="K24" s="596"/>
      <c r="L24" s="112">
        <v>561</v>
      </c>
      <c r="N24" s="595" t="s">
        <v>645</v>
      </c>
      <c r="O24" s="596"/>
      <c r="P24" s="596"/>
      <c r="Q24" s="596"/>
      <c r="R24" s="596"/>
      <c r="S24" s="596"/>
      <c r="T24" s="596"/>
      <c r="U24" s="596"/>
      <c r="V24" s="103">
        <v>552</v>
      </c>
      <c r="X24" s="595" t="s">
        <v>645</v>
      </c>
      <c r="Y24" s="596"/>
      <c r="Z24" s="596"/>
      <c r="AA24" s="596"/>
      <c r="AB24" s="596"/>
      <c r="AC24" s="596"/>
      <c r="AD24" s="596"/>
      <c r="AE24" s="596"/>
      <c r="AF24" s="112">
        <v>9</v>
      </c>
    </row>
    <row r="25" spans="1:32" ht="15" customHeight="1">
      <c r="A25" s="75">
        <v>42211</v>
      </c>
      <c r="B25" s="46">
        <v>42221</v>
      </c>
      <c r="D25" s="584" t="s">
        <v>620</v>
      </c>
      <c r="E25" s="585"/>
      <c r="F25" s="78">
        <v>130</v>
      </c>
      <c r="G25" s="78">
        <v>9</v>
      </c>
      <c r="H25" s="78">
        <v>139</v>
      </c>
      <c r="I25" s="78">
        <v>24</v>
      </c>
      <c r="J25" s="78">
        <v>163</v>
      </c>
      <c r="K25" s="78">
        <v>77</v>
      </c>
      <c r="L25" s="87">
        <v>240</v>
      </c>
      <c r="M25" s="94"/>
      <c r="N25" s="584" t="s">
        <v>620</v>
      </c>
      <c r="O25" s="585"/>
      <c r="P25" s="78">
        <v>130</v>
      </c>
      <c r="Q25" s="78">
        <v>9</v>
      </c>
      <c r="R25" s="78">
        <v>139</v>
      </c>
      <c r="S25" s="78">
        <v>24</v>
      </c>
      <c r="T25" s="78">
        <v>163</v>
      </c>
      <c r="U25" s="78">
        <v>73</v>
      </c>
      <c r="V25" s="87">
        <v>236</v>
      </c>
      <c r="X25" s="584" t="s">
        <v>620</v>
      </c>
      <c r="Y25" s="585"/>
      <c r="Z25" s="148">
        <v>0</v>
      </c>
      <c r="AA25" s="148">
        <v>0</v>
      </c>
      <c r="AB25" s="148">
        <v>0</v>
      </c>
      <c r="AC25" s="148">
        <v>0</v>
      </c>
      <c r="AD25" s="148">
        <v>0</v>
      </c>
      <c r="AE25" s="148">
        <v>4</v>
      </c>
      <c r="AF25" s="150">
        <v>4</v>
      </c>
    </row>
    <row r="26" spans="1:32" ht="15" customHeight="1">
      <c r="A26" s="75">
        <v>42011</v>
      </c>
      <c r="B26" s="46">
        <v>42021</v>
      </c>
      <c r="D26" s="586" t="s">
        <v>625</v>
      </c>
      <c r="E26" s="119" t="s">
        <v>280</v>
      </c>
      <c r="F26" s="22">
        <v>9</v>
      </c>
      <c r="G26" s="22">
        <v>0</v>
      </c>
      <c r="H26" s="22">
        <v>9</v>
      </c>
      <c r="I26" s="22">
        <v>3</v>
      </c>
      <c r="J26" s="22">
        <v>12</v>
      </c>
      <c r="K26" s="101">
        <v>4</v>
      </c>
      <c r="L26" s="83">
        <v>16</v>
      </c>
      <c r="N26" s="586" t="s">
        <v>625</v>
      </c>
      <c r="O26" s="119" t="s">
        <v>280</v>
      </c>
      <c r="P26" s="22">
        <v>9</v>
      </c>
      <c r="Q26" s="22">
        <v>0</v>
      </c>
      <c r="R26" s="22">
        <v>9</v>
      </c>
      <c r="S26" s="22">
        <v>3</v>
      </c>
      <c r="T26" s="22">
        <v>12</v>
      </c>
      <c r="U26" s="101">
        <v>4</v>
      </c>
      <c r="V26" s="83">
        <v>16</v>
      </c>
      <c r="X26" s="586" t="s">
        <v>625</v>
      </c>
      <c r="Y26" s="119" t="s">
        <v>280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83">
        <v>0</v>
      </c>
    </row>
    <row r="27" spans="1:32" ht="15" customHeight="1">
      <c r="A27" s="75">
        <v>42311</v>
      </c>
      <c r="B27" s="46">
        <v>42321</v>
      </c>
      <c r="D27" s="575"/>
      <c r="E27" s="119" t="s">
        <v>349</v>
      </c>
      <c r="F27" s="22">
        <v>14</v>
      </c>
      <c r="G27" s="22">
        <v>0</v>
      </c>
      <c r="H27" s="22">
        <v>14</v>
      </c>
      <c r="I27" s="22">
        <v>1</v>
      </c>
      <c r="J27" s="22">
        <v>15</v>
      </c>
      <c r="K27" s="101">
        <v>6</v>
      </c>
      <c r="L27" s="83">
        <v>21</v>
      </c>
      <c r="N27" s="575"/>
      <c r="O27" s="119" t="s">
        <v>349</v>
      </c>
      <c r="P27" s="22">
        <v>14</v>
      </c>
      <c r="Q27" s="22">
        <v>0</v>
      </c>
      <c r="R27" s="22">
        <v>14</v>
      </c>
      <c r="S27" s="22">
        <v>1</v>
      </c>
      <c r="T27" s="22">
        <v>15</v>
      </c>
      <c r="U27" s="101">
        <v>6</v>
      </c>
      <c r="V27" s="83">
        <v>21</v>
      </c>
      <c r="X27" s="575"/>
      <c r="Y27" s="119" t="s">
        <v>349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83">
        <v>0</v>
      </c>
    </row>
    <row r="28" spans="1:32" ht="15" customHeight="1">
      <c r="A28" s="75">
        <v>43211</v>
      </c>
      <c r="B28" s="46">
        <v>43221</v>
      </c>
      <c r="D28" s="576"/>
      <c r="E28" s="119" t="s">
        <v>258</v>
      </c>
      <c r="F28" s="22">
        <v>21</v>
      </c>
      <c r="G28" s="22">
        <v>0</v>
      </c>
      <c r="H28" s="22">
        <v>21</v>
      </c>
      <c r="I28" s="22">
        <v>5</v>
      </c>
      <c r="J28" s="22">
        <v>26</v>
      </c>
      <c r="K28" s="101">
        <v>19</v>
      </c>
      <c r="L28" s="83">
        <v>45</v>
      </c>
      <c r="N28" s="576"/>
      <c r="O28" s="119" t="s">
        <v>258</v>
      </c>
      <c r="P28" s="22">
        <v>21</v>
      </c>
      <c r="Q28" s="22">
        <v>0</v>
      </c>
      <c r="R28" s="22">
        <v>21</v>
      </c>
      <c r="S28" s="22">
        <v>5</v>
      </c>
      <c r="T28" s="22">
        <v>26</v>
      </c>
      <c r="U28" s="101">
        <v>18</v>
      </c>
      <c r="V28" s="83">
        <v>44</v>
      </c>
      <c r="X28" s="576"/>
      <c r="Y28" s="119" t="s">
        <v>258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</v>
      </c>
      <c r="AF28" s="83">
        <v>1</v>
      </c>
    </row>
    <row r="29" spans="1:32" ht="15" hidden="1" customHeight="1">
      <c r="A29" s="75">
        <v>43311</v>
      </c>
      <c r="B29" s="46">
        <v>43321</v>
      </c>
      <c r="D29" s="571" t="s">
        <v>671</v>
      </c>
      <c r="E29" s="119" t="s">
        <v>305</v>
      </c>
      <c r="F29" s="22">
        <v>10</v>
      </c>
      <c r="G29" s="22">
        <v>0</v>
      </c>
      <c r="H29" s="22">
        <v>10</v>
      </c>
      <c r="I29" s="22">
        <v>1</v>
      </c>
      <c r="J29" s="22">
        <v>11</v>
      </c>
      <c r="K29" s="101">
        <v>10</v>
      </c>
      <c r="L29" s="83">
        <v>21</v>
      </c>
      <c r="M29" s="588" t="s">
        <v>658</v>
      </c>
      <c r="N29" s="589"/>
      <c r="O29" s="589"/>
      <c r="P29" s="589"/>
      <c r="Q29" s="22">
        <v>0</v>
      </c>
      <c r="R29" s="22">
        <v>10</v>
      </c>
      <c r="S29" s="22">
        <v>1</v>
      </c>
      <c r="T29" s="22">
        <v>11</v>
      </c>
      <c r="U29" s="101">
        <v>9</v>
      </c>
      <c r="V29" s="83">
        <v>20</v>
      </c>
      <c r="X29" s="94"/>
      <c r="Y29" s="37"/>
      <c r="Z29" s="22">
        <v>10</v>
      </c>
      <c r="AA29" s="22">
        <v>0</v>
      </c>
      <c r="AB29" s="22">
        <v>0</v>
      </c>
      <c r="AC29" s="22">
        <v>0</v>
      </c>
      <c r="AD29" s="22">
        <v>0</v>
      </c>
      <c r="AE29" s="22">
        <v>1</v>
      </c>
      <c r="AF29" s="83">
        <v>1</v>
      </c>
    </row>
    <row r="30" spans="1:32" ht="15" hidden="1" customHeight="1">
      <c r="A30" s="75">
        <v>41200</v>
      </c>
      <c r="B30" s="46">
        <v>41220</v>
      </c>
      <c r="D30" s="571"/>
      <c r="E30" s="119" t="s">
        <v>339</v>
      </c>
      <c r="F30" s="22">
        <v>9</v>
      </c>
      <c r="G30" s="22">
        <v>1</v>
      </c>
      <c r="H30" s="22">
        <v>10</v>
      </c>
      <c r="I30" s="22">
        <v>3</v>
      </c>
      <c r="J30" s="22">
        <v>13</v>
      </c>
      <c r="K30" s="101">
        <v>0</v>
      </c>
      <c r="L30" s="83">
        <v>13</v>
      </c>
      <c r="M30" s="588"/>
      <c r="N30" s="589"/>
      <c r="O30" s="589"/>
      <c r="P30" s="589"/>
      <c r="Q30" s="22">
        <v>1</v>
      </c>
      <c r="R30" s="22">
        <v>10</v>
      </c>
      <c r="S30" s="22">
        <v>3</v>
      </c>
      <c r="T30" s="22">
        <v>13</v>
      </c>
      <c r="U30" s="101">
        <v>0</v>
      </c>
      <c r="V30" s="83">
        <v>13</v>
      </c>
      <c r="X30" s="94"/>
      <c r="Y30" s="37"/>
      <c r="Z30" s="22">
        <v>9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83">
        <v>0</v>
      </c>
    </row>
    <row r="31" spans="1:32" ht="15" customHeight="1">
      <c r="A31" s="75"/>
      <c r="D31" s="571"/>
      <c r="E31" s="119" t="s">
        <v>660</v>
      </c>
      <c r="F31" s="22">
        <v>19</v>
      </c>
      <c r="G31" s="22">
        <v>1</v>
      </c>
      <c r="H31" s="22">
        <v>20</v>
      </c>
      <c r="I31" s="22">
        <v>4</v>
      </c>
      <c r="J31" s="22">
        <v>24</v>
      </c>
      <c r="K31" s="101">
        <v>10</v>
      </c>
      <c r="L31" s="83">
        <v>34</v>
      </c>
      <c r="M31" s="121"/>
      <c r="N31" s="641" t="s">
        <v>671</v>
      </c>
      <c r="O31" s="119" t="s">
        <v>660</v>
      </c>
      <c r="P31" s="22">
        <v>19</v>
      </c>
      <c r="Q31" s="22">
        <v>1</v>
      </c>
      <c r="R31" s="22">
        <v>20</v>
      </c>
      <c r="S31" s="22">
        <v>4</v>
      </c>
      <c r="T31" s="22">
        <v>24</v>
      </c>
      <c r="U31" s="101">
        <v>9</v>
      </c>
      <c r="V31" s="83">
        <v>33</v>
      </c>
      <c r="X31" s="641" t="s">
        <v>671</v>
      </c>
      <c r="Y31" s="119" t="s">
        <v>660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1</v>
      </c>
      <c r="AF31" s="83">
        <v>1</v>
      </c>
    </row>
    <row r="32" spans="1:32" ht="15" customHeight="1">
      <c r="A32" s="75">
        <v>40400</v>
      </c>
      <c r="B32" s="46">
        <v>40420</v>
      </c>
      <c r="D32" s="571"/>
      <c r="E32" s="119" t="s">
        <v>318</v>
      </c>
      <c r="F32" s="22">
        <v>11</v>
      </c>
      <c r="G32" s="22">
        <v>0</v>
      </c>
      <c r="H32" s="22">
        <v>11</v>
      </c>
      <c r="I32" s="22">
        <v>0</v>
      </c>
      <c r="J32" s="22">
        <v>11</v>
      </c>
      <c r="K32" s="101">
        <v>4</v>
      </c>
      <c r="L32" s="83">
        <v>15</v>
      </c>
      <c r="N32" s="641"/>
      <c r="O32" s="119" t="s">
        <v>318</v>
      </c>
      <c r="P32" s="22">
        <v>11</v>
      </c>
      <c r="Q32" s="22">
        <v>0</v>
      </c>
      <c r="R32" s="22">
        <v>11</v>
      </c>
      <c r="S32" s="22">
        <v>0</v>
      </c>
      <c r="T32" s="22">
        <v>11</v>
      </c>
      <c r="U32" s="101">
        <v>5</v>
      </c>
      <c r="V32" s="83">
        <v>16</v>
      </c>
      <c r="X32" s="641"/>
      <c r="Y32" s="119" t="s">
        <v>318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-1</v>
      </c>
      <c r="AF32" s="83">
        <v>-1</v>
      </c>
    </row>
    <row r="33" spans="1:32" ht="15" customHeight="1">
      <c r="A33" s="75">
        <v>40000</v>
      </c>
      <c r="B33" s="46">
        <v>40020</v>
      </c>
      <c r="D33" s="571"/>
      <c r="E33" s="119" t="s">
        <v>290</v>
      </c>
      <c r="F33" s="22">
        <v>13</v>
      </c>
      <c r="G33" s="22">
        <v>0</v>
      </c>
      <c r="H33" s="22">
        <v>13</v>
      </c>
      <c r="I33" s="22">
        <v>2</v>
      </c>
      <c r="J33" s="22">
        <v>15</v>
      </c>
      <c r="K33" s="101">
        <v>11</v>
      </c>
      <c r="L33" s="83">
        <v>26</v>
      </c>
      <c r="N33" s="641"/>
      <c r="O33" s="119" t="s">
        <v>290</v>
      </c>
      <c r="P33" s="22">
        <v>13</v>
      </c>
      <c r="Q33" s="22">
        <v>0</v>
      </c>
      <c r="R33" s="22">
        <v>13</v>
      </c>
      <c r="S33" s="22">
        <v>2</v>
      </c>
      <c r="T33" s="22">
        <v>15</v>
      </c>
      <c r="U33" s="101">
        <v>11</v>
      </c>
      <c r="V33" s="83">
        <v>26</v>
      </c>
      <c r="X33" s="641"/>
      <c r="Y33" s="119" t="s">
        <v>290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83">
        <v>0</v>
      </c>
    </row>
    <row r="34" spans="1:32" ht="15" customHeight="1">
      <c r="A34" s="76"/>
      <c r="B34" s="56"/>
      <c r="C34" s="56"/>
      <c r="D34" s="571"/>
      <c r="E34" s="119" t="s">
        <v>674</v>
      </c>
      <c r="F34" s="22">
        <v>7</v>
      </c>
      <c r="G34" s="22">
        <v>0</v>
      </c>
      <c r="H34" s="22">
        <v>7</v>
      </c>
      <c r="I34" s="22">
        <v>0</v>
      </c>
      <c r="J34" s="22">
        <v>7</v>
      </c>
      <c r="K34" s="101">
        <v>6</v>
      </c>
      <c r="L34" s="83">
        <v>13</v>
      </c>
      <c r="N34" s="642"/>
      <c r="O34" s="123" t="s">
        <v>674</v>
      </c>
      <c r="P34" s="22">
        <v>7</v>
      </c>
      <c r="Q34" s="22">
        <v>0</v>
      </c>
      <c r="R34" s="22">
        <v>7</v>
      </c>
      <c r="S34" s="22">
        <v>0</v>
      </c>
      <c r="T34" s="22">
        <v>7</v>
      </c>
      <c r="U34" s="101">
        <v>5</v>
      </c>
      <c r="V34" s="83">
        <v>12</v>
      </c>
      <c r="X34" s="642"/>
      <c r="Y34" s="123" t="s">
        <v>674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</v>
      </c>
      <c r="AF34" s="83">
        <v>1</v>
      </c>
    </row>
    <row r="35" spans="1:32" ht="15" customHeight="1">
      <c r="A35" s="75">
        <v>67211</v>
      </c>
      <c r="B35" s="46">
        <v>67221</v>
      </c>
      <c r="D35" s="571" t="s">
        <v>627</v>
      </c>
      <c r="E35" s="119" t="s">
        <v>364</v>
      </c>
      <c r="F35" s="22">
        <v>12</v>
      </c>
      <c r="G35" s="22">
        <v>7</v>
      </c>
      <c r="H35" s="22">
        <v>19</v>
      </c>
      <c r="I35" s="22">
        <v>4</v>
      </c>
      <c r="J35" s="22">
        <v>23</v>
      </c>
      <c r="K35" s="101">
        <v>13</v>
      </c>
      <c r="L35" s="83">
        <v>36</v>
      </c>
      <c r="N35" s="571" t="s">
        <v>627</v>
      </c>
      <c r="O35" s="119" t="s">
        <v>364</v>
      </c>
      <c r="P35" s="22">
        <v>12</v>
      </c>
      <c r="Q35" s="22">
        <v>7</v>
      </c>
      <c r="R35" s="22">
        <v>19</v>
      </c>
      <c r="S35" s="22">
        <v>4</v>
      </c>
      <c r="T35" s="22">
        <v>23</v>
      </c>
      <c r="U35" s="101">
        <v>11</v>
      </c>
      <c r="V35" s="83">
        <v>34</v>
      </c>
      <c r="X35" s="571" t="s">
        <v>627</v>
      </c>
      <c r="Y35" s="119" t="s">
        <v>364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</v>
      </c>
      <c r="AF35" s="83">
        <v>2</v>
      </c>
    </row>
    <row r="36" spans="1:32" ht="15" customHeight="1">
      <c r="A36" s="75">
        <v>68011</v>
      </c>
      <c r="B36" s="46">
        <v>68021</v>
      </c>
      <c r="D36" s="571"/>
      <c r="E36" s="119" t="s">
        <v>377</v>
      </c>
      <c r="F36" s="22">
        <v>4</v>
      </c>
      <c r="G36" s="22">
        <v>0</v>
      </c>
      <c r="H36" s="22">
        <v>4</v>
      </c>
      <c r="I36" s="22">
        <v>1</v>
      </c>
      <c r="J36" s="22">
        <v>5</v>
      </c>
      <c r="K36" s="101">
        <v>1</v>
      </c>
      <c r="L36" s="83">
        <v>6</v>
      </c>
      <c r="N36" s="571"/>
      <c r="O36" s="119" t="s">
        <v>377</v>
      </c>
      <c r="P36" s="22">
        <v>4</v>
      </c>
      <c r="Q36" s="22">
        <v>0</v>
      </c>
      <c r="R36" s="22">
        <v>4</v>
      </c>
      <c r="S36" s="22">
        <v>1</v>
      </c>
      <c r="T36" s="22">
        <v>5</v>
      </c>
      <c r="U36" s="101">
        <v>1</v>
      </c>
      <c r="V36" s="83">
        <v>6</v>
      </c>
      <c r="X36" s="571"/>
      <c r="Y36" s="119" t="s">
        <v>377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83">
        <v>0</v>
      </c>
    </row>
    <row r="37" spans="1:32" ht="15" customHeight="1">
      <c r="A37" s="75">
        <v>69211</v>
      </c>
      <c r="B37" s="46">
        <v>69221</v>
      </c>
      <c r="D37" s="571"/>
      <c r="E37" s="119" t="s">
        <v>103</v>
      </c>
      <c r="F37" s="22">
        <v>8</v>
      </c>
      <c r="G37" s="22">
        <v>0</v>
      </c>
      <c r="H37" s="22">
        <v>8</v>
      </c>
      <c r="I37" s="22">
        <v>4</v>
      </c>
      <c r="J37" s="22">
        <v>12</v>
      </c>
      <c r="K37" s="101">
        <v>3</v>
      </c>
      <c r="L37" s="83">
        <v>15</v>
      </c>
      <c r="N37" s="571"/>
      <c r="O37" s="119" t="s">
        <v>103</v>
      </c>
      <c r="P37" s="22">
        <v>8</v>
      </c>
      <c r="Q37" s="22">
        <v>0</v>
      </c>
      <c r="R37" s="22">
        <v>8</v>
      </c>
      <c r="S37" s="22">
        <v>4</v>
      </c>
      <c r="T37" s="22">
        <v>12</v>
      </c>
      <c r="U37" s="101">
        <v>3</v>
      </c>
      <c r="V37" s="83">
        <v>15</v>
      </c>
      <c r="X37" s="571"/>
      <c r="Y37" s="119" t="s">
        <v>103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83">
        <v>0</v>
      </c>
    </row>
    <row r="38" spans="1:32" ht="15" customHeight="1">
      <c r="A38" s="75">
        <v>69111</v>
      </c>
      <c r="B38" s="46">
        <v>69121</v>
      </c>
      <c r="D38" s="571"/>
      <c r="E38" s="119" t="s">
        <v>98</v>
      </c>
      <c r="F38" s="22">
        <v>4</v>
      </c>
      <c r="G38" s="22">
        <v>0</v>
      </c>
      <c r="H38" s="22">
        <v>4</v>
      </c>
      <c r="I38" s="22">
        <v>0</v>
      </c>
      <c r="J38" s="22">
        <v>4</v>
      </c>
      <c r="K38" s="101">
        <v>0</v>
      </c>
      <c r="L38" s="83">
        <v>4</v>
      </c>
      <c r="N38" s="571"/>
      <c r="O38" s="119" t="s">
        <v>98</v>
      </c>
      <c r="P38" s="22">
        <v>4</v>
      </c>
      <c r="Q38" s="22">
        <v>0</v>
      </c>
      <c r="R38" s="22">
        <v>4</v>
      </c>
      <c r="S38" s="22">
        <v>0</v>
      </c>
      <c r="T38" s="22">
        <v>4</v>
      </c>
      <c r="U38" s="101">
        <v>0</v>
      </c>
      <c r="V38" s="83">
        <v>4</v>
      </c>
      <c r="X38" s="571"/>
      <c r="Y38" s="119" t="s">
        <v>98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83">
        <v>0</v>
      </c>
    </row>
    <row r="39" spans="1:32" ht="15" customHeight="1">
      <c r="A39" s="75">
        <v>64011</v>
      </c>
      <c r="B39" s="46">
        <v>64021</v>
      </c>
      <c r="D39" s="84"/>
      <c r="E39" s="119" t="s">
        <v>87</v>
      </c>
      <c r="F39" s="22">
        <v>8</v>
      </c>
      <c r="G39" s="22">
        <v>1</v>
      </c>
      <c r="H39" s="22">
        <v>9</v>
      </c>
      <c r="I39" s="22">
        <v>0</v>
      </c>
      <c r="J39" s="22">
        <v>9</v>
      </c>
      <c r="K39" s="101">
        <v>0</v>
      </c>
      <c r="L39" s="83">
        <v>9</v>
      </c>
      <c r="N39" s="84"/>
      <c r="O39" s="119" t="s">
        <v>87</v>
      </c>
      <c r="P39" s="22">
        <v>8</v>
      </c>
      <c r="Q39" s="22">
        <v>1</v>
      </c>
      <c r="R39" s="22">
        <v>9</v>
      </c>
      <c r="S39" s="22">
        <v>0</v>
      </c>
      <c r="T39" s="22">
        <v>9</v>
      </c>
      <c r="U39" s="101">
        <v>0</v>
      </c>
      <c r="V39" s="83">
        <v>9</v>
      </c>
      <c r="X39" s="84"/>
      <c r="Y39" s="119" t="s">
        <v>87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83">
        <v>0</v>
      </c>
    </row>
    <row r="40" spans="1:32" ht="15" customHeight="1">
      <c r="A40" s="75">
        <v>64111</v>
      </c>
      <c r="B40" s="46">
        <v>64121</v>
      </c>
      <c r="D40" s="584" t="s">
        <v>619</v>
      </c>
      <c r="E40" s="585"/>
      <c r="F40" s="78">
        <v>102</v>
      </c>
      <c r="G40" s="78">
        <v>10</v>
      </c>
      <c r="H40" s="78">
        <v>112</v>
      </c>
      <c r="I40" s="78">
        <v>25</v>
      </c>
      <c r="J40" s="78">
        <v>137</v>
      </c>
      <c r="K40" s="78">
        <v>111</v>
      </c>
      <c r="L40" s="87">
        <v>248</v>
      </c>
      <c r="N40" s="584" t="s">
        <v>619</v>
      </c>
      <c r="O40" s="585"/>
      <c r="P40" s="78">
        <v>102</v>
      </c>
      <c r="Q40" s="78">
        <v>10</v>
      </c>
      <c r="R40" s="78">
        <v>112</v>
      </c>
      <c r="S40" s="78">
        <v>25</v>
      </c>
      <c r="T40" s="78">
        <v>137</v>
      </c>
      <c r="U40" s="78">
        <v>107</v>
      </c>
      <c r="V40" s="87">
        <v>244</v>
      </c>
      <c r="X40" s="584" t="s">
        <v>619</v>
      </c>
      <c r="Y40" s="585"/>
      <c r="Z40" s="148">
        <v>0</v>
      </c>
      <c r="AA40" s="148">
        <v>0</v>
      </c>
      <c r="AB40" s="148">
        <v>0</v>
      </c>
      <c r="AC40" s="148">
        <v>0</v>
      </c>
      <c r="AD40" s="148">
        <v>0</v>
      </c>
      <c r="AE40" s="148">
        <v>4</v>
      </c>
      <c r="AF40" s="150">
        <v>4</v>
      </c>
    </row>
    <row r="41" spans="1:32" ht="15" customHeight="1">
      <c r="A41" s="75">
        <v>64211</v>
      </c>
      <c r="B41" s="46">
        <v>64221</v>
      </c>
      <c r="D41" s="586" t="s">
        <v>625</v>
      </c>
      <c r="E41" s="119" t="s">
        <v>476</v>
      </c>
      <c r="F41" s="22">
        <v>6</v>
      </c>
      <c r="G41" s="22">
        <v>0</v>
      </c>
      <c r="H41" s="22">
        <v>6</v>
      </c>
      <c r="I41" s="22">
        <v>1</v>
      </c>
      <c r="J41" s="22">
        <v>7</v>
      </c>
      <c r="K41" s="22">
        <v>4</v>
      </c>
      <c r="L41" s="83">
        <v>11</v>
      </c>
      <c r="N41" s="586" t="s">
        <v>625</v>
      </c>
      <c r="O41" s="119" t="s">
        <v>476</v>
      </c>
      <c r="P41" s="22">
        <v>6</v>
      </c>
      <c r="Q41" s="22">
        <v>0</v>
      </c>
      <c r="R41" s="22">
        <v>6</v>
      </c>
      <c r="S41" s="22">
        <v>1</v>
      </c>
      <c r="T41" s="22">
        <v>7</v>
      </c>
      <c r="U41" s="22">
        <v>4</v>
      </c>
      <c r="V41" s="83">
        <v>11</v>
      </c>
      <c r="X41" s="586" t="s">
        <v>625</v>
      </c>
      <c r="Y41" s="119" t="s">
        <v>476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83">
        <v>0</v>
      </c>
    </row>
    <row r="42" spans="1:32" ht="15" customHeight="1">
      <c r="A42" s="75">
        <v>67011</v>
      </c>
      <c r="B42" s="46">
        <v>67021</v>
      </c>
      <c r="D42" s="575"/>
      <c r="E42" s="119" t="s">
        <v>483</v>
      </c>
      <c r="F42" s="22">
        <v>2</v>
      </c>
      <c r="G42" s="22">
        <v>0</v>
      </c>
      <c r="H42" s="22">
        <v>2</v>
      </c>
      <c r="I42" s="22">
        <v>1</v>
      </c>
      <c r="J42" s="22">
        <v>3</v>
      </c>
      <c r="K42" s="22">
        <v>6</v>
      </c>
      <c r="L42" s="83">
        <v>9</v>
      </c>
      <c r="N42" s="575"/>
      <c r="O42" s="119" t="s">
        <v>483</v>
      </c>
      <c r="P42" s="22">
        <v>2</v>
      </c>
      <c r="Q42" s="22">
        <v>0</v>
      </c>
      <c r="R42" s="22">
        <v>2</v>
      </c>
      <c r="S42" s="22">
        <v>1</v>
      </c>
      <c r="T42" s="22">
        <v>3</v>
      </c>
      <c r="U42" s="22">
        <v>5</v>
      </c>
      <c r="V42" s="83">
        <v>8</v>
      </c>
      <c r="X42" s="575"/>
      <c r="Y42" s="119" t="s">
        <v>483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1</v>
      </c>
      <c r="AF42" s="83">
        <v>1</v>
      </c>
    </row>
    <row r="43" spans="1:32" ht="15" customHeight="1">
      <c r="A43" s="75">
        <v>68111</v>
      </c>
      <c r="B43" s="46">
        <v>68121</v>
      </c>
      <c r="D43" s="575"/>
      <c r="E43" s="119" t="s">
        <v>508</v>
      </c>
      <c r="F43" s="22">
        <v>4</v>
      </c>
      <c r="G43" s="22">
        <v>1</v>
      </c>
      <c r="H43" s="108">
        <v>5</v>
      </c>
      <c r="I43" s="22">
        <v>2</v>
      </c>
      <c r="J43" s="22">
        <v>7</v>
      </c>
      <c r="K43" s="22">
        <v>0</v>
      </c>
      <c r="L43" s="83">
        <v>7</v>
      </c>
      <c r="N43" s="575"/>
      <c r="O43" s="119" t="s">
        <v>508</v>
      </c>
      <c r="P43" s="22">
        <v>4</v>
      </c>
      <c r="Q43" s="22">
        <v>1</v>
      </c>
      <c r="R43" s="108">
        <v>5</v>
      </c>
      <c r="S43" s="22">
        <v>2</v>
      </c>
      <c r="T43" s="22">
        <v>7</v>
      </c>
      <c r="U43" s="22">
        <v>0</v>
      </c>
      <c r="V43" s="83">
        <v>7</v>
      </c>
      <c r="X43" s="575"/>
      <c r="Y43" s="119" t="s">
        <v>508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83">
        <v>0</v>
      </c>
    </row>
    <row r="44" spans="1:32" ht="15" customHeight="1">
      <c r="A44" s="75">
        <v>64311</v>
      </c>
      <c r="B44" s="46">
        <v>64321</v>
      </c>
      <c r="D44" s="576"/>
      <c r="E44" s="119" t="s">
        <v>506</v>
      </c>
      <c r="F44" s="22">
        <v>1</v>
      </c>
      <c r="G44" s="22">
        <v>0</v>
      </c>
      <c r="H44" s="108">
        <v>1</v>
      </c>
      <c r="I44" s="22">
        <v>0</v>
      </c>
      <c r="J44" s="22">
        <v>1</v>
      </c>
      <c r="K44" s="22">
        <v>2</v>
      </c>
      <c r="L44" s="83">
        <v>3</v>
      </c>
      <c r="N44" s="576"/>
      <c r="O44" s="119" t="s">
        <v>506</v>
      </c>
      <c r="P44" s="22">
        <v>1</v>
      </c>
      <c r="Q44" s="22">
        <v>0</v>
      </c>
      <c r="R44" s="108">
        <v>1</v>
      </c>
      <c r="S44" s="22">
        <v>0</v>
      </c>
      <c r="T44" s="22">
        <v>1</v>
      </c>
      <c r="U44" s="22">
        <v>2</v>
      </c>
      <c r="V44" s="83">
        <v>3</v>
      </c>
      <c r="X44" s="576"/>
      <c r="Y44" s="119" t="s">
        <v>506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83">
        <v>0</v>
      </c>
    </row>
    <row r="45" spans="1:32" ht="15" hidden="1" customHeight="1">
      <c r="A45" s="75">
        <v>69011</v>
      </c>
      <c r="B45" s="46">
        <v>69021</v>
      </c>
      <c r="D45" s="571" t="s">
        <v>626</v>
      </c>
      <c r="E45" s="119" t="s">
        <v>416</v>
      </c>
      <c r="F45" s="22">
        <v>5</v>
      </c>
      <c r="G45" s="22">
        <v>0</v>
      </c>
      <c r="H45" s="22">
        <v>5</v>
      </c>
      <c r="I45" s="22">
        <v>2</v>
      </c>
      <c r="J45" s="22">
        <v>7</v>
      </c>
      <c r="K45" s="22">
        <v>4</v>
      </c>
      <c r="L45" s="83">
        <v>11</v>
      </c>
      <c r="M45" s="119"/>
      <c r="N45" s="119"/>
      <c r="O45" s="119" t="s">
        <v>416</v>
      </c>
      <c r="P45" s="22">
        <v>5</v>
      </c>
      <c r="Q45" s="22">
        <v>0</v>
      </c>
      <c r="R45" s="22">
        <v>5</v>
      </c>
      <c r="S45" s="22">
        <v>2</v>
      </c>
      <c r="T45" s="22">
        <v>7</v>
      </c>
      <c r="U45" s="22">
        <v>4</v>
      </c>
      <c r="V45" s="83">
        <v>11</v>
      </c>
      <c r="X45" s="94"/>
      <c r="Y45" s="37"/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83">
        <v>0</v>
      </c>
    </row>
    <row r="46" spans="1:32" ht="15" hidden="1" customHeight="1">
      <c r="A46" s="75">
        <v>60300</v>
      </c>
      <c r="B46" s="46">
        <v>60320</v>
      </c>
      <c r="D46" s="571"/>
      <c r="E46" s="119" t="s">
        <v>422</v>
      </c>
      <c r="F46" s="22">
        <v>4</v>
      </c>
      <c r="G46" s="22">
        <v>1</v>
      </c>
      <c r="H46" s="22">
        <v>5</v>
      </c>
      <c r="I46" s="22">
        <v>1</v>
      </c>
      <c r="J46" s="22">
        <v>6</v>
      </c>
      <c r="K46" s="22">
        <v>0</v>
      </c>
      <c r="L46" s="83">
        <v>6</v>
      </c>
      <c r="M46" s="119"/>
      <c r="N46" s="119"/>
      <c r="O46" s="119" t="s">
        <v>422</v>
      </c>
      <c r="P46" s="22">
        <v>4</v>
      </c>
      <c r="Q46" s="22">
        <v>1</v>
      </c>
      <c r="R46" s="22">
        <v>5</v>
      </c>
      <c r="S46" s="22">
        <v>1</v>
      </c>
      <c r="T46" s="22">
        <v>6</v>
      </c>
      <c r="U46" s="22"/>
      <c r="V46" s="83">
        <v>6</v>
      </c>
      <c r="X46" s="94"/>
      <c r="Y46" s="37"/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83">
        <v>0</v>
      </c>
    </row>
    <row r="47" spans="1:32" ht="15" customHeight="1">
      <c r="A47" s="75"/>
      <c r="D47" s="571"/>
      <c r="E47" s="119" t="s">
        <v>657</v>
      </c>
      <c r="F47" s="22">
        <v>9</v>
      </c>
      <c r="G47" s="22">
        <v>1</v>
      </c>
      <c r="H47" s="22">
        <v>10</v>
      </c>
      <c r="I47" s="22">
        <v>3</v>
      </c>
      <c r="J47" s="22">
        <v>13</v>
      </c>
      <c r="K47" s="22">
        <v>4</v>
      </c>
      <c r="L47" s="83">
        <v>17</v>
      </c>
      <c r="N47" s="641" t="s">
        <v>671</v>
      </c>
      <c r="O47" s="119" t="s">
        <v>657</v>
      </c>
      <c r="P47" s="22">
        <v>9</v>
      </c>
      <c r="Q47" s="22">
        <v>1</v>
      </c>
      <c r="R47" s="22">
        <v>10</v>
      </c>
      <c r="S47" s="22">
        <v>3</v>
      </c>
      <c r="T47" s="22">
        <v>13</v>
      </c>
      <c r="U47" s="22">
        <v>4</v>
      </c>
      <c r="V47" s="83">
        <v>17</v>
      </c>
      <c r="W47" s="94"/>
      <c r="X47" s="641" t="s">
        <v>671</v>
      </c>
      <c r="Y47" s="119" t="s">
        <v>657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83">
        <v>0</v>
      </c>
    </row>
    <row r="48" spans="1:32" ht="15" customHeight="1">
      <c r="A48" s="75">
        <v>60411</v>
      </c>
      <c r="B48" s="46">
        <v>60421</v>
      </c>
      <c r="D48" s="571"/>
      <c r="E48" s="119" t="s">
        <v>429</v>
      </c>
      <c r="F48" s="22">
        <v>1</v>
      </c>
      <c r="G48" s="22">
        <v>1</v>
      </c>
      <c r="H48" s="22">
        <v>2</v>
      </c>
      <c r="I48" s="22">
        <v>0</v>
      </c>
      <c r="J48" s="22">
        <v>2</v>
      </c>
      <c r="K48" s="22">
        <v>0</v>
      </c>
      <c r="L48" s="83">
        <v>2</v>
      </c>
      <c r="N48" s="641"/>
      <c r="O48" s="119" t="s">
        <v>429</v>
      </c>
      <c r="P48" s="22">
        <v>1</v>
      </c>
      <c r="Q48" s="22">
        <v>1</v>
      </c>
      <c r="R48" s="22">
        <v>2</v>
      </c>
      <c r="S48" s="22">
        <v>0</v>
      </c>
      <c r="T48" s="22">
        <v>2</v>
      </c>
      <c r="U48" s="22">
        <v>0</v>
      </c>
      <c r="V48" s="83">
        <v>2</v>
      </c>
      <c r="W48" s="94"/>
      <c r="X48" s="641"/>
      <c r="Y48" s="119" t="s">
        <v>429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83">
        <v>0</v>
      </c>
    </row>
    <row r="49" spans="1:32" ht="15" customHeight="1">
      <c r="A49" s="75">
        <v>65011</v>
      </c>
      <c r="B49" s="46">
        <v>65021</v>
      </c>
      <c r="D49" s="571"/>
      <c r="E49" s="119" t="s">
        <v>466</v>
      </c>
      <c r="F49" s="22">
        <v>9</v>
      </c>
      <c r="G49" s="22">
        <v>0</v>
      </c>
      <c r="H49" s="22">
        <v>9</v>
      </c>
      <c r="I49" s="22">
        <v>1</v>
      </c>
      <c r="J49" s="22">
        <v>10</v>
      </c>
      <c r="K49" s="22">
        <v>3</v>
      </c>
      <c r="L49" s="83">
        <v>13</v>
      </c>
      <c r="N49" s="641"/>
      <c r="O49" s="119" t="s">
        <v>466</v>
      </c>
      <c r="P49" s="22">
        <v>9</v>
      </c>
      <c r="Q49" s="22">
        <v>0</v>
      </c>
      <c r="R49" s="22">
        <v>9</v>
      </c>
      <c r="S49" s="22">
        <v>1</v>
      </c>
      <c r="T49" s="22">
        <v>10</v>
      </c>
      <c r="U49" s="22">
        <v>2</v>
      </c>
      <c r="V49" s="83">
        <v>12</v>
      </c>
      <c r="W49" s="94"/>
      <c r="X49" s="641"/>
      <c r="Y49" s="119" t="s">
        <v>466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1</v>
      </c>
      <c r="AF49" s="83">
        <v>1</v>
      </c>
    </row>
    <row r="50" spans="1:32" ht="15" customHeight="1">
      <c r="A50" s="75">
        <v>66011</v>
      </c>
      <c r="B50" s="46">
        <v>66021</v>
      </c>
      <c r="D50" s="571"/>
      <c r="E50" s="119" t="s">
        <v>485</v>
      </c>
      <c r="F50" s="22">
        <v>4</v>
      </c>
      <c r="G50" s="22">
        <v>1</v>
      </c>
      <c r="H50" s="22">
        <v>5</v>
      </c>
      <c r="I50" s="22">
        <v>0</v>
      </c>
      <c r="J50" s="22">
        <v>5</v>
      </c>
      <c r="K50" s="22">
        <v>0</v>
      </c>
      <c r="L50" s="83">
        <v>5</v>
      </c>
      <c r="N50" s="641"/>
      <c r="O50" s="119" t="s">
        <v>485</v>
      </c>
      <c r="P50" s="22">
        <v>4</v>
      </c>
      <c r="Q50" s="22">
        <v>1</v>
      </c>
      <c r="R50" s="22">
        <v>5</v>
      </c>
      <c r="S50" s="22">
        <v>0</v>
      </c>
      <c r="T50" s="22">
        <v>5</v>
      </c>
      <c r="U50" s="22">
        <v>0</v>
      </c>
      <c r="V50" s="83">
        <v>5</v>
      </c>
      <c r="W50" s="94"/>
      <c r="X50" s="641"/>
      <c r="Y50" s="119" t="s">
        <v>485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83">
        <v>0</v>
      </c>
    </row>
    <row r="51" spans="1:32" ht="15" customHeight="1">
      <c r="A51" s="75">
        <v>61300</v>
      </c>
      <c r="B51" s="46">
        <v>61320</v>
      </c>
      <c r="D51" s="571"/>
      <c r="E51" s="119" t="s">
        <v>431</v>
      </c>
      <c r="F51" s="22">
        <v>1</v>
      </c>
      <c r="G51" s="22">
        <v>0</v>
      </c>
      <c r="H51" s="22">
        <v>1</v>
      </c>
      <c r="I51" s="22">
        <v>0</v>
      </c>
      <c r="J51" s="22">
        <v>1</v>
      </c>
      <c r="K51" s="22">
        <v>4</v>
      </c>
      <c r="L51" s="83">
        <v>5</v>
      </c>
      <c r="N51" s="642"/>
      <c r="O51" s="119" t="s">
        <v>431</v>
      </c>
      <c r="P51" s="22">
        <v>1</v>
      </c>
      <c r="Q51" s="22">
        <v>0</v>
      </c>
      <c r="R51" s="22">
        <v>1</v>
      </c>
      <c r="S51" s="22">
        <v>0</v>
      </c>
      <c r="T51" s="22">
        <v>1</v>
      </c>
      <c r="U51" s="22">
        <v>4</v>
      </c>
      <c r="V51" s="83">
        <v>5</v>
      </c>
      <c r="W51" s="94"/>
      <c r="X51" s="642"/>
      <c r="Y51" s="119" t="s">
        <v>431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83">
        <v>0</v>
      </c>
    </row>
    <row r="52" spans="1:32" ht="15" customHeight="1">
      <c r="A52" s="76"/>
      <c r="B52" s="56"/>
      <c r="C52" s="56"/>
      <c r="D52" s="571" t="s">
        <v>627</v>
      </c>
      <c r="E52" s="119" t="s">
        <v>489</v>
      </c>
      <c r="F52" s="22">
        <v>18</v>
      </c>
      <c r="G52" s="22">
        <v>1</v>
      </c>
      <c r="H52" s="22">
        <v>19</v>
      </c>
      <c r="I52" s="22">
        <v>3</v>
      </c>
      <c r="J52" s="22">
        <v>22</v>
      </c>
      <c r="K52" s="22">
        <v>25</v>
      </c>
      <c r="L52" s="83">
        <v>47</v>
      </c>
      <c r="N52" s="571" t="s">
        <v>627</v>
      </c>
      <c r="O52" s="119" t="s">
        <v>489</v>
      </c>
      <c r="P52" s="22">
        <v>18</v>
      </c>
      <c r="Q52" s="22">
        <v>1</v>
      </c>
      <c r="R52" s="22">
        <v>19</v>
      </c>
      <c r="S52" s="22">
        <v>3</v>
      </c>
      <c r="T52" s="22">
        <v>22</v>
      </c>
      <c r="U52" s="22">
        <v>23</v>
      </c>
      <c r="V52" s="83">
        <v>45</v>
      </c>
      <c r="X52" s="571" t="s">
        <v>627</v>
      </c>
      <c r="Y52" s="119" t="s">
        <v>489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2</v>
      </c>
      <c r="AF52" s="83">
        <v>2</v>
      </c>
    </row>
    <row r="53" spans="1:32" ht="15" customHeight="1">
      <c r="A53" s="75">
        <v>44011</v>
      </c>
      <c r="B53" s="46">
        <v>44021</v>
      </c>
      <c r="D53" s="571"/>
      <c r="E53" s="119" t="s">
        <v>138</v>
      </c>
      <c r="F53" s="22">
        <v>8</v>
      </c>
      <c r="G53" s="22">
        <v>0</v>
      </c>
      <c r="H53" s="22">
        <v>8</v>
      </c>
      <c r="I53" s="22">
        <v>3</v>
      </c>
      <c r="J53" s="22">
        <v>11</v>
      </c>
      <c r="K53" s="22">
        <v>7</v>
      </c>
      <c r="L53" s="83">
        <v>18</v>
      </c>
      <c r="N53" s="571"/>
      <c r="O53" s="119" t="s">
        <v>138</v>
      </c>
      <c r="P53" s="22">
        <v>8</v>
      </c>
      <c r="Q53" s="22">
        <v>0</v>
      </c>
      <c r="R53" s="22">
        <v>8</v>
      </c>
      <c r="S53" s="22">
        <v>3</v>
      </c>
      <c r="T53" s="22">
        <v>11</v>
      </c>
      <c r="U53" s="22">
        <v>7</v>
      </c>
      <c r="V53" s="83">
        <v>18</v>
      </c>
      <c r="X53" s="571"/>
      <c r="Y53" s="119" t="s">
        <v>138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83">
        <v>0</v>
      </c>
    </row>
    <row r="54" spans="1:32" ht="15" customHeight="1">
      <c r="A54" s="75">
        <v>44111</v>
      </c>
      <c r="B54" s="46">
        <v>44121</v>
      </c>
      <c r="D54" s="571"/>
      <c r="E54" s="119" t="s">
        <v>411</v>
      </c>
      <c r="F54" s="22">
        <v>3</v>
      </c>
      <c r="G54" s="22">
        <v>0</v>
      </c>
      <c r="H54" s="22">
        <v>3</v>
      </c>
      <c r="I54" s="22">
        <v>3</v>
      </c>
      <c r="J54" s="22">
        <v>6</v>
      </c>
      <c r="K54" s="22">
        <v>2</v>
      </c>
      <c r="L54" s="83">
        <v>8</v>
      </c>
      <c r="N54" s="571"/>
      <c r="O54" s="119" t="s">
        <v>411</v>
      </c>
      <c r="P54" s="22">
        <v>3</v>
      </c>
      <c r="Q54" s="22">
        <v>0</v>
      </c>
      <c r="R54" s="22">
        <v>3</v>
      </c>
      <c r="S54" s="22">
        <v>3</v>
      </c>
      <c r="T54" s="22">
        <v>6</v>
      </c>
      <c r="U54" s="22">
        <v>2</v>
      </c>
      <c r="V54" s="83">
        <v>8</v>
      </c>
      <c r="X54" s="571"/>
      <c r="Y54" s="119" t="s">
        <v>411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83">
        <v>0</v>
      </c>
    </row>
    <row r="55" spans="1:32" ht="15" customHeight="1">
      <c r="A55" s="75">
        <v>44511</v>
      </c>
      <c r="B55" s="46">
        <v>44521</v>
      </c>
      <c r="D55" s="571" t="s">
        <v>628</v>
      </c>
      <c r="E55" s="119" t="s">
        <v>433</v>
      </c>
      <c r="F55" s="22">
        <v>15</v>
      </c>
      <c r="G55" s="22">
        <v>1</v>
      </c>
      <c r="H55" s="22">
        <v>16</v>
      </c>
      <c r="I55" s="22">
        <v>5</v>
      </c>
      <c r="J55" s="22">
        <v>21</v>
      </c>
      <c r="K55" s="22">
        <v>46</v>
      </c>
      <c r="L55" s="83">
        <v>67</v>
      </c>
      <c r="N55" s="571" t="s">
        <v>628</v>
      </c>
      <c r="O55" s="119" t="s">
        <v>433</v>
      </c>
      <c r="P55" s="22">
        <v>15</v>
      </c>
      <c r="Q55" s="22">
        <v>1</v>
      </c>
      <c r="R55" s="22">
        <v>16</v>
      </c>
      <c r="S55" s="22">
        <v>5</v>
      </c>
      <c r="T55" s="22">
        <v>21</v>
      </c>
      <c r="U55" s="22">
        <v>47</v>
      </c>
      <c r="V55" s="83">
        <v>68</v>
      </c>
      <c r="X55" s="571" t="s">
        <v>628</v>
      </c>
      <c r="Y55" s="119" t="s">
        <v>433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-1</v>
      </c>
      <c r="AF55" s="83">
        <v>-1</v>
      </c>
    </row>
    <row r="56" spans="1:32" ht="15" customHeight="1">
      <c r="A56" s="75">
        <v>45111</v>
      </c>
      <c r="B56" s="46">
        <v>45121</v>
      </c>
      <c r="D56" s="571"/>
      <c r="E56" s="119" t="s">
        <v>449</v>
      </c>
      <c r="F56" s="22">
        <v>16</v>
      </c>
      <c r="G56" s="22">
        <v>3</v>
      </c>
      <c r="H56" s="22">
        <v>19</v>
      </c>
      <c r="I56" s="22">
        <v>2</v>
      </c>
      <c r="J56" s="22">
        <v>21</v>
      </c>
      <c r="K56" s="22">
        <v>8</v>
      </c>
      <c r="L56" s="83">
        <v>29</v>
      </c>
      <c r="N56" s="571"/>
      <c r="O56" s="119" t="s">
        <v>449</v>
      </c>
      <c r="P56" s="22">
        <v>16</v>
      </c>
      <c r="Q56" s="22">
        <v>3</v>
      </c>
      <c r="R56" s="22">
        <v>19</v>
      </c>
      <c r="S56" s="22">
        <v>2</v>
      </c>
      <c r="T56" s="22">
        <v>21</v>
      </c>
      <c r="U56" s="22">
        <v>7</v>
      </c>
      <c r="V56" s="83">
        <v>28</v>
      </c>
      <c r="X56" s="571"/>
      <c r="Y56" s="119" t="s">
        <v>449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1</v>
      </c>
      <c r="AF56" s="83">
        <v>1</v>
      </c>
    </row>
    <row r="57" spans="1:32" ht="15" customHeight="1">
      <c r="A57" s="75">
        <v>44200</v>
      </c>
      <c r="B57" s="46">
        <v>44220</v>
      </c>
      <c r="D57" s="84"/>
      <c r="E57" s="119" t="s">
        <v>162</v>
      </c>
      <c r="F57" s="22">
        <v>5</v>
      </c>
      <c r="G57" s="22">
        <v>1</v>
      </c>
      <c r="H57" s="22">
        <v>6</v>
      </c>
      <c r="I57" s="22">
        <v>1</v>
      </c>
      <c r="J57" s="22">
        <v>7</v>
      </c>
      <c r="K57" s="22">
        <v>0</v>
      </c>
      <c r="L57" s="83">
        <v>7</v>
      </c>
      <c r="N57" s="84"/>
      <c r="O57" s="119" t="s">
        <v>162</v>
      </c>
      <c r="P57" s="22">
        <v>5</v>
      </c>
      <c r="Q57" s="22">
        <v>1</v>
      </c>
      <c r="R57" s="22">
        <v>6</v>
      </c>
      <c r="S57" s="22">
        <v>1</v>
      </c>
      <c r="T57" s="22">
        <v>7</v>
      </c>
      <c r="U57" s="22">
        <v>0</v>
      </c>
      <c r="V57" s="83">
        <v>7</v>
      </c>
      <c r="X57" s="84"/>
      <c r="Y57" s="119" t="s">
        <v>162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83">
        <v>0</v>
      </c>
    </row>
    <row r="58" spans="1:32" ht="15" customHeight="1">
      <c r="A58" s="76"/>
      <c r="B58" s="56"/>
      <c r="C58" s="56"/>
      <c r="D58" s="584" t="s">
        <v>618</v>
      </c>
      <c r="E58" s="585"/>
      <c r="F58" s="78">
        <v>32</v>
      </c>
      <c r="G58" s="78">
        <v>2</v>
      </c>
      <c r="H58" s="78">
        <v>34</v>
      </c>
      <c r="I58" s="78">
        <v>5</v>
      </c>
      <c r="J58" s="78">
        <v>39</v>
      </c>
      <c r="K58" s="78">
        <v>8</v>
      </c>
      <c r="L58" s="87">
        <v>47</v>
      </c>
      <c r="M58" s="94"/>
      <c r="N58" s="584" t="s">
        <v>618</v>
      </c>
      <c r="O58" s="585"/>
      <c r="P58" s="78">
        <v>32</v>
      </c>
      <c r="Q58" s="78">
        <v>2</v>
      </c>
      <c r="R58" s="78">
        <v>34</v>
      </c>
      <c r="S58" s="78">
        <v>5</v>
      </c>
      <c r="T58" s="78">
        <v>39</v>
      </c>
      <c r="U58" s="78">
        <v>7</v>
      </c>
      <c r="V58" s="87">
        <v>46</v>
      </c>
      <c r="X58" s="584" t="s">
        <v>618</v>
      </c>
      <c r="Y58" s="585"/>
      <c r="Z58" s="148">
        <v>0</v>
      </c>
      <c r="AA58" s="148">
        <v>0</v>
      </c>
      <c r="AB58" s="148">
        <v>0</v>
      </c>
      <c r="AC58" s="148">
        <v>0</v>
      </c>
      <c r="AD58" s="148">
        <v>0</v>
      </c>
      <c r="AE58" s="148">
        <v>1</v>
      </c>
      <c r="AF58" s="150">
        <v>1</v>
      </c>
    </row>
    <row r="59" spans="1:32" ht="15" customHeight="1">
      <c r="A59" s="75">
        <v>20000</v>
      </c>
      <c r="B59" s="46">
        <v>20020</v>
      </c>
      <c r="D59" s="586" t="s">
        <v>625</v>
      </c>
      <c r="E59" s="119" t="s">
        <v>381</v>
      </c>
      <c r="F59" s="22">
        <v>2</v>
      </c>
      <c r="G59" s="22">
        <v>0</v>
      </c>
      <c r="H59" s="22">
        <v>2</v>
      </c>
      <c r="I59" s="22">
        <v>1</v>
      </c>
      <c r="J59" s="22">
        <v>3</v>
      </c>
      <c r="K59" s="22">
        <v>1</v>
      </c>
      <c r="L59" s="83">
        <v>4</v>
      </c>
      <c r="N59" s="586" t="s">
        <v>625</v>
      </c>
      <c r="O59" s="119" t="s">
        <v>381</v>
      </c>
      <c r="P59" s="22">
        <v>2</v>
      </c>
      <c r="Q59" s="22">
        <v>0</v>
      </c>
      <c r="R59" s="22">
        <v>2</v>
      </c>
      <c r="S59" s="22">
        <v>1</v>
      </c>
      <c r="T59" s="22">
        <v>3</v>
      </c>
      <c r="U59" s="22">
        <v>1</v>
      </c>
      <c r="V59" s="83">
        <v>4</v>
      </c>
      <c r="X59" s="586" t="s">
        <v>625</v>
      </c>
      <c r="Y59" s="119" t="s">
        <v>381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83">
        <v>0</v>
      </c>
    </row>
    <row r="60" spans="1:32" ht="15" customHeight="1">
      <c r="A60" s="75">
        <v>21000</v>
      </c>
      <c r="B60" s="46">
        <v>21020</v>
      </c>
      <c r="D60" s="575"/>
      <c r="E60" s="119" t="s">
        <v>383</v>
      </c>
      <c r="F60" s="22">
        <v>5</v>
      </c>
      <c r="G60" s="22">
        <v>0</v>
      </c>
      <c r="H60" s="22">
        <v>5</v>
      </c>
      <c r="I60" s="22">
        <v>0</v>
      </c>
      <c r="J60" s="22">
        <v>5</v>
      </c>
      <c r="K60" s="22">
        <v>0</v>
      </c>
      <c r="L60" s="83">
        <v>5</v>
      </c>
      <c r="N60" s="575"/>
      <c r="O60" s="119" t="s">
        <v>383</v>
      </c>
      <c r="P60" s="22">
        <v>5</v>
      </c>
      <c r="Q60" s="22">
        <v>0</v>
      </c>
      <c r="R60" s="22">
        <v>5</v>
      </c>
      <c r="S60" s="22">
        <v>0</v>
      </c>
      <c r="T60" s="22">
        <v>5</v>
      </c>
      <c r="U60" s="22">
        <v>0</v>
      </c>
      <c r="V60" s="83">
        <v>5</v>
      </c>
      <c r="X60" s="575"/>
      <c r="Y60" s="119" t="s">
        <v>383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83">
        <v>0</v>
      </c>
    </row>
    <row r="61" spans="1:32" ht="15" customHeight="1">
      <c r="A61" s="75">
        <v>22000</v>
      </c>
      <c r="B61" s="46">
        <v>22020</v>
      </c>
      <c r="D61" s="575"/>
      <c r="E61" s="119" t="s">
        <v>389</v>
      </c>
      <c r="F61" s="22">
        <v>6</v>
      </c>
      <c r="G61" s="22">
        <v>0</v>
      </c>
      <c r="H61" s="22">
        <v>6</v>
      </c>
      <c r="I61" s="22">
        <v>0</v>
      </c>
      <c r="J61" s="22">
        <v>6</v>
      </c>
      <c r="K61" s="22">
        <v>2</v>
      </c>
      <c r="L61" s="83">
        <v>8</v>
      </c>
      <c r="N61" s="575"/>
      <c r="O61" s="119" t="s">
        <v>389</v>
      </c>
      <c r="P61" s="22">
        <v>6</v>
      </c>
      <c r="Q61" s="22">
        <v>0</v>
      </c>
      <c r="R61" s="22">
        <v>6</v>
      </c>
      <c r="S61" s="22">
        <v>0</v>
      </c>
      <c r="T61" s="22">
        <v>6</v>
      </c>
      <c r="U61" s="22">
        <v>2</v>
      </c>
      <c r="V61" s="83">
        <v>8</v>
      </c>
      <c r="X61" s="575"/>
      <c r="Y61" s="119" t="s">
        <v>389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83">
        <v>0</v>
      </c>
    </row>
    <row r="62" spans="1:32" ht="15" customHeight="1">
      <c r="A62" s="75">
        <v>60000</v>
      </c>
      <c r="B62" s="46">
        <v>60020</v>
      </c>
      <c r="D62" s="576"/>
      <c r="E62" s="119" t="s">
        <v>396</v>
      </c>
      <c r="F62" s="22">
        <v>14</v>
      </c>
      <c r="G62" s="22">
        <v>0</v>
      </c>
      <c r="H62" s="22">
        <v>14</v>
      </c>
      <c r="I62" s="22">
        <v>2</v>
      </c>
      <c r="J62" s="22">
        <v>16</v>
      </c>
      <c r="K62" s="22">
        <v>5</v>
      </c>
      <c r="L62" s="83">
        <v>21</v>
      </c>
      <c r="N62" s="576"/>
      <c r="O62" s="119" t="s">
        <v>396</v>
      </c>
      <c r="P62" s="22">
        <v>14</v>
      </c>
      <c r="Q62" s="22">
        <v>0</v>
      </c>
      <c r="R62" s="22">
        <v>14</v>
      </c>
      <c r="S62" s="22">
        <v>2</v>
      </c>
      <c r="T62" s="22">
        <v>16</v>
      </c>
      <c r="U62" s="22">
        <v>4</v>
      </c>
      <c r="V62" s="83">
        <v>20</v>
      </c>
      <c r="X62" s="576"/>
      <c r="Y62" s="119" t="s">
        <v>396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1</v>
      </c>
      <c r="AF62" s="83">
        <v>1</v>
      </c>
    </row>
    <row r="63" spans="1:32" ht="15" customHeight="1">
      <c r="A63" s="75">
        <v>60100</v>
      </c>
      <c r="B63" s="46">
        <v>60120</v>
      </c>
      <c r="D63" s="118" t="s">
        <v>626</v>
      </c>
      <c r="E63" s="119" t="s">
        <v>114</v>
      </c>
      <c r="F63" s="22">
        <v>5</v>
      </c>
      <c r="G63" s="22">
        <v>2</v>
      </c>
      <c r="H63" s="22">
        <v>7</v>
      </c>
      <c r="I63" s="22">
        <v>2</v>
      </c>
      <c r="J63" s="22">
        <v>9</v>
      </c>
      <c r="K63" s="22">
        <v>0</v>
      </c>
      <c r="L63" s="83">
        <v>9</v>
      </c>
      <c r="N63" s="118" t="s">
        <v>626</v>
      </c>
      <c r="O63" s="119" t="s">
        <v>114</v>
      </c>
      <c r="P63" s="22">
        <v>5</v>
      </c>
      <c r="Q63" s="22">
        <v>2</v>
      </c>
      <c r="R63" s="22">
        <v>7</v>
      </c>
      <c r="S63" s="22">
        <v>2</v>
      </c>
      <c r="T63" s="22">
        <v>9</v>
      </c>
      <c r="U63" s="22">
        <v>0</v>
      </c>
      <c r="V63" s="83">
        <v>9</v>
      </c>
      <c r="X63" s="118" t="s">
        <v>626</v>
      </c>
      <c r="Y63" s="119" t="s">
        <v>114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83">
        <v>0</v>
      </c>
    </row>
    <row r="64" spans="1:32" ht="15" customHeight="1">
      <c r="A64" s="75">
        <v>60200</v>
      </c>
      <c r="B64" s="46">
        <v>60220</v>
      </c>
      <c r="D64" s="584" t="s">
        <v>616</v>
      </c>
      <c r="E64" s="585"/>
      <c r="F64" s="78">
        <v>15</v>
      </c>
      <c r="G64" s="78">
        <v>9</v>
      </c>
      <c r="H64" s="78">
        <v>24</v>
      </c>
      <c r="I64" s="78">
        <v>0</v>
      </c>
      <c r="J64" s="78">
        <v>24</v>
      </c>
      <c r="K64" s="78">
        <v>2</v>
      </c>
      <c r="L64" s="87">
        <v>26</v>
      </c>
      <c r="M64" s="94"/>
      <c r="N64" s="584" t="s">
        <v>616</v>
      </c>
      <c r="O64" s="585"/>
      <c r="P64" s="78">
        <v>15</v>
      </c>
      <c r="Q64" s="78">
        <v>9</v>
      </c>
      <c r="R64" s="78">
        <v>24</v>
      </c>
      <c r="S64" s="78">
        <v>0</v>
      </c>
      <c r="T64" s="78">
        <v>24</v>
      </c>
      <c r="U64" s="78">
        <v>2</v>
      </c>
      <c r="V64" s="87">
        <v>26</v>
      </c>
      <c r="X64" s="584" t="s">
        <v>616</v>
      </c>
      <c r="Y64" s="585"/>
      <c r="Z64" s="148">
        <v>0</v>
      </c>
      <c r="AA64" s="148">
        <v>0</v>
      </c>
      <c r="AB64" s="148">
        <v>0</v>
      </c>
      <c r="AC64" s="148">
        <v>0</v>
      </c>
      <c r="AD64" s="148">
        <v>0</v>
      </c>
      <c r="AE64" s="148">
        <v>0</v>
      </c>
      <c r="AF64" s="150">
        <v>0</v>
      </c>
    </row>
    <row r="65" spans="1:32" ht="15" customHeight="1">
      <c r="A65" s="76"/>
      <c r="B65" s="56"/>
      <c r="C65" s="56"/>
      <c r="D65" s="586" t="s">
        <v>643</v>
      </c>
      <c r="E65" s="119" t="s">
        <v>45</v>
      </c>
      <c r="F65" s="22">
        <v>3</v>
      </c>
      <c r="G65" s="22">
        <v>1</v>
      </c>
      <c r="H65" s="22">
        <v>4</v>
      </c>
      <c r="I65" s="22">
        <v>0</v>
      </c>
      <c r="J65" s="22">
        <v>4</v>
      </c>
      <c r="K65" s="22">
        <v>0</v>
      </c>
      <c r="L65" s="83">
        <v>4</v>
      </c>
      <c r="N65" s="586" t="s">
        <v>643</v>
      </c>
      <c r="O65" s="119" t="s">
        <v>45</v>
      </c>
      <c r="P65" s="22">
        <v>3</v>
      </c>
      <c r="Q65" s="22">
        <v>1</v>
      </c>
      <c r="R65" s="22">
        <v>4</v>
      </c>
      <c r="S65" s="22">
        <v>0</v>
      </c>
      <c r="T65" s="22">
        <v>4</v>
      </c>
      <c r="U65" s="22">
        <v>0</v>
      </c>
      <c r="V65" s="83">
        <v>4</v>
      </c>
      <c r="X65" s="586" t="s">
        <v>643</v>
      </c>
      <c r="Y65" s="119" t="s">
        <v>45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83">
        <v>0</v>
      </c>
    </row>
    <row r="66" spans="1:32" ht="15" customHeight="1">
      <c r="A66" s="75">
        <v>30000</v>
      </c>
      <c r="B66" s="46">
        <v>30020</v>
      </c>
      <c r="D66" s="575"/>
      <c r="E66" s="81" t="s">
        <v>638</v>
      </c>
      <c r="F66" s="22">
        <v>3</v>
      </c>
      <c r="G66" s="22">
        <v>1</v>
      </c>
      <c r="H66" s="22">
        <v>4</v>
      </c>
      <c r="I66" s="22">
        <v>0</v>
      </c>
      <c r="J66" s="22">
        <v>4</v>
      </c>
      <c r="K66" s="22">
        <v>1</v>
      </c>
      <c r="L66" s="83">
        <v>5</v>
      </c>
      <c r="N66" s="575"/>
      <c r="O66" s="81" t="s">
        <v>638</v>
      </c>
      <c r="P66" s="22">
        <v>3</v>
      </c>
      <c r="Q66" s="22">
        <v>1</v>
      </c>
      <c r="R66" s="22">
        <v>4</v>
      </c>
      <c r="S66" s="22">
        <v>0</v>
      </c>
      <c r="T66" s="22">
        <v>4</v>
      </c>
      <c r="U66" s="22">
        <v>1</v>
      </c>
      <c r="V66" s="83">
        <v>5</v>
      </c>
      <c r="X66" s="575"/>
      <c r="Y66" s="81" t="s">
        <v>638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83">
        <v>0</v>
      </c>
    </row>
    <row r="67" spans="1:32" ht="15" customHeight="1">
      <c r="A67" s="75">
        <v>31000</v>
      </c>
      <c r="B67" s="46">
        <v>31020</v>
      </c>
      <c r="D67" s="576"/>
      <c r="E67" s="119" t="s">
        <v>49</v>
      </c>
      <c r="F67" s="22">
        <v>3</v>
      </c>
      <c r="G67" s="22">
        <v>2</v>
      </c>
      <c r="H67" s="22">
        <v>5</v>
      </c>
      <c r="I67" s="22">
        <v>0</v>
      </c>
      <c r="J67" s="22">
        <v>5</v>
      </c>
      <c r="K67" s="22">
        <v>1</v>
      </c>
      <c r="L67" s="83">
        <v>6</v>
      </c>
      <c r="N67" s="576"/>
      <c r="O67" s="119" t="s">
        <v>49</v>
      </c>
      <c r="P67" s="22">
        <v>3</v>
      </c>
      <c r="Q67" s="22">
        <v>2</v>
      </c>
      <c r="R67" s="22">
        <v>5</v>
      </c>
      <c r="S67" s="22">
        <v>0</v>
      </c>
      <c r="T67" s="22">
        <v>5</v>
      </c>
      <c r="U67" s="22">
        <v>1</v>
      </c>
      <c r="V67" s="83">
        <v>6</v>
      </c>
      <c r="X67" s="576"/>
      <c r="Y67" s="119" t="s">
        <v>49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83">
        <v>0</v>
      </c>
    </row>
    <row r="68" spans="1:32" ht="15" customHeight="1">
      <c r="A68" s="75">
        <v>32000</v>
      </c>
      <c r="B68" s="46">
        <v>32020</v>
      </c>
      <c r="D68" s="636" t="s">
        <v>647</v>
      </c>
      <c r="E68" s="141" t="s">
        <v>131</v>
      </c>
      <c r="F68" s="138">
        <v>2</v>
      </c>
      <c r="G68" s="138">
        <v>2</v>
      </c>
      <c r="H68" s="138">
        <v>4</v>
      </c>
      <c r="I68" s="138">
        <v>0</v>
      </c>
      <c r="J68" s="138">
        <v>4</v>
      </c>
      <c r="K68" s="138">
        <v>0</v>
      </c>
      <c r="L68" s="139">
        <v>4</v>
      </c>
      <c r="N68" s="586" t="s">
        <v>647</v>
      </c>
      <c r="O68" s="119" t="s">
        <v>131</v>
      </c>
      <c r="P68" s="22">
        <v>2</v>
      </c>
      <c r="Q68" s="22">
        <v>2</v>
      </c>
      <c r="R68" s="22">
        <v>4</v>
      </c>
      <c r="S68" s="22">
        <v>0</v>
      </c>
      <c r="T68" s="22">
        <v>4</v>
      </c>
      <c r="U68" s="22">
        <v>0</v>
      </c>
      <c r="V68" s="83">
        <v>4</v>
      </c>
      <c r="X68" s="586" t="s">
        <v>647</v>
      </c>
      <c r="Y68" s="119" t="s">
        <v>131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83">
        <v>0</v>
      </c>
    </row>
    <row r="69" spans="1:32" ht="15" customHeight="1">
      <c r="A69" s="75">
        <v>33000</v>
      </c>
      <c r="B69" s="46">
        <v>33020</v>
      </c>
      <c r="D69" s="637"/>
      <c r="E69" s="142" t="s">
        <v>639</v>
      </c>
      <c r="F69" s="138">
        <v>1</v>
      </c>
      <c r="G69" s="138">
        <v>2</v>
      </c>
      <c r="H69" s="138">
        <v>3</v>
      </c>
      <c r="I69" s="138">
        <v>0</v>
      </c>
      <c r="J69" s="138">
        <v>3</v>
      </c>
      <c r="K69" s="138">
        <v>0</v>
      </c>
      <c r="L69" s="139">
        <v>3</v>
      </c>
      <c r="N69" s="575"/>
      <c r="O69" s="81" t="s">
        <v>639</v>
      </c>
      <c r="P69" s="22">
        <v>1</v>
      </c>
      <c r="Q69" s="22">
        <v>2</v>
      </c>
      <c r="R69" s="22">
        <v>3</v>
      </c>
      <c r="S69" s="22">
        <v>0</v>
      </c>
      <c r="T69" s="22">
        <v>3</v>
      </c>
      <c r="U69" s="22">
        <v>0</v>
      </c>
      <c r="V69" s="83">
        <v>3</v>
      </c>
      <c r="X69" s="575"/>
      <c r="Y69" s="81" t="s">
        <v>639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83">
        <v>0</v>
      </c>
    </row>
    <row r="70" spans="1:32" ht="15" customHeight="1">
      <c r="A70" s="75">
        <v>61000</v>
      </c>
      <c r="B70" s="46">
        <v>61020</v>
      </c>
      <c r="D70" s="640"/>
      <c r="E70" s="141" t="s">
        <v>134</v>
      </c>
      <c r="F70" s="138">
        <v>3</v>
      </c>
      <c r="G70" s="138">
        <v>1</v>
      </c>
      <c r="H70" s="138">
        <v>4</v>
      </c>
      <c r="I70" s="138">
        <v>0</v>
      </c>
      <c r="J70" s="138">
        <v>4</v>
      </c>
      <c r="K70" s="138">
        <v>0</v>
      </c>
      <c r="L70" s="139">
        <v>4</v>
      </c>
      <c r="N70" s="576"/>
      <c r="O70" s="119" t="s">
        <v>134</v>
      </c>
      <c r="P70" s="22">
        <v>3</v>
      </c>
      <c r="Q70" s="22">
        <v>1</v>
      </c>
      <c r="R70" s="22">
        <v>4</v>
      </c>
      <c r="S70" s="22">
        <v>0</v>
      </c>
      <c r="T70" s="22">
        <v>4</v>
      </c>
      <c r="U70" s="22">
        <v>0</v>
      </c>
      <c r="V70" s="83">
        <v>4</v>
      </c>
      <c r="X70" s="576"/>
      <c r="Y70" s="119" t="s">
        <v>134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83">
        <v>0</v>
      </c>
    </row>
    <row r="71" spans="1:32" ht="15" customHeight="1">
      <c r="A71" s="2">
        <v>61200</v>
      </c>
      <c r="B71" s="46">
        <v>61220</v>
      </c>
      <c r="D71" s="591" t="s">
        <v>652</v>
      </c>
      <c r="E71" s="592"/>
      <c r="F71" s="592"/>
      <c r="G71" s="592"/>
      <c r="H71" s="592"/>
      <c r="I71" s="592"/>
      <c r="J71" s="592"/>
      <c r="K71" s="592"/>
      <c r="L71" s="104">
        <v>58</v>
      </c>
      <c r="N71" s="591" t="s">
        <v>652</v>
      </c>
      <c r="O71" s="592"/>
      <c r="P71" s="592"/>
      <c r="Q71" s="592"/>
      <c r="R71" s="592"/>
      <c r="S71" s="592"/>
      <c r="T71" s="592"/>
      <c r="U71" s="592"/>
      <c r="V71" s="104">
        <v>58</v>
      </c>
      <c r="X71" s="591" t="s">
        <v>652</v>
      </c>
      <c r="Y71" s="592"/>
      <c r="Z71" s="592"/>
      <c r="AA71" s="592"/>
      <c r="AB71" s="592"/>
      <c r="AC71" s="592"/>
      <c r="AD71" s="592"/>
      <c r="AE71" s="592"/>
      <c r="AF71" s="104">
        <v>0</v>
      </c>
    </row>
    <row r="72" spans="1:32" ht="15" customHeight="1">
      <c r="D72" s="584" t="s">
        <v>617</v>
      </c>
      <c r="E72" s="585"/>
      <c r="F72" s="78">
        <v>37</v>
      </c>
      <c r="G72" s="78">
        <v>4</v>
      </c>
      <c r="H72" s="78">
        <v>41</v>
      </c>
      <c r="I72" s="78">
        <v>11</v>
      </c>
      <c r="J72" s="78">
        <v>52</v>
      </c>
      <c r="K72" s="78">
        <v>6</v>
      </c>
      <c r="L72" s="87">
        <v>58</v>
      </c>
      <c r="M72" s="37"/>
      <c r="N72" s="584" t="s">
        <v>617</v>
      </c>
      <c r="O72" s="585"/>
      <c r="P72" s="78">
        <v>37</v>
      </c>
      <c r="Q72" s="78">
        <v>4</v>
      </c>
      <c r="R72" s="78">
        <v>41</v>
      </c>
      <c r="S72" s="78">
        <v>11</v>
      </c>
      <c r="T72" s="78">
        <v>52</v>
      </c>
      <c r="U72" s="78">
        <v>6</v>
      </c>
      <c r="V72" s="87">
        <v>58</v>
      </c>
      <c r="X72" s="584" t="s">
        <v>617</v>
      </c>
      <c r="Y72" s="585"/>
      <c r="Z72" s="148">
        <v>0</v>
      </c>
      <c r="AA72" s="148">
        <v>0</v>
      </c>
      <c r="AB72" s="148">
        <v>0</v>
      </c>
      <c r="AC72" s="148">
        <v>0</v>
      </c>
      <c r="AD72" s="148">
        <v>0</v>
      </c>
      <c r="AE72" s="148">
        <v>0</v>
      </c>
      <c r="AF72" s="150">
        <v>0</v>
      </c>
    </row>
    <row r="73" spans="1:32" ht="15" customHeight="1">
      <c r="B73" s="56"/>
      <c r="C73" s="56"/>
      <c r="D73" s="586" t="s">
        <v>643</v>
      </c>
      <c r="E73" s="119" t="s">
        <v>53</v>
      </c>
      <c r="F73" s="22">
        <v>14</v>
      </c>
      <c r="G73" s="22">
        <v>1</v>
      </c>
      <c r="H73" s="22">
        <v>15</v>
      </c>
      <c r="I73" s="22">
        <v>3</v>
      </c>
      <c r="J73" s="22">
        <v>18</v>
      </c>
      <c r="K73" s="22">
        <v>1</v>
      </c>
      <c r="L73" s="83">
        <v>19</v>
      </c>
      <c r="N73" s="586" t="s">
        <v>643</v>
      </c>
      <c r="O73" s="119" t="s">
        <v>53</v>
      </c>
      <c r="P73" s="22">
        <v>14</v>
      </c>
      <c r="Q73" s="22">
        <v>1</v>
      </c>
      <c r="R73" s="22">
        <v>15</v>
      </c>
      <c r="S73" s="22">
        <v>3</v>
      </c>
      <c r="T73" s="22">
        <v>18</v>
      </c>
      <c r="U73" s="22">
        <v>1</v>
      </c>
      <c r="V73" s="83">
        <v>19</v>
      </c>
      <c r="X73" s="586" t="s">
        <v>643</v>
      </c>
      <c r="Y73" s="119" t="s">
        <v>53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83">
        <v>0</v>
      </c>
    </row>
    <row r="74" spans="1:32" ht="15" customHeight="1">
      <c r="D74" s="575"/>
      <c r="E74" s="119" t="s">
        <v>72</v>
      </c>
      <c r="F74" s="22">
        <v>6</v>
      </c>
      <c r="G74" s="22">
        <v>1</v>
      </c>
      <c r="H74" s="22">
        <v>7</v>
      </c>
      <c r="I74" s="22">
        <v>1</v>
      </c>
      <c r="J74" s="22">
        <v>8</v>
      </c>
      <c r="K74" s="22">
        <v>0</v>
      </c>
      <c r="L74" s="83">
        <v>8</v>
      </c>
      <c r="N74" s="575"/>
      <c r="O74" s="119" t="s">
        <v>72</v>
      </c>
      <c r="P74" s="22">
        <v>6</v>
      </c>
      <c r="Q74" s="22">
        <v>1</v>
      </c>
      <c r="R74" s="22">
        <v>7</v>
      </c>
      <c r="S74" s="22">
        <v>1</v>
      </c>
      <c r="T74" s="22">
        <v>8</v>
      </c>
      <c r="U74" s="22">
        <v>0</v>
      </c>
      <c r="V74" s="83">
        <v>8</v>
      </c>
      <c r="X74" s="575"/>
      <c r="Y74" s="119" t="s">
        <v>72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83">
        <v>0</v>
      </c>
    </row>
    <row r="75" spans="1:32" ht="15" customHeight="1">
      <c r="D75" s="575"/>
      <c r="E75" s="119" t="s">
        <v>81</v>
      </c>
      <c r="F75" s="22">
        <v>2</v>
      </c>
      <c r="G75" s="22">
        <v>0</v>
      </c>
      <c r="H75" s="22">
        <v>2</v>
      </c>
      <c r="I75" s="22">
        <v>0</v>
      </c>
      <c r="J75" s="22">
        <v>2</v>
      </c>
      <c r="K75" s="22">
        <v>0</v>
      </c>
      <c r="L75" s="83">
        <v>2</v>
      </c>
      <c r="N75" s="575"/>
      <c r="O75" s="119" t="s">
        <v>81</v>
      </c>
      <c r="P75" s="22">
        <v>2</v>
      </c>
      <c r="Q75" s="22">
        <v>0</v>
      </c>
      <c r="R75" s="22">
        <v>2</v>
      </c>
      <c r="S75" s="22">
        <v>0</v>
      </c>
      <c r="T75" s="22">
        <v>2</v>
      </c>
      <c r="U75" s="22">
        <v>0</v>
      </c>
      <c r="V75" s="83">
        <v>2</v>
      </c>
      <c r="X75" s="575"/>
      <c r="Y75" s="119" t="s">
        <v>81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83">
        <v>0</v>
      </c>
    </row>
    <row r="76" spans="1:32" ht="15" customHeight="1">
      <c r="D76" s="576"/>
      <c r="E76" s="119" t="s">
        <v>84</v>
      </c>
      <c r="F76" s="22">
        <v>2</v>
      </c>
      <c r="G76" s="22">
        <v>0</v>
      </c>
      <c r="H76" s="22">
        <v>2</v>
      </c>
      <c r="I76" s="22">
        <v>0</v>
      </c>
      <c r="J76" s="22">
        <v>2</v>
      </c>
      <c r="K76" s="22">
        <v>3</v>
      </c>
      <c r="L76" s="83">
        <v>5</v>
      </c>
      <c r="N76" s="576"/>
      <c r="O76" s="119" t="s">
        <v>84</v>
      </c>
      <c r="P76" s="22">
        <v>2</v>
      </c>
      <c r="Q76" s="22">
        <v>0</v>
      </c>
      <c r="R76" s="22">
        <v>2</v>
      </c>
      <c r="S76" s="22">
        <v>0</v>
      </c>
      <c r="T76" s="22">
        <v>2</v>
      </c>
      <c r="U76" s="22">
        <v>3</v>
      </c>
      <c r="V76" s="83">
        <v>5</v>
      </c>
      <c r="X76" s="576"/>
      <c r="Y76" s="119" t="s">
        <v>84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83">
        <v>0</v>
      </c>
    </row>
    <row r="77" spans="1:32" ht="15" customHeight="1">
      <c r="D77" s="636" t="s">
        <v>647</v>
      </c>
      <c r="E77" s="141" t="s">
        <v>147</v>
      </c>
      <c r="F77" s="138">
        <v>10</v>
      </c>
      <c r="G77" s="138">
        <v>1</v>
      </c>
      <c r="H77" s="138">
        <v>11</v>
      </c>
      <c r="I77" s="138">
        <v>1</v>
      </c>
      <c r="J77" s="138">
        <v>12</v>
      </c>
      <c r="K77" s="138">
        <v>0</v>
      </c>
      <c r="L77" s="139">
        <v>12</v>
      </c>
      <c r="N77" s="586" t="s">
        <v>647</v>
      </c>
      <c r="O77" s="119" t="s">
        <v>147</v>
      </c>
      <c r="P77" s="22">
        <v>10</v>
      </c>
      <c r="Q77" s="22">
        <v>1</v>
      </c>
      <c r="R77" s="22">
        <v>11</v>
      </c>
      <c r="S77" s="22">
        <v>1</v>
      </c>
      <c r="T77" s="22">
        <v>12</v>
      </c>
      <c r="U77" s="22">
        <v>0</v>
      </c>
      <c r="V77" s="83">
        <v>12</v>
      </c>
      <c r="X77" s="586" t="s">
        <v>647</v>
      </c>
      <c r="Y77" s="119" t="s">
        <v>147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83">
        <v>0</v>
      </c>
    </row>
    <row r="78" spans="1:32" ht="15" customHeight="1" thickBot="1">
      <c r="D78" s="637"/>
      <c r="E78" s="143" t="s">
        <v>158</v>
      </c>
      <c r="F78" s="144">
        <v>3</v>
      </c>
      <c r="G78" s="144">
        <v>1</v>
      </c>
      <c r="H78" s="144">
        <v>4</v>
      </c>
      <c r="I78" s="144">
        <v>6</v>
      </c>
      <c r="J78" s="144">
        <v>10</v>
      </c>
      <c r="K78" s="144">
        <v>2</v>
      </c>
      <c r="L78" s="145">
        <v>12</v>
      </c>
      <c r="N78" s="576"/>
      <c r="O78" s="119" t="s">
        <v>158</v>
      </c>
      <c r="P78" s="22">
        <v>3</v>
      </c>
      <c r="Q78" s="22">
        <v>1</v>
      </c>
      <c r="R78" s="22">
        <v>4</v>
      </c>
      <c r="S78" s="22">
        <v>6</v>
      </c>
      <c r="T78" s="22">
        <v>10</v>
      </c>
      <c r="U78" s="22">
        <v>2</v>
      </c>
      <c r="V78" s="83">
        <v>12</v>
      </c>
      <c r="X78" s="576"/>
      <c r="Y78" s="119" t="s">
        <v>158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83">
        <v>0</v>
      </c>
    </row>
    <row r="79" spans="1:32" ht="15" customHeight="1" thickBot="1">
      <c r="D79" s="638" t="s">
        <v>642</v>
      </c>
      <c r="E79" s="639"/>
      <c r="F79" s="146">
        <v>399</v>
      </c>
      <c r="G79" s="146">
        <v>51</v>
      </c>
      <c r="H79" s="146">
        <v>450</v>
      </c>
      <c r="I79" s="146">
        <v>79</v>
      </c>
      <c r="J79" s="146">
        <v>529</v>
      </c>
      <c r="K79" s="146">
        <v>208</v>
      </c>
      <c r="L79" s="147">
        <v>737</v>
      </c>
      <c r="M79" s="94"/>
      <c r="N79" s="597" t="s">
        <v>642</v>
      </c>
      <c r="O79" s="598"/>
      <c r="P79" s="92">
        <v>400</v>
      </c>
      <c r="Q79" s="92">
        <v>51</v>
      </c>
      <c r="R79" s="92">
        <v>451</v>
      </c>
      <c r="S79" s="92">
        <v>78</v>
      </c>
      <c r="T79" s="92">
        <v>529</v>
      </c>
      <c r="U79" s="92">
        <v>199</v>
      </c>
      <c r="V79" s="93">
        <v>728</v>
      </c>
      <c r="X79" s="630" t="s">
        <v>642</v>
      </c>
      <c r="Y79" s="631"/>
      <c r="Z79" s="114">
        <v>-1</v>
      </c>
      <c r="AA79" s="114">
        <v>0</v>
      </c>
      <c r="AB79" s="114">
        <v>-1</v>
      </c>
      <c r="AC79" s="114">
        <v>1</v>
      </c>
      <c r="AD79" s="114">
        <v>0</v>
      </c>
      <c r="AE79" s="114">
        <v>9</v>
      </c>
      <c r="AF79" s="115">
        <v>9</v>
      </c>
    </row>
    <row r="80" spans="1:32" ht="15" customHeight="1">
      <c r="D80" s="575"/>
      <c r="E80" s="609" t="s">
        <v>611</v>
      </c>
      <c r="F80" s="126" t="s">
        <v>665</v>
      </c>
      <c r="G80" s="126" t="s">
        <v>666</v>
      </c>
      <c r="H80" s="609" t="s">
        <v>614</v>
      </c>
      <c r="I80" s="609" t="s">
        <v>613</v>
      </c>
      <c r="J80" s="609" t="s">
        <v>622</v>
      </c>
      <c r="K80" s="610" t="s">
        <v>656</v>
      </c>
      <c r="L80" s="611" t="s">
        <v>623</v>
      </c>
      <c r="M80" s="37"/>
      <c r="N80" s="575"/>
      <c r="O80" s="609" t="s">
        <v>611</v>
      </c>
      <c r="P80" s="126" t="s">
        <v>69</v>
      </c>
      <c r="Q80" s="126" t="s">
        <v>664</v>
      </c>
      <c r="R80" s="609" t="s">
        <v>614</v>
      </c>
      <c r="S80" s="609" t="s">
        <v>613</v>
      </c>
      <c r="T80" s="609" t="s">
        <v>622</v>
      </c>
      <c r="U80" s="610" t="s">
        <v>656</v>
      </c>
      <c r="V80" s="611" t="s">
        <v>623</v>
      </c>
      <c r="X80" s="574"/>
      <c r="Y80" s="552" t="s">
        <v>611</v>
      </c>
      <c r="Z80" s="149" t="s">
        <v>69</v>
      </c>
      <c r="AA80" s="149" t="s">
        <v>664</v>
      </c>
      <c r="AB80" s="552" t="s">
        <v>614</v>
      </c>
      <c r="AC80" s="552" t="s">
        <v>613</v>
      </c>
      <c r="AD80" s="552" t="s">
        <v>622</v>
      </c>
      <c r="AE80" s="634" t="s">
        <v>656</v>
      </c>
      <c r="AF80" s="635" t="s">
        <v>623</v>
      </c>
    </row>
    <row r="81" spans="4:32" ht="27" customHeight="1" thickBot="1">
      <c r="D81" s="587"/>
      <c r="E81" s="553"/>
      <c r="F81" s="612" t="s">
        <v>612</v>
      </c>
      <c r="G81" s="612"/>
      <c r="H81" s="553"/>
      <c r="I81" s="553"/>
      <c r="J81" s="553"/>
      <c r="K81" s="580"/>
      <c r="L81" s="581"/>
      <c r="M81" s="37"/>
      <c r="N81" s="587"/>
      <c r="O81" s="553"/>
      <c r="P81" s="612" t="s">
        <v>612</v>
      </c>
      <c r="Q81" s="612"/>
      <c r="R81" s="553"/>
      <c r="S81" s="553"/>
      <c r="T81" s="553"/>
      <c r="U81" s="580"/>
      <c r="V81" s="581"/>
      <c r="X81" s="587"/>
      <c r="Y81" s="553"/>
      <c r="Z81" s="612" t="s">
        <v>612</v>
      </c>
      <c r="AA81" s="612"/>
      <c r="AB81" s="553"/>
      <c r="AC81" s="553"/>
      <c r="AD81" s="553"/>
      <c r="AE81" s="580"/>
      <c r="AF81" s="581"/>
    </row>
    <row r="82" spans="4:32" ht="15" customHeight="1">
      <c r="D82" s="606" t="s">
        <v>667</v>
      </c>
      <c r="E82" s="127" t="s">
        <v>668</v>
      </c>
      <c r="F82" s="128">
        <v>237</v>
      </c>
      <c r="G82" s="128">
        <v>28</v>
      </c>
      <c r="H82" s="128">
        <v>265</v>
      </c>
      <c r="I82" s="128">
        <v>40</v>
      </c>
      <c r="J82" s="128">
        <v>305</v>
      </c>
      <c r="K82" s="128">
        <v>87</v>
      </c>
      <c r="L82" s="129">
        <v>392</v>
      </c>
      <c r="M82" s="37"/>
      <c r="N82" s="606" t="s">
        <v>667</v>
      </c>
      <c r="O82" s="127" t="s">
        <v>668</v>
      </c>
      <c r="P82" s="128">
        <v>238</v>
      </c>
      <c r="Q82" s="128">
        <v>28</v>
      </c>
      <c r="R82" s="128">
        <v>266</v>
      </c>
      <c r="S82" s="128">
        <v>39</v>
      </c>
      <c r="T82" s="128">
        <v>305</v>
      </c>
      <c r="U82" s="128">
        <v>83</v>
      </c>
      <c r="V82" s="129">
        <v>388</v>
      </c>
      <c r="X82" s="606" t="s">
        <v>667</v>
      </c>
      <c r="Y82" s="127" t="s">
        <v>668</v>
      </c>
      <c r="Z82" s="128">
        <v>-1</v>
      </c>
      <c r="AA82" s="128">
        <v>0</v>
      </c>
      <c r="AB82" s="128">
        <v>-1</v>
      </c>
      <c r="AC82" s="128">
        <v>1</v>
      </c>
      <c r="AD82" s="128">
        <v>0</v>
      </c>
      <c r="AE82" s="128">
        <v>4</v>
      </c>
      <c r="AF82" s="129">
        <v>4</v>
      </c>
    </row>
    <row r="83" spans="4:32" ht="15" customHeight="1">
      <c r="D83" s="607"/>
      <c r="E83" s="130" t="s">
        <v>647</v>
      </c>
      <c r="F83" s="131">
        <v>130</v>
      </c>
      <c r="G83" s="131">
        <v>21</v>
      </c>
      <c r="H83" s="131">
        <v>151</v>
      </c>
      <c r="I83" s="131">
        <v>34</v>
      </c>
      <c r="J83" s="131">
        <v>185</v>
      </c>
      <c r="K83" s="131">
        <v>113</v>
      </c>
      <c r="L83" s="132">
        <v>298</v>
      </c>
      <c r="N83" s="607"/>
      <c r="O83" s="130" t="s">
        <v>647</v>
      </c>
      <c r="P83" s="131">
        <v>130</v>
      </c>
      <c r="Q83" s="131">
        <v>21</v>
      </c>
      <c r="R83" s="131">
        <v>151</v>
      </c>
      <c r="S83" s="131">
        <v>34</v>
      </c>
      <c r="T83" s="131">
        <v>185</v>
      </c>
      <c r="U83" s="131">
        <v>109</v>
      </c>
      <c r="V83" s="132">
        <v>294</v>
      </c>
      <c r="X83" s="607"/>
      <c r="Y83" s="130" t="s">
        <v>647</v>
      </c>
      <c r="Z83" s="131">
        <v>0</v>
      </c>
      <c r="AA83" s="131">
        <v>0</v>
      </c>
      <c r="AB83" s="131">
        <v>0</v>
      </c>
      <c r="AC83" s="131">
        <v>0</v>
      </c>
      <c r="AD83" s="131">
        <v>0</v>
      </c>
      <c r="AE83" s="131">
        <v>4</v>
      </c>
      <c r="AF83" s="132">
        <v>4</v>
      </c>
    </row>
    <row r="84" spans="4:32" ht="15" customHeight="1" thickBot="1">
      <c r="D84" s="608"/>
      <c r="E84" s="133" t="s">
        <v>669</v>
      </c>
      <c r="F84" s="134">
        <v>32</v>
      </c>
      <c r="G84" s="134">
        <v>2</v>
      </c>
      <c r="H84" s="134">
        <v>34</v>
      </c>
      <c r="I84" s="134">
        <v>5</v>
      </c>
      <c r="J84" s="134">
        <v>39</v>
      </c>
      <c r="K84" s="134">
        <v>8</v>
      </c>
      <c r="L84" s="135">
        <v>47</v>
      </c>
      <c r="N84" s="608"/>
      <c r="O84" s="133" t="s">
        <v>669</v>
      </c>
      <c r="P84" s="134">
        <v>32</v>
      </c>
      <c r="Q84" s="134">
        <v>2</v>
      </c>
      <c r="R84" s="134">
        <v>34</v>
      </c>
      <c r="S84" s="134">
        <v>5</v>
      </c>
      <c r="T84" s="134">
        <v>39</v>
      </c>
      <c r="U84" s="134">
        <v>7</v>
      </c>
      <c r="V84" s="135">
        <v>46</v>
      </c>
      <c r="X84" s="608"/>
      <c r="Y84" s="133" t="s">
        <v>669</v>
      </c>
      <c r="Z84" s="134">
        <v>0</v>
      </c>
      <c r="AA84" s="134">
        <v>0</v>
      </c>
      <c r="AB84" s="134">
        <v>0</v>
      </c>
      <c r="AC84" s="134">
        <v>0</v>
      </c>
      <c r="AD84" s="134">
        <v>0</v>
      </c>
      <c r="AE84" s="134">
        <v>1</v>
      </c>
      <c r="AF84" s="135">
        <v>1</v>
      </c>
    </row>
    <row r="85" spans="4:32" ht="15" customHeight="1">
      <c r="D85" s="602" t="s">
        <v>661</v>
      </c>
      <c r="E85" s="603"/>
      <c r="F85" s="603"/>
      <c r="G85" s="603"/>
      <c r="H85" s="603"/>
      <c r="I85" s="603"/>
      <c r="J85" s="603"/>
      <c r="K85" s="603"/>
      <c r="L85" s="603"/>
      <c r="N85" s="602" t="s">
        <v>661</v>
      </c>
      <c r="O85" s="603"/>
      <c r="P85" s="603"/>
      <c r="Q85" s="603"/>
      <c r="R85" s="603"/>
      <c r="S85" s="603"/>
      <c r="T85" s="603"/>
      <c r="U85" s="603"/>
      <c r="V85" s="603"/>
      <c r="X85" s="602" t="s">
        <v>661</v>
      </c>
      <c r="Y85" s="603"/>
      <c r="Z85" s="603"/>
      <c r="AA85" s="603"/>
      <c r="AB85" s="603"/>
      <c r="AC85" s="603"/>
      <c r="AD85" s="603"/>
      <c r="AE85" s="603"/>
      <c r="AF85" s="603"/>
    </row>
  </sheetData>
  <mergeCells count="136">
    <mergeCell ref="X3:AF3"/>
    <mergeCell ref="A4:A5"/>
    <mergeCell ref="D4:D5"/>
    <mergeCell ref="E4:E5"/>
    <mergeCell ref="F4:G4"/>
    <mergeCell ref="H4:H5"/>
    <mergeCell ref="I4:I5"/>
    <mergeCell ref="N3:V3"/>
    <mergeCell ref="N4:N5"/>
    <mergeCell ref="J4:J5"/>
    <mergeCell ref="K4:K5"/>
    <mergeCell ref="L4:L5"/>
    <mergeCell ref="O4:O5"/>
    <mergeCell ref="P4:Q4"/>
    <mergeCell ref="R4:R5"/>
    <mergeCell ref="D3:L3"/>
    <mergeCell ref="Z4:AA4"/>
    <mergeCell ref="AB4:AB5"/>
    <mergeCell ref="AC4:AC5"/>
    <mergeCell ref="AD4:AD5"/>
    <mergeCell ref="AE4:AE5"/>
    <mergeCell ref="AF4:AF5"/>
    <mergeCell ref="S4:S5"/>
    <mergeCell ref="T4:T5"/>
    <mergeCell ref="U4:U5"/>
    <mergeCell ref="V4:V5"/>
    <mergeCell ref="X4:X5"/>
    <mergeCell ref="Y4:Y5"/>
    <mergeCell ref="D13:K13"/>
    <mergeCell ref="N13:U13"/>
    <mergeCell ref="X13:AE13"/>
    <mergeCell ref="D18:K18"/>
    <mergeCell ref="N18:U18"/>
    <mergeCell ref="X18:AE18"/>
    <mergeCell ref="D8:K8"/>
    <mergeCell ref="N8:U8"/>
    <mergeCell ref="X8:AE8"/>
    <mergeCell ref="D11:K11"/>
    <mergeCell ref="X11:AE11"/>
    <mergeCell ref="D24:K24"/>
    <mergeCell ref="N24:U24"/>
    <mergeCell ref="X24:AE24"/>
    <mergeCell ref="D25:E25"/>
    <mergeCell ref="N25:O25"/>
    <mergeCell ref="X25:Y25"/>
    <mergeCell ref="D19:D20"/>
    <mergeCell ref="N19:N20"/>
    <mergeCell ref="X19:X20"/>
    <mergeCell ref="D22:K22"/>
    <mergeCell ref="N22:U22"/>
    <mergeCell ref="X22:AE22"/>
    <mergeCell ref="D35:D38"/>
    <mergeCell ref="N35:N38"/>
    <mergeCell ref="X35:X38"/>
    <mergeCell ref="D40:E40"/>
    <mergeCell ref="N40:O40"/>
    <mergeCell ref="X40:Y40"/>
    <mergeCell ref="D26:D28"/>
    <mergeCell ref="N26:N28"/>
    <mergeCell ref="X26:X28"/>
    <mergeCell ref="D29:D34"/>
    <mergeCell ref="M29:P30"/>
    <mergeCell ref="X31:X34"/>
    <mergeCell ref="N31:N34"/>
    <mergeCell ref="D52:D54"/>
    <mergeCell ref="N52:N54"/>
    <mergeCell ref="X52:X54"/>
    <mergeCell ref="D55:D56"/>
    <mergeCell ref="N55:N56"/>
    <mergeCell ref="X55:X56"/>
    <mergeCell ref="D41:D44"/>
    <mergeCell ref="N41:N44"/>
    <mergeCell ref="X41:X44"/>
    <mergeCell ref="D45:D51"/>
    <mergeCell ref="X47:X51"/>
    <mergeCell ref="N47:N51"/>
    <mergeCell ref="D64:E64"/>
    <mergeCell ref="N64:O64"/>
    <mergeCell ref="X64:Y64"/>
    <mergeCell ref="D65:D67"/>
    <mergeCell ref="N65:N67"/>
    <mergeCell ref="X65:X67"/>
    <mergeCell ref="D58:E58"/>
    <mergeCell ref="N58:O58"/>
    <mergeCell ref="X58:Y58"/>
    <mergeCell ref="D59:D62"/>
    <mergeCell ref="N59:N62"/>
    <mergeCell ref="X59:X62"/>
    <mergeCell ref="D72:E72"/>
    <mergeCell ref="N72:O72"/>
    <mergeCell ref="X72:Y72"/>
    <mergeCell ref="D73:D76"/>
    <mergeCell ref="N73:N76"/>
    <mergeCell ref="X73:X76"/>
    <mergeCell ref="D68:D70"/>
    <mergeCell ref="N68:N70"/>
    <mergeCell ref="X68:X70"/>
    <mergeCell ref="D71:K71"/>
    <mergeCell ref="N71:U71"/>
    <mergeCell ref="X71:AE71"/>
    <mergeCell ref="D80:D81"/>
    <mergeCell ref="E80:E81"/>
    <mergeCell ref="H80:H81"/>
    <mergeCell ref="I80:I81"/>
    <mergeCell ref="J80:J81"/>
    <mergeCell ref="K80:K81"/>
    <mergeCell ref="D77:D78"/>
    <mergeCell ref="N77:N78"/>
    <mergeCell ref="X77:X78"/>
    <mergeCell ref="D79:E79"/>
    <mergeCell ref="N79:O79"/>
    <mergeCell ref="X79:Y79"/>
    <mergeCell ref="D82:D84"/>
    <mergeCell ref="N82:N84"/>
    <mergeCell ref="X82:X84"/>
    <mergeCell ref="D85:L85"/>
    <mergeCell ref="N85:V85"/>
    <mergeCell ref="X85:AF85"/>
    <mergeCell ref="AD80:AD81"/>
    <mergeCell ref="AE80:AE81"/>
    <mergeCell ref="AF80:AF81"/>
    <mergeCell ref="F81:G81"/>
    <mergeCell ref="P81:Q81"/>
    <mergeCell ref="Z81:AA81"/>
    <mergeCell ref="U80:U81"/>
    <mergeCell ref="V80:V81"/>
    <mergeCell ref="X80:X81"/>
    <mergeCell ref="Y80:Y81"/>
    <mergeCell ref="AB80:AB81"/>
    <mergeCell ref="AC80:AC81"/>
    <mergeCell ref="L80:L81"/>
    <mergeCell ref="N80:N81"/>
    <mergeCell ref="O80:O81"/>
    <mergeCell ref="R80:R81"/>
    <mergeCell ref="S80:S81"/>
    <mergeCell ref="T80:T81"/>
  </mergeCells>
  <phoneticPr fontId="2"/>
  <pageMargins left="1.1023622047244095" right="0" top="0" bottom="0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34</vt:i4>
      </vt:variant>
    </vt:vector>
  </HeadingPairs>
  <TitlesOfParts>
    <vt:vector size="82" baseType="lpstr">
      <vt:lpstr>従業員情報</vt:lpstr>
      <vt:lpstr>202008</vt:lpstr>
      <vt:lpstr>正社員</vt:lpstr>
      <vt:lpstr>7月</vt:lpstr>
      <vt:lpstr>参考</vt:lpstr>
      <vt:lpstr>Sheet3</vt:lpstr>
      <vt:lpstr>202408</vt:lpstr>
      <vt:lpstr>202407</vt:lpstr>
      <vt:lpstr>正式前１</vt:lpstr>
      <vt:lpstr>参考1男性</vt:lpstr>
      <vt:lpstr>参考3パート嘱託</vt:lpstr>
      <vt:lpstr>参考2女性</vt:lpstr>
      <vt:lpstr>部門ｺｰﾄﾞﾃｰﾌﾞﾙ201601</vt:lpstr>
      <vt:lpstr>202406</vt:lpstr>
      <vt:lpstr>202405</vt:lpstr>
      <vt:lpstr>202404</vt:lpstr>
      <vt:lpstr>2024.03</vt:lpstr>
      <vt:lpstr>202402</vt:lpstr>
      <vt:lpstr>2024.1</vt:lpstr>
      <vt:lpstr>2023.12</vt:lpstr>
      <vt:lpstr>2023.11</vt:lpstr>
      <vt:lpstr>2023.10</vt:lpstr>
      <vt:lpstr>202309</vt:lpstr>
      <vt:lpstr>2023.8</vt:lpstr>
      <vt:lpstr>2023.7</vt:lpstr>
      <vt:lpstr>2023.6</vt:lpstr>
      <vt:lpstr>2023.5</vt:lpstr>
      <vt:lpstr>2023.4</vt:lpstr>
      <vt:lpstr>2023.3</vt:lpstr>
      <vt:lpstr>2023.1</vt:lpstr>
      <vt:lpstr>2022.12</vt:lpstr>
      <vt:lpstr>2022.11</vt:lpstr>
      <vt:lpstr>2022.10</vt:lpstr>
      <vt:lpstr>2022.9</vt:lpstr>
      <vt:lpstr>2022.8</vt:lpstr>
      <vt:lpstr>2022.7</vt:lpstr>
      <vt:lpstr>2022.6</vt:lpstr>
      <vt:lpstr>2022.5</vt:lpstr>
      <vt:lpstr>2022.4</vt:lpstr>
      <vt:lpstr>2022.3.1</vt:lpstr>
      <vt:lpstr>2022.2.1</vt:lpstr>
      <vt:lpstr>2022.1.1</vt:lpstr>
      <vt:lpstr>2021.12.1</vt:lpstr>
      <vt:lpstr>2021.11.1</vt:lpstr>
      <vt:lpstr>2021.10.1</vt:lpstr>
      <vt:lpstr>2021.9.1</vt:lpstr>
      <vt:lpstr>2021.8.1</vt:lpstr>
      <vt:lpstr>比較表７．８</vt:lpstr>
      <vt:lpstr>'2021.10.1'!Print_Area</vt:lpstr>
      <vt:lpstr>'2021.11.1'!Print_Area</vt:lpstr>
      <vt:lpstr>'2021.12.1'!Print_Area</vt:lpstr>
      <vt:lpstr>'2021.8.1'!Print_Area</vt:lpstr>
      <vt:lpstr>'2021.9.1'!Print_Area</vt:lpstr>
      <vt:lpstr>'2022.1.1'!Print_Area</vt:lpstr>
      <vt:lpstr>'2022.10'!Print_Area</vt:lpstr>
      <vt:lpstr>'2022.11'!Print_Area</vt:lpstr>
      <vt:lpstr>'2022.12'!Print_Area</vt:lpstr>
      <vt:lpstr>'2022.2.1'!Print_Area</vt:lpstr>
      <vt:lpstr>'2022.7'!Print_Area</vt:lpstr>
      <vt:lpstr>'2022.9'!Print_Area</vt:lpstr>
      <vt:lpstr>'2023.1'!Print_Area</vt:lpstr>
      <vt:lpstr>'2023.10'!Print_Area</vt:lpstr>
      <vt:lpstr>'2023.11'!Print_Area</vt:lpstr>
      <vt:lpstr>'2023.12'!Print_Area</vt:lpstr>
      <vt:lpstr>'2023.3'!Print_Area</vt:lpstr>
      <vt:lpstr>'2023.4'!Print_Area</vt:lpstr>
      <vt:lpstr>'2023.5'!Print_Area</vt:lpstr>
      <vt:lpstr>'2023.6'!Print_Area</vt:lpstr>
      <vt:lpstr>'2023.7'!Print_Area</vt:lpstr>
      <vt:lpstr>'2023.8'!Print_Area</vt:lpstr>
      <vt:lpstr>'202309'!Print_Area</vt:lpstr>
      <vt:lpstr>'2024.03'!Print_Area</vt:lpstr>
      <vt:lpstr>'2024.1'!Print_Area</vt:lpstr>
      <vt:lpstr>'202402'!Print_Area</vt:lpstr>
      <vt:lpstr>'202404'!Print_Area</vt:lpstr>
      <vt:lpstr>'202405'!Print_Area</vt:lpstr>
      <vt:lpstr>'202406'!Print_Area</vt:lpstr>
      <vt:lpstr>'202407'!Print_Area</vt:lpstr>
      <vt:lpstr>'202408'!Print_Area</vt:lpstr>
      <vt:lpstr>参考3パート嘱託!Print_Area</vt:lpstr>
      <vt:lpstr>正式前１!Print_Area</vt:lpstr>
      <vt:lpstr>比較表７．８!Print_Area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soma.yuki</dc:creator>
  <cp:lastModifiedBy>立花 舞</cp:lastModifiedBy>
  <cp:lastPrinted>2023-12-08T04:41:18Z</cp:lastPrinted>
  <dcterms:created xsi:type="dcterms:W3CDTF">2021-07-26T02:21:38Z</dcterms:created>
  <dcterms:modified xsi:type="dcterms:W3CDTF">2024-09-02T08:04:28Z</dcterms:modified>
</cp:coreProperties>
</file>